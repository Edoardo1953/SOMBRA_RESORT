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BRASILE - SOMBRA RESORT\SOMBRA RESORT BRASIL Ltda - BRASIL\AMMINISTRAZIONE\"/>
    </mc:Choice>
  </mc:AlternateContent>
  <xr:revisionPtr revIDLastSave="0" documentId="13_ncr:1_{5145B007-6D83-4110-9CFB-6A39A254371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onta corrente" sheetId="2" r:id="rId1"/>
    <sheet name="Resumo BB ORD" sheetId="3" r:id="rId2"/>
    <sheet name="Conto Investimento" sheetId="4" r:id="rId3"/>
    <sheet name="Resumo BB INV" sheetId="5" r:id="rId4"/>
    <sheet name="Consolidato" sheetId="7" r:id="rId5"/>
    <sheet name="Pivot cons" sheetId="8" r:id="rId6"/>
    <sheet name="Bilancio" sheetId="6" r:id="rId7"/>
    <sheet name="Dati conto Brasile" sheetId="1" r:id="rId8"/>
  </sheets>
  <externalReferences>
    <externalReference r:id="rId9"/>
    <externalReference r:id="rId10"/>
  </externalReferences>
  <definedNames>
    <definedName name="_xlnm._FilterDatabase" localSheetId="4" hidden="1">Consolidato!$A$1:$H$452</definedName>
    <definedName name="_xlnm._FilterDatabase" localSheetId="0" hidden="1">'Conta corrente'!$A$5:$J$264</definedName>
    <definedName name="_xlnm._FilterDatabase" localSheetId="2" hidden="1">'Conto Investimento'!$A$5:$J$202</definedName>
    <definedName name="aaa" localSheetId="2">#REF!</definedName>
    <definedName name="aaa" localSheetId="3">#REF!</definedName>
    <definedName name="aaa">#REF!</definedName>
    <definedName name="Anniversaire" localSheetId="2">#REF!,#REF!,#REF!,#REF!</definedName>
    <definedName name="Anniversaire" localSheetId="3">#REF!,#REF!,#REF!,#REF!</definedName>
    <definedName name="Anniversaire">#REF!,#REF!,#REF!,#REF!</definedName>
    <definedName name="_xlnm.Print_Area" localSheetId="0">'Conta corrente'!$B$1:$J$263</definedName>
    <definedName name="_xlnm.Print_Area" localSheetId="2">'Conto Investimento'!$B$1:$J$201</definedName>
    <definedName name="_xlnm.Print_Area" localSheetId="5">'Pivot cons'!$A$1:$G$37</definedName>
    <definedName name="_xlnm.Print_Area" localSheetId="3">'Resumo BB INV'!$A$1:$E$39</definedName>
    <definedName name="_xlnm.Print_Area" localSheetId="1">'Resumo BB ORD'!$A$1:$F$44</definedName>
    <definedName name="bOH" localSheetId="2">#REF!,#REF!,#REF!,#REF!</definedName>
    <definedName name="bOH" localSheetId="3">#REF!,#REF!,#REF!,#REF!</definedName>
    <definedName name="bOH">#REF!,#REF!,#REF!,#REF!</definedName>
    <definedName name="CAP1E" localSheetId="2">#REF!</definedName>
    <definedName name="CAP1E" localSheetId="3">#REF!</definedName>
    <definedName name="CAP1E">#REF!</definedName>
    <definedName name="CapitFIXE" localSheetId="2">#REF!</definedName>
    <definedName name="CapitFIXE" localSheetId="3">#REF!</definedName>
    <definedName name="CapitFIXE">#REF!</definedName>
    <definedName name="CCC" localSheetId="2">#REF!</definedName>
    <definedName name="CCC" localSheetId="3">#REF!</definedName>
    <definedName name="CCC">#REF!</definedName>
    <definedName name="Changement_de_taux" localSheetId="2">#REF!</definedName>
    <definedName name="Changement_de_taux" localSheetId="3">#REF!</definedName>
    <definedName name="Changement_de_taux">#REF!</definedName>
    <definedName name="Cout_Total" localSheetId="2">#REF!</definedName>
    <definedName name="Cout_Total" localSheetId="3">#REF!</definedName>
    <definedName name="Cout_Total">#REF!</definedName>
    <definedName name="DATDB" localSheetId="2">#REF!</definedName>
    <definedName name="DATDB" localSheetId="3">#REF!</definedName>
    <definedName name="DATDB">#REF!</definedName>
    <definedName name="DebAmort" localSheetId="2">#REF!</definedName>
    <definedName name="DebAmort" localSheetId="3">#REF!</definedName>
    <definedName name="DebAmort">#REF!</definedName>
    <definedName name="Début_échéance" localSheetId="2">#REF!</definedName>
    <definedName name="Début_échéance" localSheetId="3">#REF!</definedName>
    <definedName name="Début_échéance">#REF!</definedName>
    <definedName name="Dernière_période" localSheetId="2">#REF!</definedName>
    <definedName name="Dernière_période" localSheetId="3">#REF!</definedName>
    <definedName name="Dernière_période">#REF!</definedName>
    <definedName name="Différé" localSheetId="2">#REF!</definedName>
    <definedName name="Différé" localSheetId="3">#REF!</definedName>
    <definedName name="Différé">#REF!</definedName>
    <definedName name="DiffSimple" localSheetId="2">#REF!</definedName>
    <definedName name="DiffSimple" localSheetId="3">#REF!</definedName>
    <definedName name="DiffSimple">#REF!</definedName>
    <definedName name="DiffTotal" localSheetId="2">#REF!</definedName>
    <definedName name="DiffTotal" localSheetId="3">#REF!</definedName>
    <definedName name="DiffTotal">#REF!</definedName>
    <definedName name="Durée" localSheetId="2">#REF!</definedName>
    <definedName name="Durée" localSheetId="3">#REF!</definedName>
    <definedName name="Durée">#REF!</definedName>
    <definedName name="EchFIXE" localSheetId="2">#REF!</definedName>
    <definedName name="EchFIXE" localSheetId="3">#REF!</definedName>
    <definedName name="EchFIXE">#REF!</definedName>
    <definedName name="FraisF" localSheetId="2">#REF!</definedName>
    <definedName name="FraisF" localSheetId="3">#REF!</definedName>
    <definedName name="FraisF">#REF!</definedName>
    <definedName name="FraisV" localSheetId="2">#REF!</definedName>
    <definedName name="FraisV" localSheetId="3">#REF!</definedName>
    <definedName name="FraisV">#REF!</definedName>
    <definedName name="Ijour" localSheetId="2">#REF!</definedName>
    <definedName name="Ijour" localSheetId="3">#REF!</definedName>
    <definedName name="Ijour">#REF!</definedName>
    <definedName name="Imois" localSheetId="2">#REF!</definedName>
    <definedName name="Imois" localSheetId="3">#REF!</definedName>
    <definedName name="Imois">#REF!</definedName>
    <definedName name="INT1E" localSheetId="2">#REF!</definedName>
    <definedName name="INT1E" localSheetId="3">#REF!</definedName>
    <definedName name="INT1E">#REF!</definedName>
    <definedName name="Jour1" localSheetId="2">#REF!</definedName>
    <definedName name="Jour1" localSheetId="3">#REF!</definedName>
    <definedName name="Jour1">#REF!</definedName>
    <definedName name="Jour2" localSheetId="2">#REF!</definedName>
    <definedName name="Jour2" localSheetId="3">#REF!</definedName>
    <definedName name="Jour2">#REF!</definedName>
    <definedName name="look" localSheetId="2">#REF!</definedName>
    <definedName name="look" localSheetId="3">#REF!</definedName>
    <definedName name="look">#REF!</definedName>
    <definedName name="Mensualité" localSheetId="2">#REF!</definedName>
    <definedName name="Mensualité" localSheetId="3">#REF!</definedName>
    <definedName name="Mensualité">#REF!</definedName>
    <definedName name="Mensualités" localSheetId="2">#REF!</definedName>
    <definedName name="Mensualités" localSheetId="3">#REF!</definedName>
    <definedName name="Mensualités">#REF!</definedName>
    <definedName name="MoisD" localSheetId="2">#REF!</definedName>
    <definedName name="MoisD" localSheetId="3">#REF!</definedName>
    <definedName name="MoisD">#REF!</definedName>
    <definedName name="Montant" localSheetId="2">#REF!</definedName>
    <definedName name="Montant" localSheetId="3">#REF!</definedName>
    <definedName name="Montant">#REF!</definedName>
    <definedName name="MtEch" localSheetId="2">#REF!</definedName>
    <definedName name="MtEch" localSheetId="3">#REF!</definedName>
    <definedName name="MtEch">#REF!</definedName>
    <definedName name="MtEmprunt" localSheetId="2">#REF!</definedName>
    <definedName name="MtEmprunt" localSheetId="3">#REF!</definedName>
    <definedName name="MtEmprunt">#REF!</definedName>
    <definedName name="NbDeci" localSheetId="2">#REF!</definedName>
    <definedName name="NbDeci" localSheetId="3">#REF!</definedName>
    <definedName name="NbDeci">#REF!</definedName>
    <definedName name="NbEch" localSheetId="2">#REF!</definedName>
    <definedName name="NbEch" localSheetId="3">#REF!</definedName>
    <definedName name="NbEch">#REF!</definedName>
    <definedName name="NbEchAn" localSheetId="2">#REF!</definedName>
    <definedName name="NbEchAn" localSheetId="3">#REF!</definedName>
    <definedName name="NbEchAn">#REF!</definedName>
    <definedName name="NoEchMaxi" localSheetId="2">#REF!</definedName>
    <definedName name="NoEchMaxi" localSheetId="3">#REF!</definedName>
    <definedName name="NoEchMaxi">#REF!</definedName>
    <definedName name="NoEchRemb" localSheetId="2">#REF!</definedName>
    <definedName name="NoEchRemb" localSheetId="3">#REF!</definedName>
    <definedName name="NoEchRemb">#REF!</definedName>
    <definedName name="Nombre_échéances" localSheetId="2">#REF!</definedName>
    <definedName name="Nombre_échéances" localSheetId="3">#REF!</definedName>
    <definedName name="Nombre_échéances">#REF!</definedName>
    <definedName name="Periodicite" localSheetId="2">#REF!</definedName>
    <definedName name="Periodicite" localSheetId="3">#REF!</definedName>
    <definedName name="Periodicite">#REF!</definedName>
    <definedName name="RVDebit" localSheetId="2">#REF!</definedName>
    <definedName name="RVDebit" localSheetId="3">#REF!</definedName>
    <definedName name="RVDebit">#REF!</definedName>
    <definedName name="Taux_Annuel" localSheetId="2">#REF!</definedName>
    <definedName name="Taux_Annuel" localSheetId="3">#REF!</definedName>
    <definedName name="Taux_Annuel">#REF!</definedName>
    <definedName name="TauxActuariel" localSheetId="2">#REF!</definedName>
    <definedName name="TauxActuariel" localSheetId="3">#REF!</definedName>
    <definedName name="TauxActuariel">#REF!</definedName>
    <definedName name="Total_Capital" localSheetId="2">#REF!</definedName>
    <definedName name="Total_Capital" localSheetId="3">#REF!</definedName>
    <definedName name="Total_Capital">#REF!</definedName>
    <definedName name="Total_Frais" localSheetId="2">#REF!</definedName>
    <definedName name="Total_Frais" localSheetId="3">#REF!</definedName>
    <definedName name="Total_Frais">#REF!</definedName>
    <definedName name="Total_Intérêts" localSheetId="2">#REF!</definedName>
    <definedName name="Total_Intérêts" localSheetId="3">#REF!</definedName>
    <definedName name="Total_Intérêts">#REF!</definedName>
    <definedName name="TVDebit" localSheetId="2">#REF!</definedName>
    <definedName name="TVDebit" localSheetId="3">#REF!</definedName>
    <definedName name="TVDebit">#REF!</definedName>
    <definedName name="TxPer" localSheetId="2">#REF!</definedName>
    <definedName name="TxPer" localSheetId="3">#REF!</definedName>
    <definedName name="TxPer">#REF!</definedName>
  </definedNames>
  <calcPr calcId="191029"/>
  <pivotCaches>
    <pivotCache cacheId="2" r:id="rId11"/>
    <pivotCache cacheId="3" r:id="rId12"/>
    <pivotCache cacheId="4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63" i="2" l="1"/>
  <c r="M452" i="7" s="1"/>
  <c r="M199" i="4" l="1"/>
  <c r="M449" i="7"/>
  <c r="L449" i="7" s="1"/>
  <c r="J452" i="7"/>
  <c r="L452" i="7" s="1"/>
  <c r="C449" i="7"/>
  <c r="J194" i="4"/>
  <c r="J195" i="4"/>
  <c r="J196" i="4" s="1"/>
  <c r="J197" i="4" s="1"/>
  <c r="J198" i="4" s="1"/>
  <c r="C199" i="4"/>
  <c r="C256" i="7"/>
  <c r="C255" i="7"/>
  <c r="C254" i="7"/>
  <c r="C253" i="7"/>
  <c r="C252" i="7"/>
  <c r="C260" i="2"/>
  <c r="C259" i="2"/>
  <c r="C258" i="2"/>
  <c r="C257" i="2"/>
  <c r="C256" i="2"/>
  <c r="C448" i="7"/>
  <c r="C447" i="7"/>
  <c r="C446" i="7"/>
  <c r="C445" i="7"/>
  <c r="M256" i="7"/>
  <c r="C251" i="7"/>
  <c r="C250" i="7"/>
  <c r="C249" i="7"/>
  <c r="C248" i="7"/>
  <c r="C247" i="7"/>
  <c r="C246" i="7"/>
  <c r="C245" i="7"/>
  <c r="C198" i="4"/>
  <c r="C197" i="4"/>
  <c r="C196" i="4"/>
  <c r="C195" i="4"/>
  <c r="C255" i="2"/>
  <c r="C254" i="2"/>
  <c r="C253" i="2"/>
  <c r="C252" i="2"/>
  <c r="C251" i="2"/>
  <c r="C250" i="2"/>
  <c r="C249" i="2"/>
  <c r="C442" i="7"/>
  <c r="C444" i="7"/>
  <c r="C443" i="7"/>
  <c r="C441" i="7"/>
  <c r="C194" i="4"/>
  <c r="C193" i="4"/>
  <c r="C192" i="4"/>
  <c r="C191" i="4"/>
  <c r="C244" i="7"/>
  <c r="C243" i="7"/>
  <c r="C242" i="7"/>
  <c r="C241" i="7"/>
  <c r="C240" i="7"/>
  <c r="C239" i="7"/>
  <c r="C248" i="2"/>
  <c r="C247" i="2"/>
  <c r="C246" i="2"/>
  <c r="C245" i="2"/>
  <c r="C244" i="2"/>
  <c r="C243" i="2"/>
  <c r="C238" i="7"/>
  <c r="C237" i="7"/>
  <c r="C236" i="7"/>
  <c r="C235" i="7"/>
  <c r="C234" i="7"/>
  <c r="C233" i="7"/>
  <c r="C232" i="7"/>
  <c r="C231" i="7"/>
  <c r="C440" i="7"/>
  <c r="C439" i="7"/>
  <c r="C438" i="7"/>
  <c r="C437" i="7"/>
  <c r="C436" i="7"/>
  <c r="C190" i="4"/>
  <c r="C189" i="4"/>
  <c r="C188" i="4"/>
  <c r="C187" i="4"/>
  <c r="C186" i="4"/>
  <c r="C242" i="2"/>
  <c r="C241" i="2"/>
  <c r="C240" i="2"/>
  <c r="C239" i="2"/>
  <c r="C238" i="2"/>
  <c r="C237" i="2"/>
  <c r="C236" i="2"/>
  <c r="C235" i="2"/>
  <c r="C435" i="7"/>
  <c r="C434" i="7"/>
  <c r="C433" i="7"/>
  <c r="C432" i="7"/>
  <c r="C431" i="7"/>
  <c r="C185" i="4"/>
  <c r="C184" i="4"/>
  <c r="C183" i="4"/>
  <c r="C182" i="4"/>
  <c r="C181" i="4"/>
  <c r="C230" i="7"/>
  <c r="C229" i="7"/>
  <c r="C228" i="7"/>
  <c r="C227" i="7"/>
  <c r="C226" i="7"/>
  <c r="C225" i="7"/>
  <c r="C224" i="7"/>
  <c r="C234" i="2"/>
  <c r="C233" i="2"/>
  <c r="C232" i="2"/>
  <c r="C231" i="2"/>
  <c r="C230" i="2"/>
  <c r="C229" i="2"/>
  <c r="C228" i="2"/>
  <c r="C430" i="7"/>
  <c r="C429" i="7"/>
  <c r="C428" i="7"/>
  <c r="C427" i="7"/>
  <c r="C426" i="7"/>
  <c r="C180" i="4"/>
  <c r="C179" i="4"/>
  <c r="C178" i="4"/>
  <c r="C177" i="4"/>
  <c r="C176" i="4"/>
  <c r="C223" i="7"/>
  <c r="C222" i="7"/>
  <c r="C221" i="7"/>
  <c r="C220" i="7"/>
  <c r="C219" i="7"/>
  <c r="C218" i="7"/>
  <c r="C217" i="7"/>
  <c r="C227" i="2"/>
  <c r="C226" i="2"/>
  <c r="C225" i="2"/>
  <c r="C224" i="2"/>
  <c r="C223" i="2"/>
  <c r="C222" i="2"/>
  <c r="C221" i="2"/>
  <c r="C425" i="7"/>
  <c r="C175" i="4"/>
  <c r="C216" i="7"/>
  <c r="C215" i="7"/>
  <c r="C214" i="7"/>
  <c r="C213" i="7"/>
  <c r="C212" i="7"/>
  <c r="C220" i="2"/>
  <c r="C219" i="2"/>
  <c r="C218" i="2"/>
  <c r="C217" i="2"/>
  <c r="C216" i="2"/>
  <c r="C424" i="7"/>
  <c r="C174" i="4"/>
  <c r="J257" i="7"/>
  <c r="J258" i="7" s="1"/>
  <c r="C211" i="7"/>
  <c r="C210" i="7"/>
  <c r="C209" i="7"/>
  <c r="C208" i="7"/>
  <c r="C215" i="2"/>
  <c r="C214" i="2"/>
  <c r="C213" i="2"/>
  <c r="C212" i="2"/>
  <c r="C167" i="4"/>
  <c r="L197" i="2"/>
  <c r="L195" i="2"/>
  <c r="L193" i="2"/>
  <c r="E23" i="6"/>
  <c r="C423" i="7"/>
  <c r="G33" i="5"/>
  <c r="F33" i="5"/>
  <c r="M206" i="4" s="1"/>
  <c r="E33" i="5"/>
  <c r="C173" i="4"/>
  <c r="C207" i="7"/>
  <c r="C211" i="2"/>
  <c r="C422" i="7"/>
  <c r="C421" i="7"/>
  <c r="C172" i="4"/>
  <c r="K199" i="4" l="1"/>
  <c r="J199" i="4"/>
  <c r="L199" i="4" s="1"/>
  <c r="L199" i="2"/>
  <c r="H33" i="5"/>
  <c r="C206" i="7"/>
  <c r="C205" i="7"/>
  <c r="C204" i="7"/>
  <c r="C210" i="2"/>
  <c r="C209" i="2"/>
  <c r="C208" i="2"/>
  <c r="C171" i="4"/>
  <c r="J261" i="2"/>
  <c r="C420" i="7"/>
  <c r="C419" i="7"/>
  <c r="C418" i="7"/>
  <c r="C417" i="7"/>
  <c r="C416" i="7"/>
  <c r="C170" i="4"/>
  <c r="C169" i="4"/>
  <c r="C168" i="4"/>
  <c r="C166" i="4"/>
  <c r="C165" i="4"/>
  <c r="J259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207" i="2"/>
  <c r="C206" i="2"/>
  <c r="C205" i="2"/>
  <c r="C204" i="2"/>
  <c r="C203" i="2"/>
  <c r="C202" i="2"/>
  <c r="C200" i="2"/>
  <c r="C199" i="2"/>
  <c r="C198" i="2"/>
  <c r="C201" i="2"/>
  <c r="C197" i="2"/>
  <c r="C196" i="2"/>
  <c r="C195" i="2"/>
  <c r="C194" i="2"/>
  <c r="C193" i="2"/>
  <c r="C188" i="7"/>
  <c r="C187" i="7"/>
  <c r="C186" i="7"/>
  <c r="C185" i="7"/>
  <c r="C184" i="7"/>
  <c r="C183" i="7"/>
  <c r="C182" i="7"/>
  <c r="C181" i="7"/>
  <c r="C180" i="7"/>
  <c r="C192" i="2"/>
  <c r="C191" i="2"/>
  <c r="C190" i="2"/>
  <c r="C189" i="2"/>
  <c r="C188" i="2"/>
  <c r="C187" i="2"/>
  <c r="C186" i="2"/>
  <c r="C185" i="2"/>
  <c r="C184" i="2"/>
  <c r="C415" i="7"/>
  <c r="C414" i="7"/>
  <c r="C413" i="7"/>
  <c r="C412" i="7"/>
  <c r="C411" i="7"/>
  <c r="C162" i="4"/>
  <c r="C161" i="4"/>
  <c r="C160" i="4"/>
  <c r="C164" i="4"/>
  <c r="C163" i="4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157" i="4"/>
  <c r="C179" i="7"/>
  <c r="C178" i="7"/>
  <c r="C183" i="2"/>
  <c r="C182" i="2"/>
  <c r="C156" i="4"/>
  <c r="C154" i="4"/>
  <c r="C159" i="4"/>
  <c r="C158" i="4"/>
  <c r="C155" i="4"/>
  <c r="C153" i="4"/>
  <c r="C177" i="7"/>
  <c r="C176" i="7"/>
  <c r="C175" i="7"/>
  <c r="C174" i="7"/>
  <c r="C173" i="7"/>
  <c r="C172" i="7"/>
  <c r="C171" i="7"/>
  <c r="C170" i="7"/>
  <c r="C169" i="7"/>
  <c r="C181" i="2"/>
  <c r="C179" i="2"/>
  <c r="C178" i="2"/>
  <c r="C177" i="2"/>
  <c r="C176" i="2"/>
  <c r="C175" i="2"/>
  <c r="C174" i="2"/>
  <c r="C173" i="2"/>
  <c r="C180" i="2" l="1"/>
  <c r="C152" i="4" l="1"/>
  <c r="C151" i="4"/>
  <c r="C150" i="4"/>
  <c r="C149" i="4"/>
  <c r="C168" i="7"/>
  <c r="C167" i="7"/>
  <c r="C166" i="7"/>
  <c r="C165" i="7"/>
  <c r="C164" i="7"/>
  <c r="C163" i="7"/>
  <c r="C172" i="2"/>
  <c r="C171" i="2"/>
  <c r="C170" i="2"/>
  <c r="C169" i="2"/>
  <c r="C168" i="2"/>
  <c r="C167" i="2"/>
  <c r="C148" i="4" l="1"/>
  <c r="C147" i="4"/>
  <c r="C146" i="4"/>
  <c r="C145" i="4"/>
  <c r="C144" i="4"/>
  <c r="C162" i="7"/>
  <c r="C161" i="7"/>
  <c r="C160" i="7"/>
  <c r="C159" i="7"/>
  <c r="C158" i="7"/>
  <c r="C157" i="7"/>
  <c r="C156" i="7"/>
  <c r="C155" i="7"/>
  <c r="C166" i="2"/>
  <c r="C165" i="2"/>
  <c r="C164" i="2"/>
  <c r="C163" i="2"/>
  <c r="C162" i="2"/>
  <c r="C161" i="2"/>
  <c r="C160" i="2"/>
  <c r="C159" i="2"/>
  <c r="C121" i="7"/>
  <c r="C143" i="4"/>
  <c r="C142" i="4"/>
  <c r="C141" i="4"/>
  <c r="C140" i="4"/>
  <c r="C154" i="7" l="1"/>
  <c r="C153" i="7"/>
  <c r="C152" i="7"/>
  <c r="C151" i="7"/>
  <c r="C150" i="7"/>
  <c r="C149" i="7"/>
  <c r="C158" i="2"/>
  <c r="C157" i="2"/>
  <c r="C156" i="2"/>
  <c r="C155" i="2"/>
  <c r="C154" i="2"/>
  <c r="C153" i="2"/>
  <c r="C148" i="7"/>
  <c r="C147" i="7"/>
  <c r="C146" i="7"/>
  <c r="C145" i="7"/>
  <c r="C144" i="7"/>
  <c r="C143" i="7"/>
  <c r="C142" i="7"/>
  <c r="C141" i="7"/>
  <c r="C152" i="2"/>
  <c r="C151" i="2"/>
  <c r="C149" i="2"/>
  <c r="C148" i="2"/>
  <c r="C147" i="2"/>
  <c r="C146" i="2"/>
  <c r="C145" i="2"/>
  <c r="C139" i="4" l="1"/>
  <c r="C138" i="4"/>
  <c r="C137" i="4"/>
  <c r="C136" i="4"/>
  <c r="C150" i="2" l="1"/>
  <c r="C135" i="4"/>
  <c r="C134" i="4"/>
  <c r="C140" i="7"/>
  <c r="C139" i="7"/>
  <c r="C138" i="7"/>
  <c r="C137" i="7"/>
  <c r="C136" i="7"/>
  <c r="C135" i="7"/>
  <c r="C144" i="2"/>
  <c r="C143" i="2"/>
  <c r="C142" i="2"/>
  <c r="C141" i="2"/>
  <c r="C140" i="2"/>
  <c r="C139" i="2"/>
  <c r="C134" i="7"/>
  <c r="C133" i="7"/>
  <c r="C132" i="7"/>
  <c r="C131" i="7"/>
  <c r="C133" i="4"/>
  <c r="C132" i="4"/>
  <c r="C138" i="2"/>
  <c r="C137" i="2"/>
  <c r="C136" i="2"/>
  <c r="C135" i="2"/>
  <c r="C130" i="7" l="1"/>
  <c r="C129" i="7"/>
  <c r="C128" i="7"/>
  <c r="C127" i="7"/>
  <c r="C126" i="7"/>
  <c r="C125" i="7"/>
  <c r="C124" i="7"/>
  <c r="C134" i="2"/>
  <c r="C131" i="4"/>
  <c r="C130" i="4"/>
  <c r="C133" i="2"/>
  <c r="C132" i="2"/>
  <c r="C131" i="2"/>
  <c r="C130" i="2"/>
  <c r="C129" i="2"/>
  <c r="C128" i="2"/>
  <c r="G28" i="5"/>
  <c r="G29" i="5"/>
  <c r="G30" i="5"/>
  <c r="G31" i="5"/>
  <c r="G32" i="5"/>
  <c r="C123" i="7"/>
  <c r="C122" i="7"/>
  <c r="C120" i="7"/>
  <c r="C119" i="7"/>
  <c r="C118" i="7"/>
  <c r="C117" i="7"/>
  <c r="C116" i="7"/>
  <c r="C129" i="4"/>
  <c r="C128" i="4"/>
  <c r="C127" i="4"/>
  <c r="C127" i="2"/>
  <c r="C126" i="2"/>
  <c r="C125" i="2"/>
  <c r="C121" i="2"/>
  <c r="C120" i="2"/>
  <c r="G36" i="5" l="1"/>
  <c r="C123" i="2"/>
  <c r="C122" i="2"/>
  <c r="C124" i="2" l="1"/>
  <c r="F32" i="5" l="1"/>
  <c r="E32" i="5"/>
  <c r="C126" i="4"/>
  <c r="C125" i="4"/>
  <c r="C124" i="4"/>
  <c r="C123" i="4"/>
  <c r="C122" i="4"/>
  <c r="C121" i="4"/>
  <c r="C115" i="7"/>
  <c r="C114" i="7"/>
  <c r="C113" i="7"/>
  <c r="C112" i="7"/>
  <c r="C111" i="7"/>
  <c r="C110" i="7"/>
  <c r="C109" i="7"/>
  <c r="C108" i="7"/>
  <c r="C107" i="7"/>
  <c r="C119" i="2"/>
  <c r="C118" i="2"/>
  <c r="C117" i="2"/>
  <c r="C116" i="2"/>
  <c r="C115" i="2"/>
  <c r="C114" i="2"/>
  <c r="C113" i="2"/>
  <c r="C112" i="2"/>
  <c r="C111" i="2"/>
  <c r="E21" i="6"/>
  <c r="C371" i="7"/>
  <c r="C370" i="7"/>
  <c r="C369" i="7"/>
  <c r="C368" i="7"/>
  <c r="C367" i="7"/>
  <c r="C366" i="7"/>
  <c r="C365" i="7"/>
  <c r="C118" i="4"/>
  <c r="C117" i="4"/>
  <c r="C120" i="4"/>
  <c r="C119" i="4"/>
  <c r="C116" i="4"/>
  <c r="C115" i="4"/>
  <c r="C114" i="4"/>
  <c r="C106" i="7"/>
  <c r="C105" i="7"/>
  <c r="C104" i="7"/>
  <c r="C103" i="7"/>
  <c r="C102" i="7"/>
  <c r="C101" i="7"/>
  <c r="C100" i="7"/>
  <c r="C99" i="7"/>
  <c r="C98" i="7"/>
  <c r="C97" i="7"/>
  <c r="C110" i="2"/>
  <c r="C109" i="2"/>
  <c r="C108" i="2"/>
  <c r="C107" i="2"/>
  <c r="C106" i="2"/>
  <c r="C105" i="2"/>
  <c r="C104" i="2"/>
  <c r="C103" i="2"/>
  <c r="C102" i="2"/>
  <c r="C101" i="2"/>
  <c r="C113" i="4"/>
  <c r="C112" i="4"/>
  <c r="C111" i="4"/>
  <c r="C110" i="4"/>
  <c r="C109" i="4"/>
  <c r="C364" i="7"/>
  <c r="C363" i="7"/>
  <c r="C360" i="7"/>
  <c r="C361" i="7"/>
  <c r="C362" i="7"/>
  <c r="C96" i="7"/>
  <c r="C95" i="7"/>
  <c r="C94" i="7"/>
  <c r="C93" i="7"/>
  <c r="C92" i="7"/>
  <c r="C91" i="7"/>
  <c r="C90" i="7"/>
  <c r="C98" i="2"/>
  <c r="C100" i="2"/>
  <c r="C99" i="2"/>
  <c r="C97" i="2"/>
  <c r="C96" i="2"/>
  <c r="M205" i="4" l="1"/>
  <c r="H32" i="5"/>
  <c r="C95" i="2"/>
  <c r="C94" i="2"/>
  <c r="C359" i="7" l="1"/>
  <c r="C358" i="7"/>
  <c r="C357" i="7"/>
  <c r="C356" i="7"/>
  <c r="C89" i="7"/>
  <c r="C88" i="7"/>
  <c r="C87" i="7"/>
  <c r="C86" i="7"/>
  <c r="C108" i="4"/>
  <c r="C107" i="4"/>
  <c r="C106" i="4"/>
  <c r="C105" i="4"/>
  <c r="C93" i="2"/>
  <c r="C92" i="2"/>
  <c r="C91" i="2"/>
  <c r="C90" i="2"/>
  <c r="C355" i="7"/>
  <c r="C354" i="7"/>
  <c r="C353" i="7"/>
  <c r="C85" i="7"/>
  <c r="C84" i="7"/>
  <c r="C104" i="4"/>
  <c r="C103" i="4"/>
  <c r="C102" i="4"/>
  <c r="C89" i="2"/>
  <c r="C88" i="2"/>
  <c r="C352" i="7"/>
  <c r="C351" i="7"/>
  <c r="C350" i="7"/>
  <c r="C101" i="4"/>
  <c r="C100" i="4"/>
  <c r="C99" i="4"/>
  <c r="C83" i="7"/>
  <c r="C82" i="7"/>
  <c r="C87" i="2"/>
  <c r="C86" i="2"/>
  <c r="C349" i="7"/>
  <c r="C348" i="7"/>
  <c r="C347" i="7"/>
  <c r="C81" i="7"/>
  <c r="C80" i="7"/>
  <c r="C79" i="7"/>
  <c r="C98" i="4"/>
  <c r="C97" i="4"/>
  <c r="C96" i="4"/>
  <c r="C85" i="2" l="1"/>
  <c r="C84" i="2"/>
  <c r="C83" i="2"/>
  <c r="C78" i="7" l="1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K16" i="7"/>
  <c r="K18" i="7" s="1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J2" i="7"/>
  <c r="J3" i="7" s="1"/>
  <c r="J4" i="7" s="1"/>
  <c r="J5" i="7" s="1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J41" i="7" s="1"/>
  <c r="J42" i="7" s="1"/>
  <c r="J43" i="7" s="1"/>
  <c r="J44" i="7" s="1"/>
  <c r="J45" i="7" s="1"/>
  <c r="J46" i="7" s="1"/>
  <c r="J47" i="7" s="1"/>
  <c r="J48" i="7" s="1"/>
  <c r="J49" i="7" s="1"/>
  <c r="J50" i="7" s="1"/>
  <c r="J51" i="7" s="1"/>
  <c r="J52" i="7" s="1"/>
  <c r="J53" i="7" s="1"/>
  <c r="J54" i="7" s="1"/>
  <c r="J55" i="7" s="1"/>
  <c r="J56" i="7" s="1"/>
  <c r="J57" i="7" s="1"/>
  <c r="J58" i="7" s="1"/>
  <c r="J59" i="7" s="1"/>
  <c r="J60" i="7" s="1"/>
  <c r="J61" i="7" s="1"/>
  <c r="J62" i="7" s="1"/>
  <c r="J63" i="7" s="1"/>
  <c r="J64" i="7" s="1"/>
  <c r="J65" i="7" s="1"/>
  <c r="J66" i="7" s="1"/>
  <c r="J67" i="7" s="1"/>
  <c r="J68" i="7" s="1"/>
  <c r="J69" i="7" s="1"/>
  <c r="J70" i="7" s="1"/>
  <c r="J71" i="7" s="1"/>
  <c r="J72" i="7" s="1"/>
  <c r="J73" i="7" s="1"/>
  <c r="J74" i="7" s="1"/>
  <c r="J75" i="7" s="1"/>
  <c r="J76" i="7" s="1"/>
  <c r="J77" i="7" s="1"/>
  <c r="J78" i="7" s="1"/>
  <c r="J79" i="7" s="1"/>
  <c r="J80" i="7" s="1"/>
  <c r="J81" i="7" s="1"/>
  <c r="J82" i="7" s="1"/>
  <c r="J83" i="7" s="1"/>
  <c r="C2" i="7"/>
  <c r="J262" i="2"/>
  <c r="C72" i="2"/>
  <c r="A169" i="7" l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J84" i="7"/>
  <c r="J85" i="7" s="1"/>
  <c r="J86" i="7" s="1"/>
  <c r="J87" i="7" s="1"/>
  <c r="J88" i="7" s="1"/>
  <c r="J89" i="7" s="1"/>
  <c r="J90" i="7" s="1"/>
  <c r="J91" i="7" s="1"/>
  <c r="J92" i="7" s="1"/>
  <c r="J93" i="7" s="1"/>
  <c r="J94" i="7" s="1"/>
  <c r="J95" i="7" s="1"/>
  <c r="J96" i="7" s="1"/>
  <c r="C346" i="7"/>
  <c r="C345" i="7"/>
  <c r="C344" i="7"/>
  <c r="C95" i="4"/>
  <c r="C94" i="4"/>
  <c r="C93" i="4"/>
  <c r="C82" i="2"/>
  <c r="C81" i="2"/>
  <c r="C343" i="7"/>
  <c r="C342" i="7"/>
  <c r="C341" i="7"/>
  <c r="C340" i="7"/>
  <c r="C92" i="4"/>
  <c r="C91" i="4"/>
  <c r="C90" i="4"/>
  <c r="C89" i="4"/>
  <c r="C80" i="2"/>
  <c r="C79" i="2"/>
  <c r="C78" i="2"/>
  <c r="C77" i="2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A258" i="7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C257" i="7"/>
  <c r="C88" i="4"/>
  <c r="C87" i="4"/>
  <c r="C86" i="4"/>
  <c r="C85" i="4"/>
  <c r="C76" i="2"/>
  <c r="C75" i="2"/>
  <c r="C74" i="2"/>
  <c r="C73" i="2"/>
  <c r="J97" i="7" l="1"/>
  <c r="J98" i="7" s="1"/>
  <c r="J99" i="7" s="1"/>
  <c r="J100" i="7" s="1"/>
  <c r="J101" i="7" s="1"/>
  <c r="J102" i="7" s="1"/>
  <c r="J103" i="7" s="1"/>
  <c r="J104" i="7" s="1"/>
  <c r="J105" i="7" s="1"/>
  <c r="J106" i="7" s="1"/>
  <c r="A358" i="7"/>
  <c r="A359" i="7" s="1"/>
  <c r="A362" i="7" s="1"/>
  <c r="A360" i="7"/>
  <c r="C84" i="4"/>
  <c r="C83" i="4"/>
  <c r="C82" i="4"/>
  <c r="C81" i="4"/>
  <c r="E19" i="6"/>
  <c r="F31" i="5"/>
  <c r="M119" i="4" s="1"/>
  <c r="E31" i="5"/>
  <c r="C80" i="4"/>
  <c r="C79" i="4"/>
  <c r="C78" i="4"/>
  <c r="J200" i="4"/>
  <c r="C75" i="4"/>
  <c r="C77" i="4"/>
  <c r="C76" i="4"/>
  <c r="C71" i="2"/>
  <c r="C70" i="2"/>
  <c r="C69" i="2"/>
  <c r="C68" i="2"/>
  <c r="C71" i="4"/>
  <c r="C70" i="4"/>
  <c r="C69" i="4"/>
  <c r="C67" i="2"/>
  <c r="C66" i="2"/>
  <c r="C74" i="4"/>
  <c r="C73" i="4"/>
  <c r="C72" i="4"/>
  <c r="C65" i="2"/>
  <c r="C64" i="2"/>
  <c r="J107" i="7" l="1"/>
  <c r="J108" i="7" s="1"/>
  <c r="J109" i="7" s="1"/>
  <c r="J110" i="7" s="1"/>
  <c r="J111" i="7" s="1"/>
  <c r="J112" i="7" s="1"/>
  <c r="J113" i="7" s="1"/>
  <c r="J114" i="7" s="1"/>
  <c r="J115" i="7" s="1"/>
  <c r="J116" i="7" s="1"/>
  <c r="J117" i="7" s="1"/>
  <c r="J118" i="7" s="1"/>
  <c r="J119" i="7" s="1"/>
  <c r="J120" i="7" s="1"/>
  <c r="J121" i="7" s="1"/>
  <c r="J122" i="7" s="1"/>
  <c r="J123" i="7" s="1"/>
  <c r="J124" i="7" s="1"/>
  <c r="J125" i="7" s="1"/>
  <c r="J126" i="7" s="1"/>
  <c r="J127" i="7" s="1"/>
  <c r="J128" i="7" s="1"/>
  <c r="J129" i="7" s="1"/>
  <c r="J130" i="7" s="1"/>
  <c r="J131" i="7" s="1"/>
  <c r="J132" i="7" s="1"/>
  <c r="J133" i="7" s="1"/>
  <c r="J134" i="7" s="1"/>
  <c r="J135" i="7" s="1"/>
  <c r="J136" i="7" s="1"/>
  <c r="J137" i="7" s="1"/>
  <c r="J138" i="7" s="1"/>
  <c r="J139" i="7" s="1"/>
  <c r="J140" i="7" s="1"/>
  <c r="J141" i="7" s="1"/>
  <c r="J142" i="7" s="1"/>
  <c r="J143" i="7" s="1"/>
  <c r="J144" i="7" s="1"/>
  <c r="J145" i="7" s="1"/>
  <c r="J146" i="7" s="1"/>
  <c r="J147" i="7" s="1"/>
  <c r="J148" i="7" s="1"/>
  <c r="A361" i="7"/>
  <c r="A363" i="7"/>
  <c r="A366" i="7" s="1"/>
  <c r="A369" i="7" s="1"/>
  <c r="A365" i="7"/>
  <c r="A368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H31" i="5"/>
  <c r="C68" i="4"/>
  <c r="C67" i="4"/>
  <c r="C66" i="4"/>
  <c r="C63" i="2"/>
  <c r="C62" i="2"/>
  <c r="C65" i="4"/>
  <c r="C64" i="4"/>
  <c r="C63" i="4"/>
  <c r="C61" i="2"/>
  <c r="C60" i="2"/>
  <c r="J149" i="7" l="1"/>
  <c r="J150" i="7" s="1"/>
  <c r="J151" i="7" s="1"/>
  <c r="J152" i="7" s="1"/>
  <c r="J153" i="7" s="1"/>
  <c r="J260" i="7"/>
  <c r="J261" i="7" s="1"/>
  <c r="J262" i="7" s="1"/>
  <c r="J263" i="7" s="1"/>
  <c r="J264" i="7" s="1"/>
  <c r="J265" i="7" s="1"/>
  <c r="J266" i="7" s="1"/>
  <c r="J267" i="7" s="1"/>
  <c r="J268" i="7" s="1"/>
  <c r="J269" i="7" s="1"/>
  <c r="J270" i="7" s="1"/>
  <c r="J271" i="7" s="1"/>
  <c r="J272" i="7" s="1"/>
  <c r="J273" i="7" s="1"/>
  <c r="J274" i="7" s="1"/>
  <c r="J275" i="7" s="1"/>
  <c r="J276" i="7" s="1"/>
  <c r="J277" i="7" s="1"/>
  <c r="J278" i="7" s="1"/>
  <c r="J279" i="7" s="1"/>
  <c r="J280" i="7" s="1"/>
  <c r="J281" i="7" s="1"/>
  <c r="J282" i="7" s="1"/>
  <c r="J283" i="7" s="1"/>
  <c r="J284" i="7" s="1"/>
  <c r="J285" i="7" s="1"/>
  <c r="J286" i="7" s="1"/>
  <c r="J287" i="7" s="1"/>
  <c r="J288" i="7" s="1"/>
  <c r="J289" i="7" s="1"/>
  <c r="J290" i="7" s="1"/>
  <c r="J291" i="7" s="1"/>
  <c r="J292" i="7" s="1"/>
  <c r="J293" i="7" s="1"/>
  <c r="J294" i="7" s="1"/>
  <c r="J295" i="7" s="1"/>
  <c r="J296" i="7" s="1"/>
  <c r="J297" i="7" s="1"/>
  <c r="J298" i="7" s="1"/>
  <c r="J299" i="7" s="1"/>
  <c r="J300" i="7" s="1"/>
  <c r="J301" i="7" s="1"/>
  <c r="J302" i="7" s="1"/>
  <c r="J303" i="7" s="1"/>
  <c r="J304" i="7" s="1"/>
  <c r="J305" i="7" s="1"/>
  <c r="J306" i="7" s="1"/>
  <c r="J307" i="7" s="1"/>
  <c r="J308" i="7" s="1"/>
  <c r="J309" i="7" s="1"/>
  <c r="J310" i="7" s="1"/>
  <c r="J311" i="7" s="1"/>
  <c r="J312" i="7" s="1"/>
  <c r="J313" i="7" s="1"/>
  <c r="J314" i="7" s="1"/>
  <c r="J315" i="7" s="1"/>
  <c r="J316" i="7" s="1"/>
  <c r="J317" i="7" s="1"/>
  <c r="J318" i="7" s="1"/>
  <c r="J319" i="7" s="1"/>
  <c r="J320" i="7" s="1"/>
  <c r="J321" i="7" s="1"/>
  <c r="J322" i="7" s="1"/>
  <c r="J323" i="7" s="1"/>
  <c r="J324" i="7" s="1"/>
  <c r="J325" i="7" s="1"/>
  <c r="J326" i="7" s="1"/>
  <c r="J327" i="7" s="1"/>
  <c r="J328" i="7" s="1"/>
  <c r="J329" i="7" s="1"/>
  <c r="J330" i="7" s="1"/>
  <c r="J331" i="7" s="1"/>
  <c r="J332" i="7" s="1"/>
  <c r="J333" i="7" s="1"/>
  <c r="J334" i="7" s="1"/>
  <c r="J335" i="7" s="1"/>
  <c r="J336" i="7" s="1"/>
  <c r="J337" i="7" s="1"/>
  <c r="J338" i="7" s="1"/>
  <c r="J339" i="7" s="1"/>
  <c r="J340" i="7" s="1"/>
  <c r="J341" i="7" s="1"/>
  <c r="J342" i="7" s="1"/>
  <c r="J343" i="7" s="1"/>
  <c r="J344" i="7" s="1"/>
  <c r="J345" i="7" s="1"/>
  <c r="J346" i="7" s="1"/>
  <c r="J347" i="7" s="1"/>
  <c r="J348" i="7" s="1"/>
  <c r="J349" i="7" s="1"/>
  <c r="J350" i="7" s="1"/>
  <c r="J351" i="7" s="1"/>
  <c r="J352" i="7" s="1"/>
  <c r="J353" i="7" s="1"/>
  <c r="J354" i="7" s="1"/>
  <c r="J355" i="7" s="1"/>
  <c r="J356" i="7" s="1"/>
  <c r="J357" i="7" s="1"/>
  <c r="J358" i="7" s="1"/>
  <c r="J359" i="7" s="1"/>
  <c r="J360" i="7" s="1"/>
  <c r="J361" i="7" s="1"/>
  <c r="J362" i="7" s="1"/>
  <c r="J363" i="7" s="1"/>
  <c r="J364" i="7" s="1"/>
  <c r="J365" i="7" s="1"/>
  <c r="J366" i="7" s="1"/>
  <c r="J367" i="7" s="1"/>
  <c r="J368" i="7" s="1"/>
  <c r="J369" i="7" s="1"/>
  <c r="J370" i="7" s="1"/>
  <c r="J371" i="7" s="1"/>
  <c r="J372" i="7" s="1"/>
  <c r="J373" i="7" s="1"/>
  <c r="J374" i="7" s="1"/>
  <c r="J375" i="7" s="1"/>
  <c r="A364" i="7"/>
  <c r="A367" i="7" s="1"/>
  <c r="A370" i="7" s="1"/>
  <c r="E17" i="6"/>
  <c r="E15" i="6"/>
  <c r="E13" i="6"/>
  <c r="K376" i="7" l="1"/>
  <c r="J376" i="7"/>
  <c r="J377" i="7" s="1"/>
  <c r="J378" i="7" s="1"/>
  <c r="J154" i="7"/>
  <c r="C62" i="4"/>
  <c r="C61" i="4"/>
  <c r="C60" i="4"/>
  <c r="C59" i="2"/>
  <c r="C58" i="2"/>
  <c r="J379" i="7" l="1"/>
  <c r="J380" i="7" s="1"/>
  <c r="K379" i="7"/>
  <c r="J155" i="7"/>
  <c r="J156" i="7" s="1"/>
  <c r="J157" i="7" s="1"/>
  <c r="J158" i="7" s="1"/>
  <c r="J159" i="7" s="1"/>
  <c r="J160" i="7" s="1"/>
  <c r="J161" i="7" s="1"/>
  <c r="J162" i="7" s="1"/>
  <c r="C59" i="4"/>
  <c r="C58" i="4"/>
  <c r="C57" i="4"/>
  <c r="C56" i="4"/>
  <c r="C57" i="2"/>
  <c r="C56" i="2"/>
  <c r="C55" i="2"/>
  <c r="C54" i="2"/>
  <c r="K381" i="7" l="1"/>
  <c r="J381" i="7"/>
  <c r="J382" i="7" s="1"/>
  <c r="J163" i="7"/>
  <c r="J164" i="7" s="1"/>
  <c r="J165" i="7" s="1"/>
  <c r="J166" i="7" s="1"/>
  <c r="J167" i="7" s="1"/>
  <c r="J168" i="7" s="1"/>
  <c r="K273" i="7"/>
  <c r="K277" i="7"/>
  <c r="E30" i="5"/>
  <c r="E29" i="5"/>
  <c r="E28" i="5"/>
  <c r="F30" i="5"/>
  <c r="M76" i="4" s="1"/>
  <c r="F29" i="5"/>
  <c r="F28" i="5"/>
  <c r="F36" i="5" l="1"/>
  <c r="H36" i="5" s="1"/>
  <c r="K383" i="7"/>
  <c r="J383" i="7"/>
  <c r="J384" i="7" s="1"/>
  <c r="J169" i="7"/>
  <c r="J170" i="7" s="1"/>
  <c r="J171" i="7" s="1"/>
  <c r="J172" i="7" s="1"/>
  <c r="J173" i="7" s="1"/>
  <c r="J174" i="7" s="1"/>
  <c r="J175" i="7" s="1"/>
  <c r="J176" i="7" s="1"/>
  <c r="J177" i="7" s="1"/>
  <c r="J178" i="7" s="1"/>
  <c r="J179" i="7" s="1"/>
  <c r="J180" i="7" s="1"/>
  <c r="J181" i="7" s="1"/>
  <c r="J182" i="7" s="1"/>
  <c r="J183" i="7" s="1"/>
  <c r="J184" i="7" s="1"/>
  <c r="J185" i="7" s="1"/>
  <c r="J186" i="7" s="1"/>
  <c r="J187" i="7" s="1"/>
  <c r="J188" i="7" s="1"/>
  <c r="K283" i="7"/>
  <c r="H28" i="5"/>
  <c r="H29" i="5"/>
  <c r="H30" i="5"/>
  <c r="C55" i="4"/>
  <c r="C54" i="4"/>
  <c r="C53" i="4"/>
  <c r="C52" i="4"/>
  <c r="C53" i="2"/>
  <c r="C52" i="2"/>
  <c r="C51" i="2"/>
  <c r="C50" i="2"/>
  <c r="J189" i="7" l="1"/>
  <c r="J190" i="7" s="1"/>
  <c r="J191" i="7" s="1"/>
  <c r="J192" i="7" s="1"/>
  <c r="J193" i="7" s="1"/>
  <c r="J194" i="7" s="1"/>
  <c r="J195" i="7" s="1"/>
  <c r="J196" i="7" s="1"/>
  <c r="J197" i="7" s="1"/>
  <c r="J198" i="7" s="1"/>
  <c r="J199" i="7" s="1"/>
  <c r="J200" i="7" s="1"/>
  <c r="J201" i="7" s="1"/>
  <c r="J202" i="7" s="1"/>
  <c r="J203" i="7" s="1"/>
  <c r="K385" i="7"/>
  <c r="J385" i="7"/>
  <c r="J386" i="7" s="1"/>
  <c r="J387" i="7" s="1"/>
  <c r="J388" i="7" s="1"/>
  <c r="K280" i="7"/>
  <c r="K290" i="7"/>
  <c r="C51" i="4"/>
  <c r="C50" i="4"/>
  <c r="C49" i="4"/>
  <c r="C49" i="2"/>
  <c r="C48" i="2"/>
  <c r="J204" i="7" l="1"/>
  <c r="J205" i="7" s="1"/>
  <c r="J206" i="7" s="1"/>
  <c r="J207" i="7" s="1"/>
  <c r="K389" i="7"/>
  <c r="J389" i="7"/>
  <c r="J390" i="7" s="1"/>
  <c r="J391" i="7" s="1"/>
  <c r="J392" i="7" s="1"/>
  <c r="K393" i="7" s="1"/>
  <c r="K292" i="7"/>
  <c r="C21" i="2"/>
  <c r="C22" i="2"/>
  <c r="K20" i="2"/>
  <c r="K22" i="2" s="1"/>
  <c r="J208" i="7" l="1"/>
  <c r="J209" i="7" s="1"/>
  <c r="J210" i="7" s="1"/>
  <c r="J211" i="7" s="1"/>
  <c r="J393" i="7"/>
  <c r="J394" i="7" s="1"/>
  <c r="J395" i="7" s="1"/>
  <c r="J396" i="7" s="1"/>
  <c r="J397" i="7" s="1"/>
  <c r="K398" i="7" s="1"/>
  <c r="K295" i="7"/>
  <c r="C48" i="4"/>
  <c r="C47" i="4"/>
  <c r="C46" i="4"/>
  <c r="C47" i="2"/>
  <c r="C46" i="2"/>
  <c r="J212" i="7" l="1"/>
  <c r="J213" i="7" s="1"/>
  <c r="J214" i="7" s="1"/>
  <c r="J215" i="7" s="1"/>
  <c r="J216" i="7" s="1"/>
  <c r="J217" i="7" s="1"/>
  <c r="J218" i="7" s="1"/>
  <c r="J219" i="7" s="1"/>
  <c r="J220" i="7" s="1"/>
  <c r="J221" i="7" s="1"/>
  <c r="J222" i="7" s="1"/>
  <c r="J223" i="7" s="1"/>
  <c r="J224" i="7" s="1"/>
  <c r="J225" i="7" s="1"/>
  <c r="J226" i="7" s="1"/>
  <c r="J227" i="7" s="1"/>
  <c r="J228" i="7" s="1"/>
  <c r="J229" i="7" s="1"/>
  <c r="J230" i="7" s="1"/>
  <c r="J231" i="7" s="1"/>
  <c r="J232" i="7" s="1"/>
  <c r="J233" i="7" s="1"/>
  <c r="J234" i="7" s="1"/>
  <c r="J235" i="7" s="1"/>
  <c r="J236" i="7" s="1"/>
  <c r="J237" i="7" s="1"/>
  <c r="J238" i="7" s="1"/>
  <c r="J239" i="7" s="1"/>
  <c r="J240" i="7" s="1"/>
  <c r="J241" i="7" s="1"/>
  <c r="J242" i="7" s="1"/>
  <c r="J243" i="7" s="1"/>
  <c r="J244" i="7" s="1"/>
  <c r="J245" i="7" s="1"/>
  <c r="J246" i="7" s="1"/>
  <c r="J247" i="7" s="1"/>
  <c r="J248" i="7" s="1"/>
  <c r="J249" i="7" s="1"/>
  <c r="J250" i="7" s="1"/>
  <c r="J251" i="7" s="1"/>
  <c r="J252" i="7" s="1"/>
  <c r="J253" i="7" s="1"/>
  <c r="J254" i="7" s="1"/>
  <c r="J255" i="7" s="1"/>
  <c r="J256" i="7" s="1"/>
  <c r="J398" i="7"/>
  <c r="J399" i="7" s="1"/>
  <c r="J400" i="7" s="1"/>
  <c r="J401" i="7" s="1"/>
  <c r="K402" i="7" s="1"/>
  <c r="K298" i="7"/>
  <c r="C45" i="4"/>
  <c r="C44" i="4"/>
  <c r="C43" i="4"/>
  <c r="C42" i="4"/>
  <c r="C45" i="2"/>
  <c r="C44" i="2"/>
  <c r="C43" i="2"/>
  <c r="L256" i="7" l="1"/>
  <c r="J402" i="7"/>
  <c r="J403" i="7" s="1"/>
  <c r="J404" i="7" s="1"/>
  <c r="J405" i="7" s="1"/>
  <c r="J406" i="7" s="1"/>
  <c r="J407" i="7" s="1"/>
  <c r="J408" i="7" s="1"/>
  <c r="K301" i="7"/>
  <c r="C41" i="4"/>
  <c r="C42" i="2"/>
  <c r="J409" i="7" l="1"/>
  <c r="J410" i="7" s="1"/>
  <c r="J411" i="7" s="1"/>
  <c r="J412" i="7" s="1"/>
  <c r="J413" i="7" s="1"/>
  <c r="K414" i="7" s="1"/>
  <c r="K409" i="7"/>
  <c r="K305" i="7"/>
  <c r="C38" i="4"/>
  <c r="J414" i="7" l="1"/>
  <c r="J415" i="7" s="1"/>
  <c r="J416" i="7" s="1"/>
  <c r="J417" i="7" s="1"/>
  <c r="J418" i="7" s="1"/>
  <c r="J419" i="7" s="1"/>
  <c r="J420" i="7" s="1"/>
  <c r="K421" i="7" s="1"/>
  <c r="K308" i="7"/>
  <c r="C37" i="4"/>
  <c r="C34" i="4"/>
  <c r="J421" i="7" l="1"/>
  <c r="K312" i="7"/>
  <c r="C40" i="4"/>
  <c r="C39" i="4"/>
  <c r="C36" i="4"/>
  <c r="C35" i="4"/>
  <c r="C41" i="2"/>
  <c r="C40" i="2"/>
  <c r="C39" i="2"/>
  <c r="C38" i="2"/>
  <c r="C37" i="2"/>
  <c r="C36" i="2"/>
  <c r="C35" i="2"/>
  <c r="J422" i="7" l="1"/>
  <c r="K423" i="7" s="1"/>
  <c r="K315" i="7"/>
  <c r="C33" i="4"/>
  <c r="C32" i="4"/>
  <c r="C31" i="4"/>
  <c r="C30" i="4"/>
  <c r="C29" i="4"/>
  <c r="C28" i="4"/>
  <c r="C34" i="2"/>
  <c r="C33" i="2"/>
  <c r="C32" i="2"/>
  <c r="C31" i="2"/>
  <c r="J423" i="7" l="1"/>
  <c r="K424" i="7" s="1"/>
  <c r="K318" i="7"/>
  <c r="C27" i="4"/>
  <c r="C26" i="4"/>
  <c r="C25" i="4"/>
  <c r="C30" i="2"/>
  <c r="C29" i="2"/>
  <c r="J424" i="7" l="1"/>
  <c r="K321" i="7"/>
  <c r="C21" i="4"/>
  <c r="C24" i="4"/>
  <c r="C23" i="4"/>
  <c r="C22" i="4"/>
  <c r="K425" i="7" l="1"/>
  <c r="J425" i="7"/>
  <c r="J426" i="7" s="1"/>
  <c r="J427" i="7" s="1"/>
  <c r="J428" i="7" s="1"/>
  <c r="J429" i="7" s="1"/>
  <c r="K324" i="7"/>
  <c r="C28" i="2"/>
  <c r="C27" i="2"/>
  <c r="K430" i="7" l="1"/>
  <c r="J430" i="7"/>
  <c r="K330" i="7"/>
  <c r="K327" i="7"/>
  <c r="C20" i="4"/>
  <c r="C19" i="4"/>
  <c r="C26" i="2"/>
  <c r="C25" i="2"/>
  <c r="J431" i="7" l="1"/>
  <c r="J432" i="7" s="1"/>
  <c r="J433" i="7" s="1"/>
  <c r="J434" i="7" s="1"/>
  <c r="C24" i="2"/>
  <c r="K435" i="7" l="1"/>
  <c r="J435" i="7"/>
  <c r="K332" i="7"/>
  <c r="C23" i="2"/>
  <c r="J436" i="7" l="1"/>
  <c r="J437" i="7" s="1"/>
  <c r="J438" i="7" s="1"/>
  <c r="J439" i="7" s="1"/>
  <c r="J440" i="7" s="1"/>
  <c r="J441" i="7" s="1"/>
  <c r="J442" i="7" s="1"/>
  <c r="J443" i="7" s="1"/>
  <c r="J444" i="7" s="1"/>
  <c r="J445" i="7" s="1"/>
  <c r="J446" i="7" s="1"/>
  <c r="J447" i="7" s="1"/>
  <c r="J448" i="7" s="1"/>
  <c r="K334" i="7"/>
  <c r="C16" i="2"/>
  <c r="C17" i="2"/>
  <c r="C15" i="2"/>
  <c r="C13" i="2"/>
  <c r="K449" i="7" l="1"/>
  <c r="J449" i="7"/>
  <c r="K440" i="7"/>
  <c r="K444" i="7"/>
  <c r="K338" i="7"/>
  <c r="C14" i="2"/>
  <c r="K448" i="7" l="1"/>
  <c r="K342" i="7"/>
  <c r="C20" i="2"/>
  <c r="C19" i="2"/>
  <c r="C18" i="2"/>
  <c r="C18" i="4"/>
  <c r="C17" i="4"/>
  <c r="C16" i="4"/>
  <c r="C15" i="4"/>
  <c r="C14" i="4"/>
  <c r="C13" i="4"/>
  <c r="C12" i="2" l="1"/>
  <c r="C11" i="2"/>
  <c r="C10" i="2"/>
  <c r="C9" i="2"/>
  <c r="C8" i="2"/>
  <c r="C7" i="2"/>
  <c r="C6" i="2"/>
  <c r="C12" i="4"/>
  <c r="C11" i="4"/>
  <c r="C10" i="4"/>
  <c r="C9" i="4"/>
  <c r="C8" i="4"/>
  <c r="C7" i="4"/>
  <c r="C6" i="4"/>
  <c r="K348" i="7" l="1"/>
  <c r="K345" i="7"/>
  <c r="A7" i="4"/>
  <c r="A8" i="4" s="1"/>
  <c r="A9" i="4" s="1"/>
  <c r="A10" i="4" s="1"/>
  <c r="A11" i="4" s="1"/>
  <c r="A12" i="4" s="1"/>
  <c r="J6" i="4"/>
  <c r="J7" i="4" l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K26" i="4" s="1"/>
  <c r="A13" i="4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J6" i="2"/>
  <c r="A7" i="2"/>
  <c r="A166" i="4" l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167" i="4"/>
  <c r="K351" i="7"/>
  <c r="K354" i="7"/>
  <c r="K358" i="7"/>
  <c r="K363" i="7"/>
  <c r="J7" i="2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K22" i="4"/>
  <c r="J25" i="4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K370" i="7" l="1"/>
  <c r="A71" i="2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J19" i="2"/>
  <c r="J26" i="4"/>
  <c r="J27" i="4" s="1"/>
  <c r="J20" i="2" l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28" i="4"/>
  <c r="K29" i="4"/>
  <c r="J71" i="2" l="1"/>
  <c r="J29" i="4"/>
  <c r="J30" i="4" s="1"/>
  <c r="J31" i="4" s="1"/>
  <c r="J32" i="4" s="1"/>
  <c r="J33" i="4" s="1"/>
  <c r="J34" i="4" s="1"/>
  <c r="J35" i="4" s="1"/>
  <c r="J36" i="4" s="1"/>
  <c r="J72" i="2" l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K32" i="4"/>
  <c r="J37" i="4"/>
  <c r="K39" i="4"/>
  <c r="J38" i="4" l="1"/>
  <c r="J39" i="4" s="1"/>
  <c r="J40" i="4" s="1"/>
  <c r="K41" i="4" s="1"/>
  <c r="J263" i="2" l="1"/>
  <c r="J41" i="4"/>
  <c r="J42" i="4" s="1"/>
  <c r="L263" i="2" l="1"/>
  <c r="J43" i="4"/>
  <c r="K44" i="4" s="1"/>
  <c r="J44" i="4" l="1"/>
  <c r="J45" i="4" s="1"/>
  <c r="J46" i="4" s="1"/>
  <c r="J47" i="4" s="1"/>
  <c r="K47" i="4" l="1"/>
  <c r="J48" i="4"/>
  <c r="J49" i="4" s="1"/>
  <c r="K50" i="4" l="1"/>
  <c r="J50" i="4"/>
  <c r="J51" i="4" l="1"/>
  <c r="J52" i="4" s="1"/>
  <c r="J53" i="4" s="1"/>
  <c r="K54" i="4" s="1"/>
  <c r="J54" i="4" l="1"/>
  <c r="J55" i="4" s="1"/>
  <c r="J56" i="4" s="1"/>
  <c r="J57" i="4" s="1"/>
  <c r="J58" i="4" s="1"/>
  <c r="J59" i="4" s="1"/>
  <c r="J60" i="4" s="1"/>
  <c r="J61" i="4" s="1"/>
  <c r="J62" i="4" s="1"/>
  <c r="K57" i="4" l="1"/>
  <c r="K61" i="4"/>
  <c r="J63" i="4"/>
  <c r="K64" i="4" l="1"/>
  <c r="J64" i="4"/>
  <c r="J65" i="4" l="1"/>
  <c r="J66" i="4" l="1"/>
  <c r="J67" i="4" s="1"/>
  <c r="J68" i="4" l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K67" i="4"/>
  <c r="K70" i="4" l="1"/>
  <c r="K79" i="4"/>
  <c r="K81" i="4"/>
  <c r="K73" i="4"/>
  <c r="L76" i="4"/>
  <c r="N76" i="4" s="1"/>
  <c r="J82" i="4"/>
  <c r="K83" i="4"/>
  <c r="K76" i="4"/>
  <c r="J83" i="4" l="1"/>
  <c r="J84" i="4" l="1"/>
  <c r="J85" i="4" l="1"/>
  <c r="J86" i="4" s="1"/>
  <c r="K87" i="4" s="1"/>
  <c r="J87" i="4" l="1"/>
  <c r="J88" i="4" l="1"/>
  <c r="J89" i="4" s="1"/>
  <c r="J90" i="4" l="1"/>
  <c r="J91" i="4" l="1"/>
  <c r="K91" i="4"/>
  <c r="J92" i="4" l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l="1"/>
  <c r="J113" i="4" s="1"/>
  <c r="K112" i="4"/>
  <c r="K107" i="4"/>
  <c r="K97" i="4"/>
  <c r="K94" i="4"/>
  <c r="J114" i="4" l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K100" i="4"/>
  <c r="J126" i="4" l="1"/>
  <c r="J127" i="4" s="1"/>
  <c r="J128" i="4" s="1"/>
  <c r="J129" i="4" s="1"/>
  <c r="J130" i="4" s="1"/>
  <c r="J131" i="4" s="1"/>
  <c r="L119" i="4"/>
  <c r="N119" i="4" s="1"/>
  <c r="K125" i="4"/>
  <c r="K119" i="4"/>
  <c r="K103" i="4"/>
  <c r="K132" i="4" l="1"/>
  <c r="J132" i="4"/>
  <c r="K130" i="4"/>
  <c r="K128" i="4"/>
  <c r="J133" i="4" l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l="1"/>
  <c r="J148" i="4" s="1"/>
  <c r="J149" i="4" s="1"/>
  <c r="J150" i="4" s="1"/>
  <c r="K151" i="4" s="1"/>
  <c r="K147" i="4"/>
  <c r="K134" i="4"/>
  <c r="J151" i="4" l="1"/>
  <c r="J152" i="4" s="1"/>
  <c r="J153" i="4" s="1"/>
  <c r="J154" i="4" s="1"/>
  <c r="J155" i="4" s="1"/>
  <c r="J156" i="4" s="1"/>
  <c r="J157" i="4" s="1"/>
  <c r="K158" i="4" s="1"/>
  <c r="K142" i="4"/>
  <c r="K138" i="4"/>
  <c r="J158" i="4" l="1"/>
  <c r="J159" i="4" s="1"/>
  <c r="J160" i="4" s="1"/>
  <c r="J161" i="4" s="1"/>
  <c r="J162" i="4" s="1"/>
  <c r="J163" i="4" l="1"/>
  <c r="J164" i="4" s="1"/>
  <c r="J165" i="4" s="1"/>
  <c r="J166" i="4" s="1"/>
  <c r="J167" i="4" s="1"/>
  <c r="J168" i="4" s="1"/>
  <c r="J169" i="4" s="1"/>
  <c r="K163" i="4"/>
  <c r="J170" i="4" l="1"/>
  <c r="K171" i="4" l="1"/>
  <c r="L205" i="4"/>
  <c r="J171" i="4"/>
  <c r="J172" i="4" l="1"/>
  <c r="K173" i="4" s="1"/>
  <c r="J173" i="4" l="1"/>
  <c r="K174" i="4" l="1"/>
  <c r="J174" i="4"/>
  <c r="N205" i="4"/>
  <c r="K175" i="4" l="1"/>
  <c r="J175" i="4"/>
  <c r="J176" i="4" l="1"/>
  <c r="J177" i="4" s="1"/>
  <c r="J178" i="4" s="1"/>
  <c r="J179" i="4" l="1"/>
  <c r="J180" i="4" l="1"/>
  <c r="K180" i="4"/>
  <c r="J181" i="4" l="1"/>
  <c r="J182" i="4" l="1"/>
  <c r="J183" i="4" s="1"/>
  <c r="J184" i="4" s="1"/>
  <c r="K185" i="4" l="1"/>
  <c r="J185" i="4"/>
  <c r="J186" i="4" s="1"/>
  <c r="J187" i="4" s="1"/>
  <c r="J188" i="4" s="1"/>
  <c r="J189" i="4" s="1"/>
  <c r="J190" i="4" s="1"/>
  <c r="J191" i="4" s="1"/>
  <c r="J192" i="4" s="1"/>
  <c r="J193" i="4" s="1"/>
  <c r="K198" i="4" l="1"/>
  <c r="K194" i="4"/>
  <c r="K190" i="4"/>
  <c r="L206" i="4" l="1"/>
  <c r="N206" i="4" s="1"/>
  <c r="J201" i="4" l="1"/>
</calcChain>
</file>

<file path=xl/sharedStrings.xml><?xml version="1.0" encoding="utf-8"?>
<sst xmlns="http://schemas.openxmlformats.org/spreadsheetml/2006/main" count="4146" uniqueCount="169">
  <si>
    <t>BRASIL</t>
  </si>
  <si>
    <t xml:space="preserve">CNPJ:  </t>
  </si>
  <si>
    <t xml:space="preserve">BANCO DO BRASIL </t>
  </si>
  <si>
    <t>AGENCIA</t>
  </si>
  <si>
    <t>1066-9</t>
  </si>
  <si>
    <t>GOIANINHA - R.N. BRASIL</t>
  </si>
  <si>
    <t>C/C</t>
  </si>
  <si>
    <t>IBAN:</t>
  </si>
  <si>
    <t>SWIFT:</t>
  </si>
  <si>
    <t>R$</t>
  </si>
  <si>
    <t>C/C Ordinario</t>
  </si>
  <si>
    <t>Banco do Brasil - Goianinha</t>
  </si>
  <si>
    <t>Nr</t>
  </si>
  <si>
    <t>Date Comptable</t>
  </si>
  <si>
    <t>Description</t>
  </si>
  <si>
    <t>Soggetto</t>
  </si>
  <si>
    <t>Total</t>
  </si>
  <si>
    <t>Solde</t>
  </si>
  <si>
    <t>SOMBRA RESORT BRASIL Sociedad Unipessoal L.T.D.A.</t>
  </si>
  <si>
    <t>43.730.206/0001-80</t>
  </si>
  <si>
    <t>BRAS BRRJ SBO</t>
  </si>
  <si>
    <t>48649-3</t>
  </si>
  <si>
    <t>SOMBRA RESORT BRASIL</t>
  </si>
  <si>
    <t>CATEGORIA</t>
  </si>
  <si>
    <t>TIPO</t>
  </si>
  <si>
    <t>CONTA COM:</t>
  </si>
  <si>
    <t>CNPJ:</t>
  </si>
  <si>
    <t>saldo anterior</t>
  </si>
  <si>
    <t>Transferencia recebida</t>
  </si>
  <si>
    <t>Pagamento terreno</t>
  </si>
  <si>
    <t>SOMBRA FLORESTA</t>
  </si>
  <si>
    <t>Tarifa Pacote de Serviços</t>
  </si>
  <si>
    <t>C/C Investimento Fundos</t>
  </si>
  <si>
    <t>Aplicaçao</t>
  </si>
  <si>
    <t>Resgate</t>
  </si>
  <si>
    <t>Rendimento Bruto</t>
  </si>
  <si>
    <t>Imposto de Renda</t>
  </si>
  <si>
    <t>I.O.F.</t>
  </si>
  <si>
    <t>INVESTIMENTOS</t>
  </si>
  <si>
    <t>Terreno</t>
  </si>
  <si>
    <t>Anno</t>
  </si>
  <si>
    <t>B.B.</t>
  </si>
  <si>
    <t>Impostos</t>
  </si>
  <si>
    <t>IMPOSTOS</t>
  </si>
  <si>
    <t xml:space="preserve">CNPJ Conta Agil: </t>
  </si>
  <si>
    <t>43.617.343/0001-02</t>
  </si>
  <si>
    <t>Antonio Francisco Alves Ro</t>
  </si>
  <si>
    <t>Varias</t>
  </si>
  <si>
    <t>LOCACAO</t>
  </si>
  <si>
    <t>Produtos</t>
  </si>
  <si>
    <t>50% Traduzione giurata dello Statuto</t>
  </si>
  <si>
    <t>CNPJ</t>
  </si>
  <si>
    <t>PREF MUNICIPAL DE NATAL</t>
  </si>
  <si>
    <t>SOMBRA RESORT BRASIL Sociedade Unipessoal Ltda</t>
  </si>
  <si>
    <t>Empresa:</t>
  </si>
  <si>
    <t>Banco:</t>
  </si>
  <si>
    <t>Agencia:</t>
  </si>
  <si>
    <t>Conta:</t>
  </si>
  <si>
    <t>Insc. Junta Comercial</t>
  </si>
  <si>
    <t>24200911503</t>
  </si>
  <si>
    <t>Conta Corrente</t>
  </si>
  <si>
    <t>Investimentos Fundos</t>
  </si>
  <si>
    <t>Taxa de localizaçao 2021</t>
  </si>
  <si>
    <t>Taxa de localizaçao 2022</t>
  </si>
  <si>
    <t>Juros e multa</t>
  </si>
  <si>
    <t>Juros e Multa</t>
  </si>
  <si>
    <t>Descrizione</t>
  </si>
  <si>
    <t>Sum of Total</t>
  </si>
  <si>
    <t>JUROS</t>
  </si>
  <si>
    <t>E/U</t>
  </si>
  <si>
    <t>SAIDAS</t>
  </si>
  <si>
    <t>ENTRADAS</t>
  </si>
  <si>
    <t>IMOBILIZACAO</t>
  </si>
  <si>
    <t>Domiciliazione societaria</t>
  </si>
  <si>
    <t>TOTAL</t>
  </si>
  <si>
    <t>ONE Empreendimentos Serviços</t>
  </si>
  <si>
    <t>Ano</t>
  </si>
  <si>
    <t>Despesas Bancarias</t>
  </si>
  <si>
    <t>IOF Bancario</t>
  </si>
  <si>
    <t>DESPESAS TRIBUTARIAS</t>
  </si>
  <si>
    <t>ANOS</t>
  </si>
  <si>
    <t>Cambiamento indirizzo societario</t>
  </si>
  <si>
    <t>Igor R.R. Franca Sociedade - Junta Comercial</t>
  </si>
  <si>
    <t>JM EMPREENDIMENTOS IMOB</t>
  </si>
  <si>
    <t>JM EMPREENDIMENTOS IMOBILIARIO SCP LTDA</t>
  </si>
  <si>
    <t>DESPESAS BANCARIAS</t>
  </si>
  <si>
    <t>Prefeitura NATAL</t>
  </si>
  <si>
    <t>Natal - Cartorio 2 Oficio Nota</t>
  </si>
  <si>
    <t>Spese Cartorio</t>
  </si>
  <si>
    <t>Impostos e Taxas</t>
  </si>
  <si>
    <t>Taxa de Localizaçao</t>
  </si>
  <si>
    <t>DESPESAS GERAIS</t>
  </si>
  <si>
    <t>DESPESAS FINANCEIRAS</t>
  </si>
  <si>
    <t>IRRF</t>
  </si>
  <si>
    <t>Taxa de Localizaçao 2024</t>
  </si>
  <si>
    <t>Taxa de Localizaçao 2023</t>
  </si>
  <si>
    <t>Essencial Gestao Empresarial LTDA</t>
  </si>
  <si>
    <t>Mac Madeira Ltd</t>
  </si>
  <si>
    <t>Compra de Madeira</t>
  </si>
  <si>
    <t>Elenice Aurea Solares</t>
  </si>
  <si>
    <t>Financeiro</t>
  </si>
  <si>
    <t>Honorario Contabeis</t>
  </si>
  <si>
    <t>Elenice Aurea Soares</t>
  </si>
  <si>
    <t>Magnolia Melo de Souza</t>
  </si>
  <si>
    <t>Cambio EUR/R$</t>
  </si>
  <si>
    <t>Nota 01-2024</t>
  </si>
  <si>
    <t>Nota 02-2024</t>
  </si>
  <si>
    <t>Nota 03-2024</t>
  </si>
  <si>
    <t>Costuras</t>
  </si>
  <si>
    <t>L &amp; M - Varejo da costruçao Elizomar de Lima Marques</t>
  </si>
  <si>
    <t>Material de Costruçao</t>
  </si>
  <si>
    <t>Nota 04-2024</t>
  </si>
  <si>
    <t>Butzke Importaçao Exportaçao</t>
  </si>
  <si>
    <t>Nu Pagamento SA</t>
  </si>
  <si>
    <t>140852-6 SCP - JM EMPREENDIMENTOS IMOBILIARIO SCP LTDA</t>
  </si>
  <si>
    <t>140850-X - JM EMPREENDIMENTOS IMOB</t>
  </si>
  <si>
    <t>C N Palaoro Eireli</t>
  </si>
  <si>
    <t>GLOBAL TECH</t>
  </si>
  <si>
    <t>Gestao Empresarial</t>
  </si>
  <si>
    <t>RENDIMENTO FINANCIERO</t>
  </si>
  <si>
    <t>Pagamento contratto affitto</t>
  </si>
  <si>
    <t>??</t>
  </si>
  <si>
    <t>Comercial Distribuidora Natal</t>
  </si>
  <si>
    <t>LRT Soluçoes Corporativas e Contabeis Ltda</t>
  </si>
  <si>
    <t>Essencial Gestao Empresarial Ltda</t>
  </si>
  <si>
    <t>Importazione mobili</t>
  </si>
  <si>
    <t>JJ Assessoria Contabil</t>
  </si>
  <si>
    <t>Moveis Casa H</t>
  </si>
  <si>
    <t>Despesas</t>
  </si>
  <si>
    <t>Giacenza media 2024</t>
  </si>
  <si>
    <t>Imp. Medie mensili</t>
  </si>
  <si>
    <t>Rendimento netto</t>
  </si>
  <si>
    <t>Giacenza media 2023</t>
  </si>
  <si>
    <t>Aggiornare iI numeri dei mesi</t>
  </si>
  <si>
    <t>Transferencia</t>
  </si>
  <si>
    <t>CESSAO DE CREDITO</t>
  </si>
  <si>
    <t>Franco Toscano</t>
  </si>
  <si>
    <t>Cessao de Credito</t>
  </si>
  <si>
    <t>% IMP</t>
  </si>
  <si>
    <t xml:space="preserve">Girati 10.000 euros sul conto </t>
  </si>
  <si>
    <t>Sombra Resort in Lussemburgo</t>
  </si>
  <si>
    <t>Cessione di Credito</t>
  </si>
  <si>
    <t>RESGATE</t>
  </si>
  <si>
    <t>Cessione Credito</t>
  </si>
  <si>
    <t>Despesas Gerais</t>
  </si>
  <si>
    <t>Taxa de Localizaçao 2025</t>
  </si>
  <si>
    <t>Taxa de Localizaçao 2026</t>
  </si>
  <si>
    <t>Taxa de Localizaçao 2021</t>
  </si>
  <si>
    <t>Taxa de Localizaçao 2022</t>
  </si>
  <si>
    <t>Giacenza media annuale</t>
  </si>
  <si>
    <t>2026</t>
  </si>
  <si>
    <t>Storno op. del 9/12/2024</t>
  </si>
  <si>
    <t>Stornata il 5/02/2026</t>
  </si>
  <si>
    <t>Forse è dell'Hotel</t>
  </si>
  <si>
    <t>Seahub Coworking</t>
  </si>
  <si>
    <t>Receitas Financeiras</t>
  </si>
  <si>
    <t>Etichette di colonna</t>
  </si>
  <si>
    <t>Etichette di riga</t>
  </si>
  <si>
    <t>Totale complessivo</t>
  </si>
  <si>
    <t>LOCACAO Totale</t>
  </si>
  <si>
    <t>JUROS Totale</t>
  </si>
  <si>
    <t>ENTRADAS Totale</t>
  </si>
  <si>
    <t>IMOBILIZACAO Totale</t>
  </si>
  <si>
    <t>DESPESAS FINANCEIRAS Totale</t>
  </si>
  <si>
    <t>DESPESAS TRIBUTARIAS Totale</t>
  </si>
  <si>
    <t>DESPESAS GERAIS Totale</t>
  </si>
  <si>
    <t>CESSAO DE CREDITO Totale</t>
  </si>
  <si>
    <t>SAIDAS Totale</t>
  </si>
  <si>
    <t>LT Soluçoes Corporativas e Contabeis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</si>
</sst>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;\-#,##0.00;&quot;&quot;"/>
    <numFmt numFmtId="165" formatCode="#,##0.00;\-#,##0.00;\-"/>
    <numFmt numFmtId="166" formatCode="_-* #,##0.00_-;_-* #,##0.00\-;_-* &quot;-&quot;??_-;_-@_-"/>
    <numFmt numFmtId="167" formatCode="_(&quot;R$ &quot;* #,##0.00_);_(&quot;R$ &quot;* \(#,##0.00\);_(&quot;R$ &quot;* &quot;-&quot;??_);_(@_)"/>
    <numFmt numFmtId="168" formatCode="_-&quot;€&quot;\ * #,##0.00_-;\-&quot;€&quot;\ * #,##0.00_-;_-&quot;€&quot;\ * &quot;-&quot;??_-;_-@_-"/>
    <numFmt numFmtId="169" formatCode="[$R$ -416]#,##0.00_ ;[Red]\-[$R$ -416]#,##0.00\ "/>
    <numFmt numFmtId="170" formatCode="#,##0.00\ &quot;€&quot;"/>
    <numFmt numFmtId="171" formatCode="[$R$-416]\ #,##0.00;[Red]\-[$R$-416]\ #,##0.00"/>
    <numFmt numFmtId="172" formatCode="#,##0.00_ ;[Red]\-#,##0.00\ "/>
    <numFmt numFmtId="173" formatCode="#,##0.0000_ ;[Red]\-#,##0.0000\ "/>
  </numFmts>
  <fonts count="3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sz val="10"/>
      <color indexed="9"/>
      <name val="Arial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1"/>
      <color indexed="9"/>
      <name val="Arial"/>
      <family val="2"/>
    </font>
    <font>
      <b/>
      <sz val="11"/>
      <color indexed="8"/>
      <name val="Arial"/>
      <family val="2"/>
    </font>
    <font>
      <b/>
      <sz val="10"/>
      <color indexed="54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24"/>
      </top>
      <bottom style="medium">
        <color indexed="24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14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8" fillId="16" borderId="1" applyNumberFormat="0" applyAlignment="0" applyProtection="0"/>
    <xf numFmtId="164" fontId="9" fillId="17" borderId="2" applyFont="0" applyFill="0" applyBorder="0" applyAlignment="0" applyProtection="0">
      <alignment wrapText="1"/>
    </xf>
    <xf numFmtId="165" fontId="9" fillId="17" borderId="2" applyFont="0" applyFill="0" applyBorder="0" applyAlignment="0" applyProtection="0">
      <alignment wrapText="1"/>
    </xf>
    <xf numFmtId="0" fontId="10" fillId="0" borderId="3" applyNumberFormat="0" applyFill="0" applyAlignment="0" applyProtection="0"/>
    <xf numFmtId="0" fontId="11" fillId="18" borderId="4" applyNumberFormat="0" applyAlignment="0" applyProtection="0"/>
    <xf numFmtId="0" fontId="11" fillId="18" borderId="4" applyNumberFormat="0" applyAlignment="0" applyProtection="0"/>
    <xf numFmtId="0" fontId="10" fillId="0" borderId="3" applyNumberFormat="0" applyFill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2" borderId="0" applyNumberFormat="0" applyBorder="0" applyAlignment="0" applyProtection="0"/>
    <xf numFmtId="166" fontId="12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2" borderId="0" applyNumberFormat="0" applyBorder="0" applyAlignment="0" applyProtection="0"/>
    <xf numFmtId="0" fontId="13" fillId="7" borderId="1" applyNumberFormat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4" fillId="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12" fillId="0" borderId="0"/>
    <xf numFmtId="0" fontId="12" fillId="24" borderId="5" applyNumberFormat="0" applyFont="0" applyAlignment="0" applyProtection="0"/>
    <xf numFmtId="0" fontId="12" fillId="24" borderId="5" applyNumberFormat="0" applyFont="0" applyAlignment="0" applyProtection="0"/>
    <xf numFmtId="0" fontId="12" fillId="24" borderId="5" applyNumberFormat="0" applyFont="0" applyAlignment="0" applyProtection="0"/>
    <xf numFmtId="9" fontId="2" fillId="0" borderId="0" applyFont="0" applyFill="0" applyBorder="0" applyAlignment="0" applyProtection="0"/>
    <xf numFmtId="0" fontId="16" fillId="16" borderId="6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2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2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7" fillId="4" borderId="0" applyNumberFormat="0" applyBorder="0" applyAlignment="0" applyProtection="0"/>
    <xf numFmtId="0" fontId="12" fillId="0" borderId="0"/>
    <xf numFmtId="0" fontId="1" fillId="0" borderId="0"/>
  </cellStyleXfs>
  <cellXfs count="130">
    <xf numFmtId="0" fontId="0" fillId="0" borderId="0" xfId="0"/>
    <xf numFmtId="0" fontId="3" fillId="0" borderId="0" xfId="0" applyFont="1"/>
    <xf numFmtId="49" fontId="3" fillId="0" borderId="0" xfId="0" applyNumberFormat="1" applyFont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169" fontId="0" fillId="0" borderId="0" xfId="0" applyNumberFormat="1"/>
    <xf numFmtId="169" fontId="23" fillId="0" borderId="0" xfId="0" applyNumberFormat="1" applyFont="1"/>
    <xf numFmtId="0" fontId="23" fillId="25" borderId="10" xfId="0" applyFont="1" applyFill="1" applyBorder="1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169" fontId="23" fillId="0" borderId="12" xfId="0" applyNumberFormat="1" applyFont="1" applyBorder="1" applyAlignment="1">
      <alignment horizontal="center"/>
    </xf>
    <xf numFmtId="169" fontId="23" fillId="0" borderId="13" xfId="0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9" fontId="23" fillId="25" borderId="15" xfId="0" applyNumberFormat="1" applyFont="1" applyFill="1" applyBorder="1"/>
    <xf numFmtId="169" fontId="12" fillId="0" borderId="0" xfId="0" applyNumberFormat="1" applyFont="1"/>
    <xf numFmtId="169" fontId="0" fillId="26" borderId="0" xfId="0" applyNumberFormat="1" applyFill="1"/>
    <xf numFmtId="0" fontId="12" fillId="0" borderId="0" xfId="0" applyFont="1" applyAlignment="1">
      <alignment horizontal="left"/>
    </xf>
    <xf numFmtId="0" fontId="23" fillId="25" borderId="11" xfId="0" applyFont="1" applyFill="1" applyBorder="1" applyAlignment="1">
      <alignment horizontal="center"/>
    </xf>
    <xf numFmtId="0" fontId="23" fillId="25" borderId="12" xfId="0" applyFont="1" applyFill="1" applyBorder="1" applyAlignment="1">
      <alignment horizontal="center"/>
    </xf>
    <xf numFmtId="0" fontId="23" fillId="25" borderId="12" xfId="0" applyFont="1" applyFill="1" applyBorder="1"/>
    <xf numFmtId="0" fontId="23" fillId="25" borderId="12" xfId="0" applyFont="1" applyFill="1" applyBorder="1" applyAlignment="1">
      <alignment horizontal="left"/>
    </xf>
    <xf numFmtId="169" fontId="23" fillId="25" borderId="12" xfId="0" applyNumberFormat="1" applyFont="1" applyFill="1" applyBorder="1"/>
    <xf numFmtId="169" fontId="23" fillId="25" borderId="16" xfId="0" applyNumberFormat="1" applyFont="1" applyFill="1" applyBorder="1"/>
    <xf numFmtId="0" fontId="25" fillId="27" borderId="0" xfId="0" applyFont="1" applyFill="1" applyAlignment="1">
      <alignment horizontal="left"/>
    </xf>
    <xf numFmtId="0" fontId="25" fillId="27" borderId="0" xfId="0" applyFont="1" applyFill="1"/>
    <xf numFmtId="0" fontId="26" fillId="28" borderId="0" xfId="0" applyFont="1" applyFill="1" applyAlignment="1">
      <alignment horizontal="left"/>
    </xf>
    <xf numFmtId="0" fontId="27" fillId="0" borderId="0" xfId="0" applyFont="1" applyAlignment="1">
      <alignment horizontal="left"/>
    </xf>
    <xf numFmtId="169" fontId="27" fillId="0" borderId="0" xfId="0" applyNumberFormat="1" applyFont="1"/>
    <xf numFmtId="169" fontId="25" fillId="27" borderId="0" xfId="0" applyNumberFormat="1" applyFont="1" applyFill="1"/>
    <xf numFmtId="169" fontId="2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12" fillId="0" borderId="0" xfId="0" applyFont="1"/>
    <xf numFmtId="0" fontId="28" fillId="0" borderId="17" xfId="0" applyFont="1" applyBorder="1" applyAlignment="1">
      <alignment horizontal="left"/>
    </xf>
    <xf numFmtId="1" fontId="0" fillId="0" borderId="0" xfId="0" applyNumberFormat="1" applyAlignment="1">
      <alignment horizontal="center"/>
    </xf>
    <xf numFmtId="0" fontId="0" fillId="0" borderId="19" xfId="0" applyBorder="1" applyAlignment="1">
      <alignment horizontal="center"/>
    </xf>
    <xf numFmtId="14" fontId="0" fillId="0" borderId="20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left"/>
    </xf>
    <xf numFmtId="169" fontId="0" fillId="26" borderId="20" xfId="0" applyNumberFormat="1" applyFill="1" applyBorder="1"/>
    <xf numFmtId="169" fontId="23" fillId="25" borderId="18" xfId="0" applyNumberFormat="1" applyFont="1" applyFill="1" applyBorder="1"/>
    <xf numFmtId="0" fontId="12" fillId="0" borderId="20" xfId="0" applyFont="1" applyBorder="1"/>
    <xf numFmtId="0" fontId="12" fillId="0" borderId="20" xfId="0" applyFont="1" applyBorder="1" applyAlignment="1">
      <alignment horizontal="left"/>
    </xf>
    <xf numFmtId="169" fontId="0" fillId="0" borderId="0" xfId="0" applyNumberFormat="1" applyAlignment="1">
      <alignment horizontal="right"/>
    </xf>
    <xf numFmtId="169" fontId="27" fillId="0" borderId="0" xfId="0" applyNumberFormat="1" applyFont="1" applyAlignment="1">
      <alignment horizontal="right"/>
    </xf>
    <xf numFmtId="169" fontId="25" fillId="27" borderId="0" xfId="0" applyNumberFormat="1" applyFont="1" applyFill="1" applyAlignment="1">
      <alignment horizontal="right"/>
    </xf>
    <xf numFmtId="14" fontId="3" fillId="0" borderId="0" xfId="0" applyNumberFormat="1" applyFont="1"/>
    <xf numFmtId="0" fontId="23" fillId="0" borderId="12" xfId="0" applyFont="1" applyBorder="1" applyAlignment="1">
      <alignment horizontal="left"/>
    </xf>
    <xf numFmtId="170" fontId="23" fillId="29" borderId="16" xfId="0" applyNumberFormat="1" applyFont="1" applyFill="1" applyBorder="1"/>
    <xf numFmtId="10" fontId="0" fillId="0" borderId="0" xfId="0" applyNumberFormat="1" applyAlignment="1">
      <alignment horizontal="center"/>
    </xf>
    <xf numFmtId="0" fontId="29" fillId="0" borderId="0" xfId="0" applyFont="1"/>
    <xf numFmtId="49" fontId="29" fillId="0" borderId="0" xfId="0" applyNumberFormat="1" applyFont="1" applyAlignment="1">
      <alignment horizontal="left"/>
    </xf>
    <xf numFmtId="14" fontId="29" fillId="0" borderId="0" xfId="0" applyNumberFormat="1" applyFont="1" applyAlignment="1">
      <alignment horizontal="center"/>
    </xf>
    <xf numFmtId="49" fontId="29" fillId="0" borderId="0" xfId="0" applyNumberFormat="1" applyFont="1" applyAlignment="1">
      <alignment horizontal="center"/>
    </xf>
    <xf numFmtId="0" fontId="25" fillId="27" borderId="0" xfId="0" applyFont="1" applyFill="1" applyAlignment="1">
      <alignment horizontal="center"/>
    </xf>
    <xf numFmtId="169" fontId="0" fillId="0" borderId="20" xfId="0" applyNumberFormat="1" applyBorder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71" fontId="0" fillId="0" borderId="0" xfId="0" applyNumberFormat="1"/>
    <xf numFmtId="0" fontId="0" fillId="0" borderId="20" xfId="0" applyBorder="1"/>
    <xf numFmtId="10" fontId="0" fillId="0" borderId="21" xfId="0" applyNumberFormat="1" applyBorder="1" applyAlignment="1">
      <alignment horizontal="center"/>
    </xf>
    <xf numFmtId="0" fontId="0" fillId="0" borderId="19" xfId="0" applyBorder="1"/>
    <xf numFmtId="0" fontId="23" fillId="0" borderId="14" xfId="0" applyFont="1" applyBorder="1" applyAlignment="1">
      <alignment horizontal="center"/>
    </xf>
    <xf numFmtId="10" fontId="23" fillId="0" borderId="12" xfId="0" applyNumberFormat="1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30" fillId="0" borderId="0" xfId="0" applyFont="1"/>
    <xf numFmtId="172" fontId="23" fillId="0" borderId="0" xfId="0" applyNumberFormat="1" applyFont="1" applyAlignment="1">
      <alignment horizontal="center"/>
    </xf>
    <xf numFmtId="172" fontId="0" fillId="0" borderId="0" xfId="0" applyNumberFormat="1"/>
    <xf numFmtId="0" fontId="0" fillId="0" borderId="20" xfId="0" applyBorder="1" applyAlignment="1">
      <alignment horizontal="center"/>
    </xf>
    <xf numFmtId="10" fontId="31" fillId="0" borderId="0" xfId="0" applyNumberFormat="1" applyFont="1" applyAlignment="1">
      <alignment horizontal="center"/>
    </xf>
    <xf numFmtId="10" fontId="0" fillId="0" borderId="19" xfId="0" applyNumberFormat="1" applyBorder="1" applyAlignment="1">
      <alignment horizontal="center"/>
    </xf>
    <xf numFmtId="8" fontId="0" fillId="0" borderId="0" xfId="0" applyNumberFormat="1"/>
    <xf numFmtId="169" fontId="23" fillId="25" borderId="10" xfId="0" applyNumberFormat="1" applyFont="1" applyFill="1" applyBorder="1"/>
    <xf numFmtId="10" fontId="32" fillId="0" borderId="0" xfId="0" applyNumberFormat="1" applyFont="1" applyAlignment="1">
      <alignment horizontal="center"/>
    </xf>
    <xf numFmtId="169" fontId="0" fillId="0" borderId="15" xfId="0" applyNumberFormat="1" applyBorder="1"/>
    <xf numFmtId="169" fontId="27" fillId="0" borderId="15" xfId="0" applyNumberFormat="1" applyFont="1" applyBorder="1"/>
    <xf numFmtId="169" fontId="25" fillId="27" borderId="18" xfId="0" applyNumberFormat="1" applyFont="1" applyFill="1" applyBorder="1"/>
    <xf numFmtId="169" fontId="0" fillId="0" borderId="25" xfId="0" applyNumberFormat="1" applyBorder="1"/>
    <xf numFmtId="0" fontId="25" fillId="27" borderId="16" xfId="0" applyFont="1" applyFill="1" applyBorder="1" applyAlignment="1">
      <alignment horizontal="center"/>
    </xf>
    <xf numFmtId="10" fontId="12" fillId="0" borderId="0" xfId="0" applyNumberFormat="1" applyFont="1" applyAlignment="1">
      <alignment horizontal="center"/>
    </xf>
    <xf numFmtId="173" fontId="23" fillId="0" borderId="16" xfId="0" applyNumberFormat="1" applyFont="1" applyBorder="1" applyAlignment="1">
      <alignment horizontal="center"/>
    </xf>
    <xf numFmtId="172" fontId="12" fillId="0" borderId="0" xfId="0" applyNumberFormat="1" applyFont="1"/>
    <xf numFmtId="0" fontId="0" fillId="30" borderId="24" xfId="0" applyFill="1" applyBorder="1"/>
    <xf numFmtId="0" fontId="23" fillId="30" borderId="25" xfId="0" applyFont="1" applyFill="1" applyBorder="1" applyAlignment="1">
      <alignment horizontal="center"/>
    </xf>
    <xf numFmtId="0" fontId="23" fillId="30" borderId="23" xfId="0" applyFont="1" applyFill="1" applyBorder="1" applyAlignment="1">
      <alignment horizontal="center"/>
    </xf>
    <xf numFmtId="14" fontId="29" fillId="30" borderId="14" xfId="0" applyNumberFormat="1" applyFont="1" applyFill="1" applyBorder="1" applyAlignment="1">
      <alignment horizontal="center"/>
    </xf>
    <xf numFmtId="169" fontId="23" fillId="30" borderId="15" xfId="0" applyNumberFormat="1" applyFont="1" applyFill="1" applyBorder="1"/>
    <xf numFmtId="169" fontId="23" fillId="30" borderId="21" xfId="0" applyNumberFormat="1" applyFont="1" applyFill="1" applyBorder="1"/>
    <xf numFmtId="0" fontId="29" fillId="30" borderId="14" xfId="0" applyFont="1" applyFill="1" applyBorder="1" applyAlignment="1">
      <alignment horizontal="center"/>
    </xf>
    <xf numFmtId="0" fontId="0" fillId="30" borderId="15" xfId="0" applyFill="1" applyBorder="1"/>
    <xf numFmtId="0" fontId="0" fillId="30" borderId="21" xfId="0" applyFill="1" applyBorder="1"/>
    <xf numFmtId="0" fontId="0" fillId="30" borderId="14" xfId="0" applyFill="1" applyBorder="1"/>
    <xf numFmtId="0" fontId="0" fillId="30" borderId="19" xfId="0" applyFill="1" applyBorder="1"/>
    <xf numFmtId="0" fontId="0" fillId="30" borderId="18" xfId="0" applyFill="1" applyBorder="1"/>
    <xf numFmtId="0" fontId="0" fillId="30" borderId="22" xfId="0" applyFill="1" applyBorder="1"/>
    <xf numFmtId="49" fontId="29" fillId="31" borderId="16" xfId="0" applyNumberFormat="1" applyFont="1" applyFill="1" applyBorder="1" applyAlignment="1">
      <alignment horizontal="center"/>
    </xf>
    <xf numFmtId="0" fontId="23" fillId="31" borderId="16" xfId="0" applyFont="1" applyFill="1" applyBorder="1" applyAlignment="1">
      <alignment horizontal="center"/>
    </xf>
    <xf numFmtId="0" fontId="0" fillId="29" borderId="0" xfId="0" applyFill="1" applyAlignment="1">
      <alignment horizontal="left"/>
    </xf>
    <xf numFmtId="0" fontId="12" fillId="29" borderId="0" xfId="0" applyFont="1" applyFill="1" applyAlignment="1">
      <alignment horizontal="left"/>
    </xf>
    <xf numFmtId="169" fontId="23" fillId="0" borderId="12" xfId="0" applyNumberFormat="1" applyFont="1" applyBorder="1"/>
    <xf numFmtId="10" fontId="23" fillId="0" borderId="13" xfId="0" applyNumberFormat="1" applyFont="1" applyBorder="1" applyAlignment="1">
      <alignment horizontal="center"/>
    </xf>
    <xf numFmtId="0" fontId="12" fillId="32" borderId="0" xfId="0" applyFont="1" applyFill="1" applyAlignment="1">
      <alignment horizontal="left"/>
    </xf>
    <xf numFmtId="169" fontId="23" fillId="26" borderId="16" xfId="0" applyNumberFormat="1" applyFont="1" applyFill="1" applyBorder="1"/>
    <xf numFmtId="10" fontId="23" fillId="29" borderId="16" xfId="0" applyNumberFormat="1" applyFont="1" applyFill="1" applyBorder="1" applyAlignment="1">
      <alignment horizontal="center"/>
    </xf>
    <xf numFmtId="0" fontId="23" fillId="0" borderId="16" xfId="0" applyFont="1" applyBorder="1"/>
    <xf numFmtId="173" fontId="23" fillId="0" borderId="0" xfId="0" applyNumberFormat="1" applyFont="1" applyAlignment="1">
      <alignment horizontal="center"/>
    </xf>
    <xf numFmtId="170" fontId="23" fillId="0" borderId="0" xfId="0" applyNumberFormat="1" applyFont="1"/>
    <xf numFmtId="0" fontId="25" fillId="27" borderId="16" xfId="0" applyFont="1" applyFill="1" applyBorder="1"/>
    <xf numFmtId="169" fontId="0" fillId="0" borderId="24" xfId="0" applyNumberFormat="1" applyBorder="1"/>
    <xf numFmtId="0" fontId="0" fillId="0" borderId="26" xfId="0" applyBorder="1"/>
    <xf numFmtId="0" fontId="0" fillId="0" borderId="23" xfId="0" applyBorder="1"/>
    <xf numFmtId="0" fontId="0" fillId="0" borderId="14" xfId="0" applyBorder="1"/>
    <xf numFmtId="0" fontId="0" fillId="0" borderId="21" xfId="0" applyBorder="1"/>
    <xf numFmtId="169" fontId="0" fillId="0" borderId="14" xfId="0" applyNumberFormat="1" applyBorder="1"/>
    <xf numFmtId="0" fontId="0" fillId="0" borderId="22" xfId="0" applyBorder="1"/>
    <xf numFmtId="0" fontId="23" fillId="0" borderId="11" xfId="0" applyFont="1" applyBorder="1"/>
    <xf numFmtId="0" fontId="23" fillId="0" borderId="12" xfId="0" applyFont="1" applyBorder="1"/>
    <xf numFmtId="0" fontId="23" fillId="0" borderId="13" xfId="0" applyFont="1" applyBorder="1"/>
    <xf numFmtId="169" fontId="0" fillId="29" borderId="14" xfId="0" applyNumberFormat="1" applyFill="1" applyBorder="1"/>
    <xf numFmtId="49" fontId="23" fillId="26" borderId="16" xfId="0" applyNumberFormat="1" applyFont="1" applyFill="1" applyBorder="1" applyAlignment="1">
      <alignment horizontal="center"/>
    </xf>
    <xf numFmtId="0" fontId="29" fillId="0" borderId="0" xfId="0" applyFont="1" applyAlignment="1">
      <alignment horizontal="right"/>
    </xf>
    <xf numFmtId="0" fontId="0" fillId="29" borderId="11" xfId="0" applyFill="1" applyBorder="1" applyAlignment="1">
      <alignment horizontal="center"/>
    </xf>
    <xf numFmtId="0" fontId="0" fillId="29" borderId="12" xfId="0" applyFill="1" applyBorder="1" applyAlignment="1">
      <alignment horizontal="center"/>
    </xf>
    <xf numFmtId="0" fontId="0" fillId="29" borderId="13" xfId="0" applyFill="1" applyBorder="1" applyAlignment="1">
      <alignment horizontal="center"/>
    </xf>
  </cellXfs>
  <cellStyles count="114">
    <cellStyle name="20% - Colore 1" xfId="1" xr:uid="{00000000-0005-0000-0000-000000000000}"/>
    <cellStyle name="20% - Colore 2" xfId="2" xr:uid="{00000000-0005-0000-0000-000001000000}"/>
    <cellStyle name="20% - Colore 3" xfId="3" xr:uid="{00000000-0005-0000-0000-000002000000}"/>
    <cellStyle name="20% - Colore 4" xfId="4" xr:uid="{00000000-0005-0000-0000-000003000000}"/>
    <cellStyle name="20% - Colore 5" xfId="5" xr:uid="{00000000-0005-0000-0000-000004000000}"/>
    <cellStyle name="20% - Colore 6" xfId="6" xr:uid="{00000000-0005-0000-0000-000005000000}"/>
    <cellStyle name="20% - Ênfase1" xfId="7" xr:uid="{00000000-0005-0000-0000-000006000000}"/>
    <cellStyle name="20% - Ênfase2" xfId="8" xr:uid="{00000000-0005-0000-0000-000007000000}"/>
    <cellStyle name="20% - Ênfase3" xfId="9" xr:uid="{00000000-0005-0000-0000-000008000000}"/>
    <cellStyle name="20% - Ênfase4" xfId="10" xr:uid="{00000000-0005-0000-0000-000009000000}"/>
    <cellStyle name="20% - Ênfase5" xfId="11" xr:uid="{00000000-0005-0000-0000-00000A000000}"/>
    <cellStyle name="20% - Ênfase6" xfId="12" xr:uid="{00000000-0005-0000-0000-00000B000000}"/>
    <cellStyle name="40% - Colore 1" xfId="13" xr:uid="{00000000-0005-0000-0000-00000C000000}"/>
    <cellStyle name="40% - Colore 2" xfId="14" xr:uid="{00000000-0005-0000-0000-00000D000000}"/>
    <cellStyle name="40% - Colore 3" xfId="15" xr:uid="{00000000-0005-0000-0000-00000E000000}"/>
    <cellStyle name="40% - Colore 4" xfId="16" xr:uid="{00000000-0005-0000-0000-00000F000000}"/>
    <cellStyle name="40% - Colore 5" xfId="17" xr:uid="{00000000-0005-0000-0000-000010000000}"/>
    <cellStyle name="40% - Colore 6" xfId="18" xr:uid="{00000000-0005-0000-0000-000011000000}"/>
    <cellStyle name="40% - Ênfase1" xfId="19" xr:uid="{00000000-0005-0000-0000-000012000000}"/>
    <cellStyle name="40% - Ênfase2" xfId="20" xr:uid="{00000000-0005-0000-0000-000013000000}"/>
    <cellStyle name="40% - Ênfase3" xfId="21" xr:uid="{00000000-0005-0000-0000-000014000000}"/>
    <cellStyle name="40% - Ênfase4" xfId="22" xr:uid="{00000000-0005-0000-0000-000015000000}"/>
    <cellStyle name="40% - Ênfase5" xfId="23" xr:uid="{00000000-0005-0000-0000-000016000000}"/>
    <cellStyle name="40% - Ênfase6" xfId="24" xr:uid="{00000000-0005-0000-0000-000017000000}"/>
    <cellStyle name="60% - Colore 1" xfId="25" xr:uid="{00000000-0005-0000-0000-000018000000}"/>
    <cellStyle name="60% - Colore 2" xfId="26" xr:uid="{00000000-0005-0000-0000-000019000000}"/>
    <cellStyle name="60% - Colore 3" xfId="27" xr:uid="{00000000-0005-0000-0000-00001A000000}"/>
    <cellStyle name="60% - Colore 4" xfId="28" xr:uid="{00000000-0005-0000-0000-00001B000000}"/>
    <cellStyle name="60% - Colore 5" xfId="29" xr:uid="{00000000-0005-0000-0000-00001C000000}"/>
    <cellStyle name="60% - Colore 6" xfId="30" xr:uid="{00000000-0005-0000-0000-00001D000000}"/>
    <cellStyle name="60% - Ênfase1" xfId="31" xr:uid="{00000000-0005-0000-0000-00001E000000}"/>
    <cellStyle name="60% - Ênfase2" xfId="32" xr:uid="{00000000-0005-0000-0000-00001F000000}"/>
    <cellStyle name="60% - Ênfase3" xfId="33" xr:uid="{00000000-0005-0000-0000-000020000000}"/>
    <cellStyle name="60% - Ênfase4" xfId="34" xr:uid="{00000000-0005-0000-0000-000021000000}"/>
    <cellStyle name="60% - Ênfase5" xfId="35" xr:uid="{00000000-0005-0000-0000-000022000000}"/>
    <cellStyle name="60% - Ênfase6" xfId="36" xr:uid="{00000000-0005-0000-0000-000023000000}"/>
    <cellStyle name="Bom" xfId="37" xr:uid="{00000000-0005-0000-0000-000024000000}"/>
    <cellStyle name="Calcolo" xfId="38" xr:uid="{00000000-0005-0000-0000-000025000000}"/>
    <cellStyle name="Cálculo" xfId="39" xr:uid="{00000000-0005-0000-0000-000026000000}"/>
    <cellStyle name="cBMilliers" xfId="40" xr:uid="{00000000-0005-0000-0000-000027000000}"/>
    <cellStyle name="cBMilliers-" xfId="41" xr:uid="{00000000-0005-0000-0000-000028000000}"/>
    <cellStyle name="Cella collegata" xfId="42" xr:uid="{00000000-0005-0000-0000-000029000000}"/>
    <cellStyle name="Cella da controllare" xfId="43" xr:uid="{00000000-0005-0000-0000-00002A000000}"/>
    <cellStyle name="Célula de Verificação" xfId="44" xr:uid="{00000000-0005-0000-0000-00002B000000}"/>
    <cellStyle name="Célula Vinculada" xfId="45" xr:uid="{00000000-0005-0000-0000-00002C000000}"/>
    <cellStyle name="Colore 1" xfId="46" xr:uid="{00000000-0005-0000-0000-00002D000000}"/>
    <cellStyle name="Colore 2" xfId="47" xr:uid="{00000000-0005-0000-0000-00002E000000}"/>
    <cellStyle name="Colore 3" xfId="48" xr:uid="{00000000-0005-0000-0000-00002F000000}"/>
    <cellStyle name="Colore 4" xfId="49" xr:uid="{00000000-0005-0000-0000-000030000000}"/>
    <cellStyle name="Colore 5" xfId="50" xr:uid="{00000000-0005-0000-0000-000031000000}"/>
    <cellStyle name="Colore 6" xfId="51" xr:uid="{00000000-0005-0000-0000-000032000000}"/>
    <cellStyle name="Comma 2" xfId="52" xr:uid="{00000000-0005-0000-0000-000033000000}"/>
    <cellStyle name="Currency 2" xfId="53" xr:uid="{00000000-0005-0000-0000-000034000000}"/>
    <cellStyle name="Currency 3" xfId="54" xr:uid="{00000000-0005-0000-0000-000035000000}"/>
    <cellStyle name="Currency 4" xfId="55" xr:uid="{00000000-0005-0000-0000-000036000000}"/>
    <cellStyle name="Currency 5" xfId="56" xr:uid="{00000000-0005-0000-0000-000037000000}"/>
    <cellStyle name="Currency 6" xfId="57" xr:uid="{00000000-0005-0000-0000-000038000000}"/>
    <cellStyle name="Ênfase1" xfId="58" xr:uid="{00000000-0005-0000-0000-000039000000}"/>
    <cellStyle name="Ênfase2" xfId="59" xr:uid="{00000000-0005-0000-0000-00003A000000}"/>
    <cellStyle name="Ênfase3" xfId="60" xr:uid="{00000000-0005-0000-0000-00003B000000}"/>
    <cellStyle name="Ênfase4" xfId="61" xr:uid="{00000000-0005-0000-0000-00003C000000}"/>
    <cellStyle name="Ênfase5" xfId="62" xr:uid="{00000000-0005-0000-0000-00003D000000}"/>
    <cellStyle name="Ênfase6" xfId="63" xr:uid="{00000000-0005-0000-0000-00003E000000}"/>
    <cellStyle name="Entrada" xfId="64" xr:uid="{00000000-0005-0000-0000-00003F000000}"/>
    <cellStyle name="Euro" xfId="65" xr:uid="{00000000-0005-0000-0000-000040000000}"/>
    <cellStyle name="Euro 2" xfId="66" xr:uid="{00000000-0005-0000-0000-000041000000}"/>
    <cellStyle name="Incorreto" xfId="67" xr:uid="{00000000-0005-0000-0000-000042000000}"/>
    <cellStyle name="Neutra" xfId="68" xr:uid="{00000000-0005-0000-0000-000043000000}"/>
    <cellStyle name="Neutrale" xfId="69" xr:uid="{00000000-0005-0000-0000-000044000000}"/>
    <cellStyle name="Normal 10" xfId="70" xr:uid="{00000000-0005-0000-0000-000046000000}"/>
    <cellStyle name="Normal 10 2" xfId="71" xr:uid="{00000000-0005-0000-0000-000047000000}"/>
    <cellStyle name="Normal 10 2 2" xfId="72" xr:uid="{00000000-0005-0000-0000-000048000000}"/>
    <cellStyle name="Normal 10 2 3" xfId="73" xr:uid="{00000000-0005-0000-0000-000049000000}"/>
    <cellStyle name="Normal 10 2 4" xfId="74" xr:uid="{00000000-0005-0000-0000-00004A000000}"/>
    <cellStyle name="Normal 10 2 5" xfId="75" xr:uid="{00000000-0005-0000-0000-00004B000000}"/>
    <cellStyle name="Normal 10 2 5 2" xfId="76" xr:uid="{00000000-0005-0000-0000-00004C000000}"/>
    <cellStyle name="Normal 10 2 5 3" xfId="77" xr:uid="{00000000-0005-0000-0000-00004D000000}"/>
    <cellStyle name="Normal 10 2 6" xfId="78" xr:uid="{00000000-0005-0000-0000-00004E000000}"/>
    <cellStyle name="Normal 10 2 7" xfId="79" xr:uid="{00000000-0005-0000-0000-00004F000000}"/>
    <cellStyle name="Normal 2" xfId="80" xr:uid="{00000000-0005-0000-0000-000050000000}"/>
    <cellStyle name="Normal 2 2" xfId="81" xr:uid="{00000000-0005-0000-0000-000051000000}"/>
    <cellStyle name="Normal 2 2 2" xfId="82" xr:uid="{00000000-0005-0000-0000-000052000000}"/>
    <cellStyle name="Normal 2 3" xfId="83" xr:uid="{00000000-0005-0000-0000-000053000000}"/>
    <cellStyle name="Normal 3" xfId="84" xr:uid="{00000000-0005-0000-0000-000054000000}"/>
    <cellStyle name="Normal 3 2" xfId="85" xr:uid="{00000000-0005-0000-0000-000055000000}"/>
    <cellStyle name="Normal 3 2 2" xfId="86" xr:uid="{00000000-0005-0000-0000-000056000000}"/>
    <cellStyle name="Normal 4" xfId="87" xr:uid="{00000000-0005-0000-0000-000057000000}"/>
    <cellStyle name="Normal 4 2" xfId="88" xr:uid="{00000000-0005-0000-0000-000058000000}"/>
    <cellStyle name="Normal 5" xfId="89" xr:uid="{00000000-0005-0000-0000-000059000000}"/>
    <cellStyle name="Normal 6" xfId="90" xr:uid="{00000000-0005-0000-0000-00005A000000}"/>
    <cellStyle name="Normale" xfId="0" builtinId="0"/>
    <cellStyle name="Normale 2" xfId="112" xr:uid="{DDBC3669-F227-4D0A-BA49-EDE929159DF4}"/>
    <cellStyle name="Normale 3" xfId="113" xr:uid="{9D6834CD-03D4-4F03-8304-3E2AA464AE0D}"/>
    <cellStyle name="Nota" xfId="91" xr:uid="{00000000-0005-0000-0000-00005B000000}"/>
    <cellStyle name="Nota 2" xfId="92" xr:uid="{00000000-0005-0000-0000-00005C000000}"/>
    <cellStyle name="Nota 2 2" xfId="93" xr:uid="{00000000-0005-0000-0000-00005D000000}"/>
    <cellStyle name="Percent 2" xfId="94" xr:uid="{00000000-0005-0000-0000-00005E000000}"/>
    <cellStyle name="Saída" xfId="95" xr:uid="{00000000-0005-0000-0000-00005F000000}"/>
    <cellStyle name="Testo avviso" xfId="96" xr:uid="{00000000-0005-0000-0000-000060000000}"/>
    <cellStyle name="Testo descrittivo" xfId="97" xr:uid="{00000000-0005-0000-0000-000061000000}"/>
    <cellStyle name="Texto de Aviso" xfId="98" xr:uid="{00000000-0005-0000-0000-000062000000}"/>
    <cellStyle name="Texto Explicativo" xfId="99" xr:uid="{00000000-0005-0000-0000-000063000000}"/>
    <cellStyle name="Titolo" xfId="100" xr:uid="{00000000-0005-0000-0000-000064000000}"/>
    <cellStyle name="Titolo 1" xfId="101" xr:uid="{00000000-0005-0000-0000-000065000000}"/>
    <cellStyle name="Titolo 2" xfId="102" xr:uid="{00000000-0005-0000-0000-000066000000}"/>
    <cellStyle name="Titolo 3" xfId="103" xr:uid="{00000000-0005-0000-0000-000067000000}"/>
    <cellStyle name="Titolo 4" xfId="104" xr:uid="{00000000-0005-0000-0000-000068000000}"/>
    <cellStyle name="Título" xfId="105" xr:uid="{00000000-0005-0000-0000-000069000000}"/>
    <cellStyle name="Título 1" xfId="106" xr:uid="{00000000-0005-0000-0000-00006A000000}"/>
    <cellStyle name="Título 2" xfId="107" xr:uid="{00000000-0005-0000-0000-00006B000000}"/>
    <cellStyle name="Título 3" xfId="108" xr:uid="{00000000-0005-0000-0000-00006C000000}"/>
    <cellStyle name="Título 4" xfId="109" xr:uid="{00000000-0005-0000-0000-00006D000000}"/>
    <cellStyle name="Valore non valido" xfId="110" xr:uid="{00000000-0005-0000-0000-00006E000000}"/>
    <cellStyle name="Valore valido" xfId="111" xr:uid="{00000000-0005-0000-0000-00006F000000}"/>
  </cellStyles>
  <dxfs count="20"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9" formatCode="[$R$ -416]#,##0.00_ ;[Red]\-[$R$ -416]#,##0.00\ 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9" formatCode="[$R$ -416]#,##0.00_ ;[Red]\-[$R$ -416]#,##0.0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BRASILE%20-%20SOMBRA%20RESORT\SOMBRA%20RESORT%20BRASIL%20Ltda%20-%20BRASIL\AMMINISTRAZIONE\RESORTFAT%202024.xlsx" TargetMode="External"/><Relationship Id="rId1" Type="http://schemas.openxmlformats.org/officeDocument/2006/relationships/externalLinkPath" Target="file:///G:\BRASILE%20-%20SOMBRA%20RESORT\SOMBRA%20RESORT%20BRASIL%20Ltda%20-%20BRASIL\AMMINISTRAZIONE\RESORTFAT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RASILE%20-%20SOMBRA%20RESORT\SOMBRA%20RESORT%20BRASIL%20Ltda%20-%20BRASIL\AMMINISTRAZIONE\RESORTFAT.xlsx" TargetMode="External"/><Relationship Id="rId1" Type="http://schemas.openxmlformats.org/officeDocument/2006/relationships/externalLinkPath" Target="RESORTF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olarizzazione"/>
      <sheetName val="Acordo Resort até 2021"/>
      <sheetName val="Novo Acordo Resort 11-2021"/>
      <sheetName val="Faturamento 23-24-25-26"/>
      <sheetName val="Faturamento"/>
      <sheetName val="CONTAS"/>
      <sheetName val="Dividendos pagos"/>
      <sheetName val="Resultados"/>
      <sheetName val="RESUMO"/>
      <sheetName val="DB"/>
      <sheetName val="Pivot DB"/>
      <sheetName val="DB Banco"/>
      <sheetName val="Pivot DB Ban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I2">
            <v>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olarizzazione"/>
      <sheetName val="Acordo Resort até 2021"/>
      <sheetName val="Novo Acordo Resort 11-2021"/>
      <sheetName val="Faturamento 23-24-25-26"/>
      <sheetName val="Faturamento"/>
      <sheetName val="CONTAS"/>
      <sheetName val="Dividendos pagos"/>
      <sheetName val="Resultados"/>
      <sheetName val="RESUMO"/>
      <sheetName val="DB"/>
      <sheetName val="Pivot DB"/>
      <sheetName val="DB Banco"/>
      <sheetName val="Pivot DB Banco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5.9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oardo" refreshedDate="46300.816571180556" createdVersion="4" refreshedVersion="8" minRefreshableVersion="3" recordCount="257" xr:uid="{00000000-000A-0000-FFFF-FFFF01000000}">
  <cacheSource type="worksheet">
    <worksheetSource ref="A5:J262" sheet="Conta corrente"/>
  </cacheSource>
  <cacheFields count="10">
    <cacheField name="Nr" numFmtId="0">
      <sharedItems containsString="0" containsBlank="1" containsNumber="1" containsInteger="1" minValue="1" maxValue="255"/>
    </cacheField>
    <cacheField name="Date Comptable" numFmtId="0">
      <sharedItems containsNonDate="0" containsDate="1" containsString="0" containsBlank="1" minDate="2021-12-08T00:00:00" maxDate="2026-10-01T00:00:00"/>
    </cacheField>
    <cacheField name="Anno" numFmtId="0">
      <sharedItems containsString="0" containsBlank="1" containsNumber="1" containsInteger="1" minValue="2021" maxValue="2026" count="7">
        <n v="2021"/>
        <n v="2022"/>
        <n v="2023"/>
        <n v="2024"/>
        <n v="2025"/>
        <n v="2026"/>
        <m/>
      </sharedItems>
    </cacheField>
    <cacheField name="Description" numFmtId="0">
      <sharedItems containsBlank="1"/>
    </cacheField>
    <cacheField name="E/U" numFmtId="0">
      <sharedItems containsBlank="1"/>
    </cacheField>
    <cacheField name="CATEGORIA" numFmtId="0">
      <sharedItems containsBlank="1" count="19">
        <m/>
        <s v="LOCACAO"/>
        <s v="INVESTIMENTOS"/>
        <s v="IMOBILIZACAO"/>
        <s v="DESPESAS FINANCEIRAS"/>
        <s v="DESPESAS TRIBUTARIAS"/>
        <s v="DESPESAS GERAIS"/>
        <s v="CESSAO DE CREDITO"/>
        <s v="VARIAS" u="1"/>
        <s v="DESPESAS EXERCISIOS SEGUINTES" u="1"/>
        <s v="IMPOSTOS" u="1"/>
        <s v="IMOBILICACAO" u="1"/>
        <s v="DESPESAS" u="1"/>
        <s v="AFFITTI" u="1"/>
        <s v="DESPESAS BANCARIAS" u="1"/>
        <s v="MULTA" u="1"/>
        <s v="JUROS E MULTA" u="1"/>
        <s v="TERRENO" u="1"/>
        <s v="OMPOSTOS" u="1"/>
      </sharedItems>
    </cacheField>
    <cacheField name="TIPO" numFmtId="0">
      <sharedItems containsBlank="1" count="22">
        <m/>
        <s v="Produtos"/>
        <s v="Aplicaçao"/>
        <s v="Resgate"/>
        <s v="Terreno"/>
        <s v="Despesas Bancarias"/>
        <s v="Taxa de Localizaçao 2021"/>
        <s v="Taxa de Localizaçao 2022"/>
        <s v="Juros e Multa"/>
        <s v="Varias"/>
        <s v="Taxa de Localizaçao 2023"/>
        <s v="Taxa de Localizaçao 2024"/>
        <s v="Gestao Empresarial"/>
        <s v="Moveis Casa H"/>
        <s v="Taxa de Localizaçao 2025"/>
        <s v="Cessao de Credito"/>
        <s v="Taxa de Localizaçao 2026"/>
        <s v="Estorno operaçao" u="1"/>
        <s v="Costuras" u="1"/>
        <s v="Impostos" u="1"/>
        <s v="Banco" u="1"/>
        <s v="Affitti" u="1"/>
      </sharedItems>
    </cacheField>
    <cacheField name="Soggetto" numFmtId="0">
      <sharedItems containsBlank="1" count="39">
        <m/>
        <s v="140852-6 SCP - JM EMPREENDIMENTOS IMOBILIARIO SCP LTDA"/>
        <s v="B.B."/>
        <s v="SOMBRA FLORESTA"/>
        <s v="140850-X - JM EMPREENDIMENTOS IMOB"/>
        <s v="PREF MUNICIPAL DE NATAL"/>
        <s v="Antonio Francisco Alves Ro"/>
        <s v="ONE Empreendimentos Serviços"/>
        <s v="Igor R.R. Franca Sociedade - Junta Comercial"/>
        <s v="Natal - Cartorio 2 Oficio Nota"/>
        <s v="Essencial Gestao Empresarial LTDA"/>
        <s v="Mac Madeira Ltd"/>
        <s v="LRT Soluçoes Corporativas e Contabeis Ltda"/>
        <s v="GLOBAL TECH"/>
        <s v="L &amp; M - Varejo da costruçao Elizomar de Lima Marques"/>
        <s v="Magnolia Melo de Souza"/>
        <s v="Butzke Importaçao Exportaçao"/>
        <s v="Nu Pagamento SA"/>
        <s v="C N Palaoro Eireli"/>
        <s v="Comercial Distribuidora Natal"/>
        <s v="JJ Assessoria Contabil"/>
        <s v="Franco Toscano"/>
        <s v="Seahub Coworking"/>
        <s v="LT Soluçoes Corporativas e Contabeis"/>
        <s v="Prefeitura NATAL" u="1"/>
        <s v="Yapay" u="1"/>
        <s v="JJ Assessoria Contabil S/S" u="1"/>
        <s v="Prefeitura Municipal de Natal" u="1"/>
        <s v="Elenice Aurea Solares" u="1"/>
        <s v="Elenice Aurea Soares" u="1"/>
        <s v="JM EMPREENDIMENTOS IMOBILIARIO SCP LTDA" u="1"/>
        <s v="JM EMPREENDIMENTOS IMOB" u="1"/>
        <s v="Tania Vanice Cardoso da Silva" u="1"/>
        <s v="Elizomar de Lima Marques" u="1"/>
        <s v="ONE Empreendimentos Serivos" u="1"/>
        <s v="Igor R.R. Franca Sociedade" u="1"/>
        <s v="JM EMPR IMOBILIARIO" u="1"/>
        <s v="PREF. MUNICIPAL DE NATAL" u="1"/>
        <s v="JM EMPREENDIMENTO IMOBILIARIO" u="1"/>
      </sharedItems>
    </cacheField>
    <cacheField name="Total" numFmtId="169">
      <sharedItems containsString="0" containsBlank="1" containsNumber="1" minValue="-600000" maxValue="600000"/>
    </cacheField>
    <cacheField name="Solde" numFmtId="169">
      <sharedItems containsMixedTypes="1" containsNumber="1" minValue="-25000.000000000116" maxValue="6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oardo" refreshedDate="46300.819145833331" createdVersion="6" refreshedVersion="8" minRefreshableVersion="3" recordCount="195" xr:uid="{00000000-000A-0000-FFFF-FFFF02000000}">
  <cacheSource type="worksheet">
    <worksheetSource ref="A5:J200" sheet="Conto Investimento"/>
  </cacheSource>
  <cacheFields count="10">
    <cacheField name="Nr" numFmtId="0">
      <sharedItems containsString="0" containsBlank="1" containsNumber="1" containsInteger="1" minValue="1" maxValue="193"/>
    </cacheField>
    <cacheField name="Date Comptable" numFmtId="0">
      <sharedItems containsNonDate="0" containsDate="1" containsString="0" containsBlank="1" minDate="2021-11-30T00:00:00" maxDate="2026-10-01T00:00:00"/>
    </cacheField>
    <cacheField name="Anno" numFmtId="0">
      <sharedItems containsString="0" containsBlank="1" containsNumber="1" containsInteger="1" minValue="2021" maxValue="2026" count="7">
        <n v="2021"/>
        <n v="2022"/>
        <n v="2023"/>
        <n v="2024"/>
        <n v="2025"/>
        <n v="2026"/>
        <m/>
      </sharedItems>
    </cacheField>
    <cacheField name="Description" numFmtId="0">
      <sharedItems containsBlank="1"/>
    </cacheField>
    <cacheField name="E/U" numFmtId="0">
      <sharedItems containsBlank="1"/>
    </cacheField>
    <cacheField name="CATEGORIA" numFmtId="0">
      <sharedItems containsBlank="1" count="15">
        <m/>
        <s v="INVESTIMENTOS"/>
        <s v="JUROS"/>
        <s v="DESPESAS TRIBUTARIAS"/>
        <s v="RESGATE"/>
        <s v="DESPESAS BANCARIAS" u="1"/>
        <s v="DESPESAS GERAIS" u="1"/>
        <s v="DESPESAS VARIAS" u="1"/>
        <s v="INTERESSI" u="1"/>
        <s v="IMPOSTE" u="1"/>
        <s v="DESPESAS FINANCEIRAS" u="1"/>
        <s v="IMPOSTOS" u="1"/>
        <s v="INTERESSES" u="1"/>
        <s v="INVESTIMENTI" u="1"/>
        <s v="RECEITAS FINANCEIRAS" u="1"/>
      </sharedItems>
    </cacheField>
    <cacheField name="TIPO" numFmtId="0">
      <sharedItems containsBlank="1" count="13">
        <m/>
        <s v="Aplicaçao"/>
        <s v="Resgate"/>
        <s v="Receitas Financeiras"/>
        <s v="IRRF"/>
        <s v="IOF Bancario"/>
        <s v="Despesas Bancarias"/>
        <s v="Despesas Gerais"/>
        <s v="Cessione Credito"/>
        <s v="Receitas Financeiras - Aplicaçoes" u="1"/>
        <s v="IMP RENDA" u="1"/>
        <s v="I.O.F." u="1"/>
        <s v="Rendimento brut" u="1"/>
      </sharedItems>
    </cacheField>
    <cacheField name="Descrizione" numFmtId="0">
      <sharedItems containsBlank="1"/>
    </cacheField>
    <cacheField name="Total" numFmtId="169">
      <sharedItems containsString="0" containsBlank="1" containsNumber="1" minValue="-600000" maxValue="600000"/>
    </cacheField>
    <cacheField name="Solde" numFmtId="169">
      <sharedItems containsMixedTypes="1" containsNumber="1" minValue="0" maxValue="1702354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oardo" refreshedDate="46300.819839004631" createdVersion="8" refreshedVersion="8" minRefreshableVersion="3" recordCount="462" xr:uid="{1B95FDFA-3AA2-4FEE-A083-AD09D4FAEE64}">
  <cacheSource type="worksheet">
    <worksheetSource ref="A1:I564" sheet="Consolidato"/>
  </cacheSource>
  <cacheFields count="9">
    <cacheField name="Nr" numFmtId="0">
      <sharedItems containsString="0" containsBlank="1" containsNumber="1" containsInteger="1" minValue="1" maxValue="255"/>
    </cacheField>
    <cacheField name="Date Comptable" numFmtId="0">
      <sharedItems containsNonDate="0" containsDate="1" containsString="0" containsBlank="1" minDate="2021-11-30T00:00:00" maxDate="2026-10-01T00:00:00"/>
    </cacheField>
    <cacheField name="Anno" numFmtId="0">
      <sharedItems containsString="0" containsBlank="1" containsNumber="1" containsInteger="1" minValue="2021" maxValue="2026" count="7">
        <n v="2021"/>
        <n v="2022"/>
        <n v="2023"/>
        <n v="2024"/>
        <n v="2025"/>
        <n v="2026"/>
        <m/>
      </sharedItems>
    </cacheField>
    <cacheField name="Description" numFmtId="0">
      <sharedItems containsBlank="1"/>
    </cacheField>
    <cacheField name="E/U" numFmtId="0">
      <sharedItems containsBlank="1" count="3">
        <m/>
        <s v="ENTRADAS"/>
        <s v="SAIDAS"/>
      </sharedItems>
    </cacheField>
    <cacheField name="CATEGORIA" numFmtId="0">
      <sharedItems containsBlank="1" count="11">
        <m/>
        <s v="LOCACAO"/>
        <s v="INVESTIMENTOS"/>
        <s v="IMOBILIZACAO"/>
        <s v="DESPESAS FINANCEIRAS"/>
        <s v="DESPESAS TRIBUTARIAS"/>
        <s v="DESPESAS GERAIS"/>
        <s v="CESSAO DE CREDITO"/>
        <s v="JUROS"/>
        <s v="DESPESAS BANCARIAS"/>
        <s v="RESGATE"/>
      </sharedItems>
    </cacheField>
    <cacheField name="TIPO" numFmtId="0">
      <sharedItems containsBlank="1" count="23">
        <m/>
        <s v="Produtos"/>
        <s v="Aplicaçao"/>
        <s v="Resgate"/>
        <s v="Terreno"/>
        <s v="Despesas Bancarias"/>
        <s v="Taxa de Localizaçao 2021"/>
        <s v="Taxa de Localizaçao 2022"/>
        <s v="Juros e Multa"/>
        <s v="Varias"/>
        <s v="Taxa de Localizaçao 2023"/>
        <s v="Taxa de Localizaçao 2024"/>
        <s v="Moveis Casa H"/>
        <s v="Gestao Empresarial"/>
        <s v="Taxa de Localizaçao 2025"/>
        <s v="Cessao de Credito"/>
        <s v="Taxa de Localizaçao 2026"/>
        <s v="Receitas Financeiras"/>
        <s v="IRRF"/>
        <s v="IOF Bancario"/>
        <s v="Despesas Gerais"/>
        <s v="Indirizzo fiscale" u="1"/>
        <s v="Receitas Financeiras - Aplicaçoes" u="1"/>
      </sharedItems>
    </cacheField>
    <cacheField name="Soggetto" numFmtId="0">
      <sharedItems containsBlank="1"/>
    </cacheField>
    <cacheField name="Total" numFmtId="0">
      <sharedItems containsString="0" containsBlank="1" containsNumber="1" minValue="-600000" maxValue="6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">
  <r>
    <n v="1"/>
    <d v="2021-12-08T00:00:00"/>
    <x v="0"/>
    <s v="saldo anterior"/>
    <m/>
    <x v="0"/>
    <x v="0"/>
    <x v="0"/>
    <n v="0"/>
    <n v="0"/>
  </r>
  <r>
    <n v="2"/>
    <d v="2021-12-22T00:00:00"/>
    <x v="0"/>
    <s v="Pagamento contratto affitto"/>
    <s v="ENTRADAS"/>
    <x v="1"/>
    <x v="1"/>
    <x v="1"/>
    <n v="600000"/>
    <n v="600000"/>
  </r>
  <r>
    <n v="3"/>
    <d v="2021-12-23T00:00:00"/>
    <x v="0"/>
    <s v="Aplicaçao"/>
    <m/>
    <x v="2"/>
    <x v="2"/>
    <x v="2"/>
    <n v="-600000"/>
    <n v="0"/>
  </r>
  <r>
    <n v="4"/>
    <d v="2021-12-28T00:00:00"/>
    <x v="0"/>
    <s v="Resgate"/>
    <m/>
    <x v="2"/>
    <x v="3"/>
    <x v="2"/>
    <n v="600000"/>
    <n v="600000"/>
  </r>
  <r>
    <n v="5"/>
    <d v="2021-12-28T00:00:00"/>
    <x v="0"/>
    <s v="Pagamento terreno"/>
    <s v="SAIDAS"/>
    <x v="3"/>
    <x v="4"/>
    <x v="3"/>
    <n v="-600000"/>
    <n v="0"/>
  </r>
  <r>
    <n v="6"/>
    <d v="2022-01-05T00:00:00"/>
    <x v="1"/>
    <s v="Resgate"/>
    <m/>
    <x v="2"/>
    <x v="3"/>
    <x v="2"/>
    <n v="60"/>
    <n v="60"/>
  </r>
  <r>
    <n v="7"/>
    <d v="2022-01-05T00:00:00"/>
    <x v="1"/>
    <s v="Tarifa Pacote de Serviços"/>
    <s v="SAIDAS"/>
    <x v="4"/>
    <x v="5"/>
    <x v="2"/>
    <n v="-60"/>
    <n v="0"/>
  </r>
  <r>
    <n v="8"/>
    <d v="2022-02-07T00:00:00"/>
    <x v="1"/>
    <s v="Tarifa Pacote de Serviços"/>
    <s v="SAIDAS"/>
    <x v="4"/>
    <x v="5"/>
    <x v="2"/>
    <n v="-10.82"/>
    <n v="-10.82"/>
  </r>
  <r>
    <n v="9"/>
    <d v="2022-02-07T00:00:00"/>
    <x v="1"/>
    <s v="Resgate"/>
    <m/>
    <x v="2"/>
    <x v="3"/>
    <x v="2"/>
    <n v="10.82"/>
    <n v="0"/>
  </r>
  <r>
    <n v="10"/>
    <d v="2022-02-15T00:00:00"/>
    <x v="1"/>
    <s v="Pagamento contratto affitto"/>
    <s v="ENTRADAS"/>
    <x v="1"/>
    <x v="1"/>
    <x v="4"/>
    <n v="183947.11"/>
    <n v="183947.11"/>
  </r>
  <r>
    <n v="11"/>
    <d v="2022-02-15T00:00:00"/>
    <x v="1"/>
    <s v="Tarifa Pacote de Serviços"/>
    <s v="SAIDAS"/>
    <x v="4"/>
    <x v="5"/>
    <x v="2"/>
    <n v="-55.18"/>
    <n v="183891.93"/>
  </r>
  <r>
    <n v="12"/>
    <d v="2022-02-16T00:00:00"/>
    <x v="1"/>
    <s v="Pagamento contratto affitto"/>
    <s v="ENTRADAS"/>
    <x v="1"/>
    <x v="1"/>
    <x v="4"/>
    <n v="200000"/>
    <n v="383891.93"/>
  </r>
  <r>
    <n v="13"/>
    <d v="2022-02-17T00:00:00"/>
    <x v="1"/>
    <s v="Pagamento contratto affitto"/>
    <s v="ENTRADAS"/>
    <x v="1"/>
    <x v="1"/>
    <x v="4"/>
    <n v="200000"/>
    <n v="583891.92999999993"/>
  </r>
  <r>
    <n v="14"/>
    <d v="2022-03-07T00:00:00"/>
    <x v="1"/>
    <s v="Tarifa Pacote de Serviços"/>
    <s v="SAIDAS"/>
    <x v="4"/>
    <x v="5"/>
    <x v="2"/>
    <n v="-66"/>
    <n v="583825.92999999993"/>
  </r>
  <r>
    <n v="15"/>
    <d v="2022-03-10T00:00:00"/>
    <x v="1"/>
    <s v="Impostos e Taxas"/>
    <s v="SAIDAS"/>
    <x v="5"/>
    <x v="6"/>
    <x v="5"/>
    <n v="-72.87"/>
    <n v="583753.05999999994"/>
  </r>
  <r>
    <n v="16"/>
    <d v="2022-03-11T00:00:00"/>
    <x v="1"/>
    <s v="Impostos e Taxas"/>
    <s v="SAIDAS"/>
    <x v="5"/>
    <x v="7"/>
    <x v="5"/>
    <n v="-320.77999999999997"/>
    <n v="583432.27999999991"/>
  </r>
  <r>
    <n v="17"/>
    <d v="2022-03-12T00:00:00"/>
    <x v="1"/>
    <s v="Impostos e Taxas"/>
    <s v="SAIDAS"/>
    <x v="5"/>
    <x v="8"/>
    <x v="5"/>
    <n v="-23.37"/>
    <n v="583408.90999999992"/>
  </r>
  <r>
    <n v="18"/>
    <d v="2022-04-05T00:00:00"/>
    <x v="1"/>
    <s v="Tarifa Pacote de Serviços"/>
    <s v="SAIDAS"/>
    <x v="4"/>
    <x v="5"/>
    <x v="2"/>
    <n v="-66"/>
    <n v="583342.90999999992"/>
  </r>
  <r>
    <n v="19"/>
    <d v="2022-05-05T00:00:00"/>
    <x v="1"/>
    <s v="Tarifa Pacote de Serviços"/>
    <s v="SAIDAS"/>
    <x v="4"/>
    <x v="5"/>
    <x v="2"/>
    <n v="-66"/>
    <n v="583276.90999999992"/>
  </r>
  <r>
    <n v="20"/>
    <d v="2022-06-06T00:00:00"/>
    <x v="1"/>
    <s v="Tarifa Pacote de Serviços"/>
    <s v="SAIDAS"/>
    <x v="4"/>
    <x v="5"/>
    <x v="2"/>
    <n v="-66"/>
    <n v="583210.90999999992"/>
  </r>
  <r>
    <n v="21"/>
    <d v="2022-06-23T00:00:00"/>
    <x v="1"/>
    <s v="Aplicaçao"/>
    <m/>
    <x v="2"/>
    <x v="2"/>
    <x v="2"/>
    <n v="-583210.91"/>
    <n v="-1.1641532182693481E-10"/>
  </r>
  <r>
    <n v="22"/>
    <d v="2022-07-06T00:00:00"/>
    <x v="1"/>
    <s v="Tarifa Pacote de Serviços"/>
    <s v="SAIDAS"/>
    <x v="4"/>
    <x v="5"/>
    <x v="2"/>
    <n v="-66"/>
    <n v="-66.000000000116415"/>
  </r>
  <r>
    <n v="23"/>
    <d v="2022-07-06T00:00:00"/>
    <x v="1"/>
    <s v="Resgate"/>
    <m/>
    <x v="2"/>
    <x v="3"/>
    <x v="2"/>
    <n v="66"/>
    <n v="-1.1641532182693481E-10"/>
  </r>
  <r>
    <n v="24"/>
    <d v="2022-08-05T00:00:00"/>
    <x v="1"/>
    <s v="Tarifa Pacote de Serviços"/>
    <s v="SAIDAS"/>
    <x v="4"/>
    <x v="5"/>
    <x v="2"/>
    <n v="-66"/>
    <n v="-66.000000000116415"/>
  </r>
  <r>
    <n v="25"/>
    <d v="2022-08-05T00:00:00"/>
    <x v="1"/>
    <s v="Resgate"/>
    <m/>
    <x v="2"/>
    <x v="3"/>
    <x v="2"/>
    <n v="66"/>
    <n v="-1.1641532182693481E-10"/>
  </r>
  <r>
    <n v="26"/>
    <d v="2022-09-05T00:00:00"/>
    <x v="1"/>
    <s v="Tarifa Pacote de Serviços"/>
    <s v="SAIDAS"/>
    <x v="4"/>
    <x v="5"/>
    <x v="2"/>
    <n v="-66"/>
    <n v="-66.000000000116415"/>
  </r>
  <r>
    <n v="27"/>
    <d v="2022-09-05T00:00:00"/>
    <x v="1"/>
    <s v="Resgate"/>
    <m/>
    <x v="2"/>
    <x v="3"/>
    <x v="2"/>
    <n v="66"/>
    <n v="-1.1641532182693481E-10"/>
  </r>
  <r>
    <n v="28"/>
    <d v="2022-10-05T00:00:00"/>
    <x v="1"/>
    <s v="Tarifa Pacote de Serviços"/>
    <s v="SAIDAS"/>
    <x v="4"/>
    <x v="5"/>
    <x v="2"/>
    <n v="-66"/>
    <n v="-66.000000000116415"/>
  </r>
  <r>
    <n v="29"/>
    <d v="2022-10-05T00:00:00"/>
    <x v="1"/>
    <s v="Resgate"/>
    <m/>
    <x v="2"/>
    <x v="3"/>
    <x v="2"/>
    <n v="66"/>
    <n v="-1.1641532182693481E-10"/>
  </r>
  <r>
    <n v="30"/>
    <d v="2022-11-07T00:00:00"/>
    <x v="1"/>
    <s v="Tarifa Pacote de Serviços"/>
    <s v="SAIDAS"/>
    <x v="4"/>
    <x v="5"/>
    <x v="2"/>
    <n v="-66"/>
    <n v="-66.000000000116415"/>
  </r>
  <r>
    <n v="31"/>
    <d v="2022-11-07T00:00:00"/>
    <x v="1"/>
    <s v="Resgate"/>
    <m/>
    <x v="2"/>
    <x v="3"/>
    <x v="2"/>
    <n v="66"/>
    <n v="-1.1641532182693481E-10"/>
  </r>
  <r>
    <n v="32"/>
    <d v="2022-12-05T00:00:00"/>
    <x v="1"/>
    <s v="Tarifa Pacote de Serviços"/>
    <s v="SAIDAS"/>
    <x v="4"/>
    <x v="5"/>
    <x v="2"/>
    <n v="-66"/>
    <n v="-66.000000000116415"/>
  </r>
  <r>
    <n v="33"/>
    <d v="2022-12-05T00:00:00"/>
    <x v="1"/>
    <s v="Resgate"/>
    <m/>
    <x v="2"/>
    <x v="3"/>
    <x v="2"/>
    <n v="66"/>
    <n v="-1.1641532182693481E-10"/>
  </r>
  <r>
    <n v="34"/>
    <d v="2022-12-23T00:00:00"/>
    <x v="1"/>
    <s v="50% Traduzione giurata dello Statuto"/>
    <s v="SAIDAS"/>
    <x v="6"/>
    <x v="9"/>
    <x v="6"/>
    <n v="-1050"/>
    <n v="-1050.0000000001164"/>
  </r>
  <r>
    <n v="35"/>
    <d v="2022-12-23T00:00:00"/>
    <x v="1"/>
    <s v="Resgate"/>
    <m/>
    <x v="2"/>
    <x v="3"/>
    <x v="2"/>
    <n v="1050"/>
    <n v="-1.1641532182693481E-10"/>
  </r>
  <r>
    <n v="36"/>
    <d v="2022-12-29T00:00:00"/>
    <x v="1"/>
    <s v="Pagamento contratto affitto"/>
    <s v="ENTRADAS"/>
    <x v="1"/>
    <x v="1"/>
    <x v="1"/>
    <n v="255109.77"/>
    <n v="255109.76999999987"/>
  </r>
  <r>
    <n v="37"/>
    <d v="2023-01-05T00:00:00"/>
    <x v="2"/>
    <s v="Tarifa Pacote de Serviços"/>
    <s v="SAIDAS"/>
    <x v="4"/>
    <x v="5"/>
    <x v="2"/>
    <n v="-69"/>
    <n v="255040.76999999987"/>
  </r>
  <r>
    <n v="38"/>
    <d v="2023-02-01T00:00:00"/>
    <x v="2"/>
    <s v="Aplicaçao"/>
    <m/>
    <x v="2"/>
    <x v="2"/>
    <x v="2"/>
    <n v="-255040.77"/>
    <n v="-1.1641532182693481E-10"/>
  </r>
  <r>
    <n v="39"/>
    <d v="2023-02-06T00:00:00"/>
    <x v="2"/>
    <s v="Tarifa Pacote de Serviços"/>
    <s v="SAIDAS"/>
    <x v="4"/>
    <x v="5"/>
    <x v="2"/>
    <n v="-69"/>
    <n v="-69.000000000116415"/>
  </r>
  <r>
    <n v="40"/>
    <d v="2023-02-06T00:00:00"/>
    <x v="2"/>
    <s v="Resgate"/>
    <m/>
    <x v="2"/>
    <x v="3"/>
    <x v="2"/>
    <n v="69"/>
    <n v="-1.1641532182693481E-10"/>
  </r>
  <r>
    <n v="41"/>
    <d v="2023-03-06T00:00:00"/>
    <x v="2"/>
    <s v="Tarifa Pacote de Serviços"/>
    <s v="SAIDAS"/>
    <x v="4"/>
    <x v="5"/>
    <x v="2"/>
    <n v="-69"/>
    <n v="-69.000000000116415"/>
  </r>
  <r>
    <n v="42"/>
    <d v="2023-03-06T00:00:00"/>
    <x v="2"/>
    <s v="Resgate"/>
    <m/>
    <x v="2"/>
    <x v="3"/>
    <x v="2"/>
    <n v="69"/>
    <n v="-1.1641532182693481E-10"/>
  </r>
  <r>
    <n v="43"/>
    <d v="2023-04-06T00:00:00"/>
    <x v="2"/>
    <s v="Tarifa Pacote de Serviços"/>
    <s v="SAIDAS"/>
    <x v="4"/>
    <x v="5"/>
    <x v="2"/>
    <n v="-69"/>
    <n v="-69.000000000116415"/>
  </r>
  <r>
    <n v="44"/>
    <d v="2023-04-06T00:00:00"/>
    <x v="2"/>
    <s v="Resgate"/>
    <m/>
    <x v="2"/>
    <x v="3"/>
    <x v="2"/>
    <n v="69"/>
    <n v="-1.1641532182693481E-10"/>
  </r>
  <r>
    <n v="45"/>
    <d v="2023-05-05T00:00:00"/>
    <x v="2"/>
    <s v="Tarifa Pacote de Serviços"/>
    <s v="SAIDAS"/>
    <x v="4"/>
    <x v="5"/>
    <x v="2"/>
    <n v="-69"/>
    <n v="-69.000000000116415"/>
  </r>
  <r>
    <n v="46"/>
    <d v="2023-05-05T00:00:00"/>
    <x v="2"/>
    <s v="Resgate"/>
    <m/>
    <x v="2"/>
    <x v="3"/>
    <x v="2"/>
    <n v="69"/>
    <n v="-1.1641532182693481E-10"/>
  </r>
  <r>
    <n v="47"/>
    <d v="2023-05-31T00:00:00"/>
    <x v="2"/>
    <s v="Domiciliazione societaria"/>
    <s v="SAIDAS"/>
    <x v="6"/>
    <x v="9"/>
    <x v="7"/>
    <n v="-850"/>
    <n v="-850.00000000011642"/>
  </r>
  <r>
    <n v="48"/>
    <d v="2023-05-31T00:00:00"/>
    <x v="2"/>
    <s v="Resgate"/>
    <m/>
    <x v="2"/>
    <x v="3"/>
    <x v="2"/>
    <n v="850"/>
    <n v="-1.1641532182693481E-10"/>
  </r>
  <r>
    <n v="49"/>
    <d v="2023-06-05T00:00:00"/>
    <x v="2"/>
    <s v="Tarifa Pacote de Serviços"/>
    <s v="SAIDAS"/>
    <x v="4"/>
    <x v="5"/>
    <x v="2"/>
    <n v="-69"/>
    <n v="-69.000000000116415"/>
  </r>
  <r>
    <n v="50"/>
    <d v="2023-06-05T00:00:00"/>
    <x v="2"/>
    <s v="Resgate"/>
    <m/>
    <x v="2"/>
    <x v="3"/>
    <x v="2"/>
    <n v="69"/>
    <n v="-1.1641532182693481E-10"/>
  </r>
  <r>
    <n v="51"/>
    <d v="2023-07-05T00:00:00"/>
    <x v="2"/>
    <s v="Tarifa Pacote de Serviços"/>
    <s v="SAIDAS"/>
    <x v="4"/>
    <x v="5"/>
    <x v="2"/>
    <n v="-69"/>
    <n v="-69.000000000116415"/>
  </r>
  <r>
    <n v="52"/>
    <d v="2023-07-05T00:00:00"/>
    <x v="2"/>
    <s v="Resgate"/>
    <m/>
    <x v="2"/>
    <x v="3"/>
    <x v="2"/>
    <n v="69"/>
    <n v="-1.1641532182693481E-10"/>
  </r>
  <r>
    <n v="53"/>
    <d v="2023-07-17T00:00:00"/>
    <x v="2"/>
    <s v="Cambiamento indirizzo societario"/>
    <s v="SAIDAS"/>
    <x v="6"/>
    <x v="9"/>
    <x v="8"/>
    <n v="-1200"/>
    <n v="-1200.0000000001164"/>
  </r>
  <r>
    <n v="54"/>
    <d v="2023-07-17T00:00:00"/>
    <x v="2"/>
    <s v="Resgate"/>
    <m/>
    <x v="2"/>
    <x v="3"/>
    <x v="2"/>
    <n v="1200"/>
    <n v="-1.1641532182693481E-10"/>
  </r>
  <r>
    <n v="55"/>
    <d v="2023-08-07T00:00:00"/>
    <x v="2"/>
    <s v="Tarifa Pacote de Serviços"/>
    <s v="SAIDAS"/>
    <x v="4"/>
    <x v="5"/>
    <x v="2"/>
    <n v="-69"/>
    <n v="-69.000000000116415"/>
  </r>
  <r>
    <n v="56"/>
    <d v="2023-08-07T00:00:00"/>
    <x v="2"/>
    <s v="Resgate"/>
    <m/>
    <x v="2"/>
    <x v="3"/>
    <x v="2"/>
    <n v="69"/>
    <n v="-1.1641532182693481E-10"/>
  </r>
  <r>
    <n v="57"/>
    <d v="2023-09-05T00:00:00"/>
    <x v="2"/>
    <s v="Tarifa Pacote de Serviços"/>
    <s v="SAIDAS"/>
    <x v="4"/>
    <x v="5"/>
    <x v="2"/>
    <n v="-69"/>
    <n v="-69.000000000116415"/>
  </r>
  <r>
    <n v="58"/>
    <d v="2023-09-05T00:00:00"/>
    <x v="2"/>
    <s v="Resgate"/>
    <m/>
    <x v="2"/>
    <x v="3"/>
    <x v="2"/>
    <n v="69"/>
    <n v="-1.1641532182693481E-10"/>
  </r>
  <r>
    <n v="59"/>
    <d v="2023-10-05T00:00:00"/>
    <x v="2"/>
    <s v="Tarifa Pacote de Serviços"/>
    <s v="SAIDAS"/>
    <x v="4"/>
    <x v="5"/>
    <x v="2"/>
    <n v="-69"/>
    <n v="-69.000000000116415"/>
  </r>
  <r>
    <n v="60"/>
    <d v="2023-10-05T00:00:00"/>
    <x v="2"/>
    <s v="Resgate"/>
    <m/>
    <x v="2"/>
    <x v="3"/>
    <x v="2"/>
    <n v="69"/>
    <n v="-1.1641532182693481E-10"/>
  </r>
  <r>
    <n v="61"/>
    <d v="2023-11-06T00:00:00"/>
    <x v="2"/>
    <s v="Tarifa Pacote de Serviços"/>
    <s v="SAIDAS"/>
    <x v="4"/>
    <x v="5"/>
    <x v="2"/>
    <n v="-69"/>
    <n v="-69.000000000116415"/>
  </r>
  <r>
    <n v="62"/>
    <d v="2023-11-06T00:00:00"/>
    <x v="2"/>
    <s v="Resgate"/>
    <m/>
    <x v="2"/>
    <x v="3"/>
    <x v="2"/>
    <n v="69"/>
    <n v="-1.1641532182693481E-10"/>
  </r>
  <r>
    <n v="63"/>
    <d v="2023-12-05T00:00:00"/>
    <x v="2"/>
    <s v="Tarifa Pacote de Serviços"/>
    <s v="SAIDAS"/>
    <x v="4"/>
    <x v="5"/>
    <x v="2"/>
    <n v="-72"/>
    <n v="-72.000000000116415"/>
  </r>
  <r>
    <n v="64"/>
    <d v="2023-12-05T00:00:00"/>
    <x v="2"/>
    <s v="Resgate"/>
    <m/>
    <x v="2"/>
    <x v="3"/>
    <x v="2"/>
    <n v="72"/>
    <n v="-1.1641532182693481E-10"/>
  </r>
  <r>
    <n v="65"/>
    <d v="2024-01-05T00:00:00"/>
    <x v="3"/>
    <s v="Tarifa Pacote de Serviços"/>
    <s v="SAIDAS"/>
    <x v="4"/>
    <x v="5"/>
    <x v="2"/>
    <n v="-72"/>
    <n v="-72.000000000116415"/>
  </r>
  <r>
    <n v="66"/>
    <d v="2024-01-05T00:00:00"/>
    <x v="3"/>
    <s v="Resgate"/>
    <m/>
    <x v="2"/>
    <x v="3"/>
    <x v="2"/>
    <n v="72"/>
    <n v="-1.1641532182693481E-10"/>
  </r>
  <r>
    <n v="67"/>
    <d v="2024-04-03T00:00:00"/>
    <x v="3"/>
    <s v="Impostos e Taxas"/>
    <s v="SAIDAS"/>
    <x v="5"/>
    <x v="10"/>
    <x v="5"/>
    <n v="-408.82"/>
    <n v="-408.82000000011641"/>
  </r>
  <r>
    <n v="68"/>
    <d v="2024-04-03T00:00:00"/>
    <x v="3"/>
    <s v="Taxa de Localizaçao"/>
    <s v="SAIDAS"/>
    <x v="5"/>
    <x v="11"/>
    <x v="5"/>
    <n v="-408.78"/>
    <n v="-817.60000000011632"/>
  </r>
  <r>
    <n v="69"/>
    <d v="2024-04-03T00:00:00"/>
    <x v="3"/>
    <s v="Resgate"/>
    <m/>
    <x v="2"/>
    <x v="3"/>
    <x v="2"/>
    <n v="817.6"/>
    <n v="-1.163016349892132E-10"/>
  </r>
  <r>
    <n v="70"/>
    <d v="2024-04-05T00:00:00"/>
    <x v="3"/>
    <s v="Tarifa Pacote de Serviços"/>
    <s v="SAIDAS"/>
    <x v="4"/>
    <x v="5"/>
    <x v="2"/>
    <n v="-72"/>
    <n v="-72.000000000116302"/>
  </r>
  <r>
    <n v="71"/>
    <d v="2024-04-05T00:00:00"/>
    <x v="3"/>
    <s v="Resgate"/>
    <m/>
    <x v="2"/>
    <x v="3"/>
    <x v="2"/>
    <n v="72"/>
    <n v="-1.163016349892132E-10"/>
  </r>
  <r>
    <n v="72"/>
    <d v="2024-05-06T00:00:00"/>
    <x v="3"/>
    <s v="Tarifa Pacote de Serviços"/>
    <s v="SAIDAS"/>
    <x v="4"/>
    <x v="5"/>
    <x v="2"/>
    <n v="-72"/>
    <n v="-72.000000000116302"/>
  </r>
  <r>
    <n v="73"/>
    <d v="2024-05-06T00:00:00"/>
    <x v="3"/>
    <s v="Resgate"/>
    <m/>
    <x v="2"/>
    <x v="3"/>
    <x v="2"/>
    <n v="72"/>
    <n v="-1.163016349892132E-10"/>
  </r>
  <r>
    <n v="74"/>
    <d v="2024-05-29T00:00:00"/>
    <x v="3"/>
    <s v="Spese Cartorio"/>
    <s v="SAIDAS"/>
    <x v="6"/>
    <x v="9"/>
    <x v="9"/>
    <n v="-1049.08"/>
    <n v="-1049.0800000001163"/>
  </r>
  <r>
    <n v="75"/>
    <d v="2024-05-29T00:00:00"/>
    <x v="3"/>
    <s v="Resgate"/>
    <m/>
    <x v="2"/>
    <x v="3"/>
    <x v="2"/>
    <n v="1049.08"/>
    <n v="-1.1641532182693481E-10"/>
  </r>
  <r>
    <n v="76"/>
    <d v="2024-06-05T00:00:00"/>
    <x v="3"/>
    <s v="Tarifa Pacote de Serviços"/>
    <s v="SAIDAS"/>
    <x v="4"/>
    <x v="5"/>
    <x v="2"/>
    <n v="-72"/>
    <n v="-72.000000000116415"/>
  </r>
  <r>
    <n v="77"/>
    <d v="2024-06-05T00:00:00"/>
    <x v="3"/>
    <s v="Resgate"/>
    <m/>
    <x v="2"/>
    <x v="3"/>
    <x v="2"/>
    <n v="72"/>
    <n v="-1.1641532182693481E-10"/>
  </r>
  <r>
    <n v="78"/>
    <d v="2024-07-05T00:00:00"/>
    <x v="3"/>
    <s v="Domiciliazione societaria"/>
    <s v="SAIDAS"/>
    <x v="6"/>
    <x v="9"/>
    <x v="7"/>
    <n v="-850"/>
    <n v="-850.00000000011642"/>
  </r>
  <r>
    <n v="79"/>
    <d v="2024-07-05T00:00:00"/>
    <x v="3"/>
    <s v="Tarifa Pacote de Serviços"/>
    <s v="SAIDAS"/>
    <x v="4"/>
    <x v="5"/>
    <x v="2"/>
    <n v="-72"/>
    <n v="-922.00000000011642"/>
  </r>
  <r>
    <n v="80"/>
    <d v="2024-07-05T00:00:00"/>
    <x v="3"/>
    <s v="Resgate"/>
    <m/>
    <x v="2"/>
    <x v="3"/>
    <x v="2"/>
    <n v="922"/>
    <n v="-1.1641532182693481E-10"/>
  </r>
  <r>
    <n v="81"/>
    <d v="2024-08-05T00:00:00"/>
    <x v="3"/>
    <s v="Tarifa Pacote de Serviços"/>
    <s v="SAIDAS"/>
    <x v="4"/>
    <x v="5"/>
    <x v="2"/>
    <n v="-73.8"/>
    <n v="-73.800000000116412"/>
  </r>
  <r>
    <n v="82"/>
    <d v="2024-08-05T00:00:00"/>
    <x v="3"/>
    <s v="Resgate"/>
    <m/>
    <x v="2"/>
    <x v="3"/>
    <x v="2"/>
    <n v="73.8"/>
    <n v="-1.1641532182693481E-10"/>
  </r>
  <r>
    <n v="83"/>
    <d v="2024-09-05T00:00:00"/>
    <x v="3"/>
    <s v="Tarifa Pacote de Serviços"/>
    <s v="SAIDAS"/>
    <x v="4"/>
    <x v="5"/>
    <x v="2"/>
    <n v="-73.8"/>
    <n v="-73.800000000116412"/>
  </r>
  <r>
    <n v="84"/>
    <d v="2024-09-05T00:00:00"/>
    <x v="3"/>
    <s v="Resgate"/>
    <m/>
    <x v="2"/>
    <x v="3"/>
    <x v="2"/>
    <n v="73.8"/>
    <n v="-1.1641532182693481E-10"/>
  </r>
  <r>
    <n v="85"/>
    <d v="2024-10-07T00:00:00"/>
    <x v="3"/>
    <s v="Tarifa Pacote de Serviços"/>
    <s v="SAIDAS"/>
    <x v="4"/>
    <x v="5"/>
    <x v="2"/>
    <n v="-73.8"/>
    <n v="-73.800000000116412"/>
  </r>
  <r>
    <n v="86"/>
    <d v="2024-10-07T00:00:00"/>
    <x v="3"/>
    <s v="Resgate"/>
    <m/>
    <x v="2"/>
    <x v="3"/>
    <x v="2"/>
    <n v="73.8"/>
    <n v="-1.1641532182693481E-10"/>
  </r>
  <r>
    <n v="87"/>
    <d v="2024-10-31T00:00:00"/>
    <x v="3"/>
    <s v="Spese Cartorio"/>
    <s v="SAIDAS"/>
    <x v="6"/>
    <x v="12"/>
    <x v="10"/>
    <n v="-184"/>
    <n v="-184.00000000011642"/>
  </r>
  <r>
    <n v="88"/>
    <d v="2024-10-31T00:00:00"/>
    <x v="3"/>
    <s v="Resgate"/>
    <m/>
    <x v="2"/>
    <x v="3"/>
    <x v="2"/>
    <n v="184"/>
    <n v="-1.1641532182693481E-10"/>
  </r>
  <r>
    <n v="89"/>
    <d v="2024-11-05T00:00:00"/>
    <x v="3"/>
    <s v="Tarifa Pacote de Serviços"/>
    <s v="SAIDAS"/>
    <x v="4"/>
    <x v="5"/>
    <x v="2"/>
    <n v="-73.8"/>
    <n v="-73.800000000116412"/>
  </r>
  <r>
    <n v="90"/>
    <d v="2024-11-05T00:00:00"/>
    <x v="3"/>
    <s v="Resgate"/>
    <m/>
    <x v="2"/>
    <x v="3"/>
    <x v="2"/>
    <n v="73.8"/>
    <n v="-1.1641532182693481E-10"/>
  </r>
  <r>
    <n v="91"/>
    <d v="2024-11-07T00:00:00"/>
    <x v="3"/>
    <s v="Compra de Madeira"/>
    <s v="SAIDAS"/>
    <x v="6"/>
    <x v="9"/>
    <x v="11"/>
    <n v="-421.6"/>
    <n v="-421.60000000011644"/>
  </r>
  <r>
    <n v="92"/>
    <d v="2024-11-07T00:00:00"/>
    <x v="3"/>
    <s v="Resgate"/>
    <m/>
    <x v="2"/>
    <x v="3"/>
    <x v="2"/>
    <n v="421.6"/>
    <n v="-1.1641532182693481E-10"/>
  </r>
  <r>
    <n v="93"/>
    <d v="2024-11-29T00:00:00"/>
    <x v="3"/>
    <s v="Honorario Contabeis"/>
    <s v="SAIDAS"/>
    <x v="6"/>
    <x v="12"/>
    <x v="10"/>
    <n v="-300"/>
    <n v="-300.00000000011642"/>
  </r>
  <r>
    <n v="94"/>
    <d v="2024-11-29T00:00:00"/>
    <x v="3"/>
    <s v="Honorario Contabeis"/>
    <s v="SAIDAS"/>
    <x v="6"/>
    <x v="12"/>
    <x v="12"/>
    <n v="-353"/>
    <n v="-653.00000000011642"/>
  </r>
  <r>
    <n v="95"/>
    <d v="2024-11-29T00:00:00"/>
    <x v="3"/>
    <s v="Resgate"/>
    <m/>
    <x v="2"/>
    <x v="3"/>
    <x v="2"/>
    <n v="653"/>
    <n v="-1.1641532182693481E-10"/>
  </r>
  <r>
    <n v="96"/>
    <d v="2024-12-05T00:00:00"/>
    <x v="3"/>
    <s v="Tarifa Pacote de Serviços"/>
    <s v="SAIDAS"/>
    <x v="4"/>
    <x v="5"/>
    <x v="2"/>
    <n v="-73.8"/>
    <n v="-73.800000000116412"/>
  </r>
  <r>
    <n v="97"/>
    <d v="2024-12-05T00:00:00"/>
    <x v="3"/>
    <s v="Resgate"/>
    <m/>
    <x v="2"/>
    <x v="3"/>
    <x v="2"/>
    <n v="73.8"/>
    <n v="-1.1641532182693481E-10"/>
  </r>
  <r>
    <n v="98"/>
    <d v="2024-12-06T00:00:00"/>
    <x v="3"/>
    <s v="Honorario Contabeis"/>
    <s v="SAIDAS"/>
    <x v="6"/>
    <x v="12"/>
    <x v="10"/>
    <n v="-653"/>
    <n v="-653.00000000011642"/>
  </r>
  <r>
    <n v="99"/>
    <d v="2024-12-06T00:00:00"/>
    <x v="3"/>
    <s v="Resgate"/>
    <m/>
    <x v="2"/>
    <x v="3"/>
    <x v="2"/>
    <n v="653"/>
    <n v="-1.1641532182693481E-10"/>
  </r>
  <r>
    <n v="100"/>
    <d v="2024-12-09T00:00:00"/>
    <x v="3"/>
    <s v="Varias"/>
    <s v="SAIDAS"/>
    <x v="6"/>
    <x v="9"/>
    <x v="13"/>
    <n v="-6764.79"/>
    <n v="-6764.7900000001164"/>
  </r>
  <r>
    <n v="101"/>
    <d v="2024-12-09T00:00:00"/>
    <x v="3"/>
    <s v="Resgate"/>
    <m/>
    <x v="2"/>
    <x v="3"/>
    <x v="2"/>
    <n v="6764.79"/>
    <n v="-1.1641532182693481E-10"/>
  </r>
  <r>
    <n v="102"/>
    <d v="2024-12-10T00:00:00"/>
    <x v="3"/>
    <s v="Material de Costruçao"/>
    <s v="SAIDAS"/>
    <x v="6"/>
    <x v="9"/>
    <x v="14"/>
    <n v="-7200"/>
    <n v="-7200.0000000001164"/>
  </r>
  <r>
    <n v="103"/>
    <d v="2024-12-10T00:00:00"/>
    <x v="3"/>
    <s v="Resgate"/>
    <m/>
    <x v="2"/>
    <x v="3"/>
    <x v="2"/>
    <n v="7200"/>
    <n v="-1.1641532182693481E-10"/>
  </r>
  <r>
    <n v="104"/>
    <d v="2024-12-23T00:00:00"/>
    <x v="3"/>
    <s v="Costuras"/>
    <s v="SAIDAS"/>
    <x v="6"/>
    <x v="9"/>
    <x v="15"/>
    <n v="-3700"/>
    <n v="-3700.0000000001164"/>
  </r>
  <r>
    <n v="105"/>
    <d v="2024-12-23T00:00:00"/>
    <x v="3"/>
    <s v="Resgate"/>
    <m/>
    <x v="2"/>
    <x v="3"/>
    <x v="2"/>
    <n v="3700"/>
    <n v="-1.1641532182693481E-10"/>
  </r>
  <r>
    <n v="106"/>
    <d v="2025-01-07T00:00:00"/>
    <x v="4"/>
    <s v="Tarifa Pacote de Serviços"/>
    <s v="SAIDAS"/>
    <x v="4"/>
    <x v="5"/>
    <x v="2"/>
    <n v="-73.8"/>
    <n v="-73.800000000116412"/>
  </r>
  <r>
    <n v="107"/>
    <d v="2025-01-07T00:00:00"/>
    <x v="4"/>
    <s v="Resgate"/>
    <m/>
    <x v="2"/>
    <x v="3"/>
    <x v="2"/>
    <n v="73.8"/>
    <n v="-1.1641532182693481E-10"/>
  </r>
  <r>
    <n v="108"/>
    <d v="2025-01-10T00:00:00"/>
    <x v="4"/>
    <s v="Honorario Contabeis"/>
    <s v="SAIDAS"/>
    <x v="6"/>
    <x v="12"/>
    <x v="10"/>
    <n v="-300"/>
    <n v="-300.00000000011642"/>
  </r>
  <r>
    <n v="109"/>
    <d v="2025-01-10T00:00:00"/>
    <x v="4"/>
    <s v="Honorario Contabeis"/>
    <s v="SAIDAS"/>
    <x v="6"/>
    <x v="12"/>
    <x v="12"/>
    <n v="-353"/>
    <n v="-653.00000000011642"/>
  </r>
  <r>
    <n v="110"/>
    <d v="2025-01-10T00:00:00"/>
    <x v="4"/>
    <s v="Resgate"/>
    <m/>
    <x v="2"/>
    <x v="3"/>
    <x v="2"/>
    <n v="653"/>
    <n v="-1.1641532182693481E-10"/>
  </r>
  <r>
    <n v="111"/>
    <d v="2025-01-14T00:00:00"/>
    <x v="4"/>
    <s v="Importazione mobili"/>
    <s v="SAIDAS"/>
    <x v="6"/>
    <x v="13"/>
    <x v="16"/>
    <n v="-2498.14"/>
    <n v="-2498.1400000001163"/>
  </r>
  <r>
    <n v="112"/>
    <d v="2025-01-14T00:00:00"/>
    <x v="4"/>
    <s v="Resgate"/>
    <m/>
    <x v="2"/>
    <x v="3"/>
    <x v="2"/>
    <n v="2498.14"/>
    <n v="-1.1641532182693481E-10"/>
  </r>
  <r>
    <n v="113"/>
    <d v="2025-01-16T00:00:00"/>
    <x v="4"/>
    <s v="Varias"/>
    <s v="SAIDAS"/>
    <x v="6"/>
    <x v="9"/>
    <x v="17"/>
    <n v="-88.25"/>
    <n v="-88.250000000116415"/>
  </r>
  <r>
    <n v="114"/>
    <d v="2025-01-16T00:00:00"/>
    <x v="4"/>
    <s v="Resgate"/>
    <m/>
    <x v="2"/>
    <x v="3"/>
    <x v="2"/>
    <n v="88.25"/>
    <n v="-1.1641532182693481E-10"/>
  </r>
  <r>
    <n v="115"/>
    <d v="2025-02-05T00:00:00"/>
    <x v="4"/>
    <m/>
    <s v="SAIDAS"/>
    <x v="6"/>
    <x v="9"/>
    <x v="18"/>
    <n v="-13337.99"/>
    <n v="-13337.990000000116"/>
  </r>
  <r>
    <n v="116"/>
    <d v="2025-02-05T00:00:00"/>
    <x v="4"/>
    <s v="Importazione mobili"/>
    <s v="SAIDAS"/>
    <x v="6"/>
    <x v="13"/>
    <x v="16"/>
    <n v="-2480.79"/>
    <n v="-15818.780000000115"/>
  </r>
  <r>
    <n v="117"/>
    <d v="2025-02-05T00:00:00"/>
    <x v="4"/>
    <s v="Tarifa Pacote de Serviços"/>
    <s v="SAIDAS"/>
    <x v="4"/>
    <x v="5"/>
    <x v="2"/>
    <n v="-73.8"/>
    <n v="-15892.580000000115"/>
  </r>
  <r>
    <n v="118"/>
    <d v="2025-02-05T00:00:00"/>
    <x v="4"/>
    <s v="Resgate"/>
    <m/>
    <x v="2"/>
    <x v="3"/>
    <x v="2"/>
    <n v="15892.58"/>
    <n v="-1.1459633242338896E-10"/>
  </r>
  <r>
    <n v="119"/>
    <d v="2025-02-07T00:00:00"/>
    <x v="4"/>
    <s v="Pagamento contratto affitto"/>
    <s v="ENTRADAS"/>
    <x v="1"/>
    <x v="1"/>
    <x v="1"/>
    <n v="258299.87"/>
    <n v="258299.86999999988"/>
  </r>
  <r>
    <n v="120"/>
    <d v="2025-02-14T00:00:00"/>
    <x v="4"/>
    <s v="Varias"/>
    <s v="SAIDAS"/>
    <x v="6"/>
    <x v="9"/>
    <x v="13"/>
    <n v="6764.79"/>
    <n v="265064.65999999986"/>
  </r>
  <r>
    <n v="121"/>
    <d v="2025-02-17T00:00:00"/>
    <x v="4"/>
    <s v="Honorario Contabeis"/>
    <s v="SAIDAS"/>
    <x v="6"/>
    <x v="12"/>
    <x v="10"/>
    <n v="-653"/>
    <n v="264411.65999999986"/>
  </r>
  <r>
    <n v="122"/>
    <d v="2025-02-25T00:00:00"/>
    <x v="4"/>
    <s v="Honorario Contabeis"/>
    <s v="SAIDAS"/>
    <x v="6"/>
    <x v="12"/>
    <x v="12"/>
    <n v="-353"/>
    <n v="264058.65999999986"/>
  </r>
  <r>
    <n v="123"/>
    <d v="2025-03-07T00:00:00"/>
    <x v="4"/>
    <s v="Tarifa Pacote de Serviços"/>
    <s v="SAIDAS"/>
    <x v="4"/>
    <x v="5"/>
    <x v="2"/>
    <n v="-75.400000000000006"/>
    <n v="263983.25999999983"/>
  </r>
  <r>
    <n v="124"/>
    <d v="2025-03-10T00:00:00"/>
    <x v="4"/>
    <s v="Impostos e Taxas"/>
    <s v="SAIDAS"/>
    <x v="5"/>
    <x v="14"/>
    <x v="5"/>
    <n v="-378.61"/>
    <n v="263604.64999999985"/>
  </r>
  <r>
    <n v="125"/>
    <d v="2025-03-13T00:00:00"/>
    <x v="4"/>
    <s v="Importazione mobili"/>
    <s v="SAIDAS"/>
    <x v="6"/>
    <x v="13"/>
    <x v="16"/>
    <n v="-2503.91"/>
    <n v="261100.73999999985"/>
  </r>
  <r>
    <n v="126"/>
    <d v="2025-03-19T00:00:00"/>
    <x v="4"/>
    <s v="Varias"/>
    <s v="SAIDAS"/>
    <x v="6"/>
    <x v="9"/>
    <x v="19"/>
    <n v="-3917.52"/>
    <n v="257183.21999999986"/>
  </r>
  <r>
    <n v="127"/>
    <d v="2025-03-24T00:00:00"/>
    <x v="4"/>
    <s v="Costuras"/>
    <s v="SAIDAS"/>
    <x v="6"/>
    <x v="9"/>
    <x v="15"/>
    <n v="-900"/>
    <n v="256283.21999999986"/>
  </r>
  <r>
    <n v="128"/>
    <d v="2025-03-28T00:00:00"/>
    <x v="4"/>
    <s v="Honorario Contabeis"/>
    <s v="SAIDAS"/>
    <x v="6"/>
    <x v="12"/>
    <x v="12"/>
    <n v="-353"/>
    <n v="255930.21999999986"/>
  </r>
  <r>
    <n v="129"/>
    <d v="2025-03-28T00:00:00"/>
    <x v="4"/>
    <s v="Honorario Contabeis"/>
    <s v="SAIDAS"/>
    <x v="6"/>
    <x v="12"/>
    <x v="10"/>
    <n v="-300"/>
    <n v="255630.21999999986"/>
  </r>
  <r>
    <n v="130"/>
    <d v="2025-04-07T00:00:00"/>
    <x v="4"/>
    <s v="Tarifa Pacote de Serviços"/>
    <s v="SAIDAS"/>
    <x v="4"/>
    <x v="5"/>
    <x v="2"/>
    <n v="-75.400000000000006"/>
    <n v="255554.81999999986"/>
  </r>
  <r>
    <n v="131"/>
    <d v="2025-04-15T00:00:00"/>
    <x v="4"/>
    <s v="Honorario Contabeis"/>
    <s v="SAIDAS"/>
    <x v="6"/>
    <x v="12"/>
    <x v="20"/>
    <n v="-706"/>
    <n v="254848.81999999986"/>
  </r>
  <r>
    <n v="132"/>
    <d v="2025-04-15T00:00:00"/>
    <x v="4"/>
    <s v="Honorario Contabeis"/>
    <s v="SAIDAS"/>
    <x v="6"/>
    <x v="12"/>
    <x v="12"/>
    <n v="-353"/>
    <n v="254495.81999999986"/>
  </r>
  <r>
    <n v="133"/>
    <d v="2025-04-15T00:00:00"/>
    <x v="4"/>
    <s v="Honorario Contabeis"/>
    <s v="SAIDAS"/>
    <x v="6"/>
    <x v="12"/>
    <x v="10"/>
    <n v="-300"/>
    <n v="254195.81999999986"/>
  </r>
  <r>
    <n v="134"/>
    <d v="2025-05-05T00:00:00"/>
    <x v="4"/>
    <s v="Honorario Contabeis"/>
    <s v="SAIDAS"/>
    <x v="6"/>
    <x v="12"/>
    <x v="10"/>
    <n v="-300"/>
    <n v="253895.81999999986"/>
  </r>
  <r>
    <n v="135"/>
    <d v="2025-05-05T00:00:00"/>
    <x v="4"/>
    <s v="Honorario Contabeis"/>
    <s v="SAIDAS"/>
    <x v="6"/>
    <x v="12"/>
    <x v="12"/>
    <n v="-353"/>
    <n v="253542.81999999986"/>
  </r>
  <r>
    <n v="136"/>
    <d v="2025-05-06T00:00:00"/>
    <x v="4"/>
    <s v="Tarifa Pacote de Serviços"/>
    <s v="SAIDAS"/>
    <x v="4"/>
    <x v="5"/>
    <x v="2"/>
    <n v="-75.400000000000006"/>
    <n v="253467.41999999987"/>
  </r>
  <r>
    <n v="137"/>
    <d v="2025-05-09T00:00:00"/>
    <x v="4"/>
    <s v="Varias"/>
    <s v="SAIDAS"/>
    <x v="6"/>
    <x v="9"/>
    <x v="19"/>
    <n v="-891.86"/>
    <n v="252575.55999999988"/>
  </r>
  <r>
    <n v="138"/>
    <d v="2025-05-12T00:00:00"/>
    <x v="4"/>
    <s v="Varias"/>
    <s v="SAIDAS"/>
    <x v="6"/>
    <x v="9"/>
    <x v="15"/>
    <n v="-1500"/>
    <n v="251075.55999999988"/>
  </r>
  <r>
    <n v="139"/>
    <d v="2025-05-20T00:00:00"/>
    <x v="4"/>
    <s v="Honorario Contabeis"/>
    <s v="SAIDAS"/>
    <x v="6"/>
    <x v="12"/>
    <x v="20"/>
    <n v="-353"/>
    <n v="250722.55999999988"/>
  </r>
  <r>
    <n v="140"/>
    <d v="2025-06-02T00:00:00"/>
    <x v="4"/>
    <s v="Domiciliazione societaria"/>
    <s v="SAIDAS"/>
    <x v="6"/>
    <x v="9"/>
    <x v="7"/>
    <n v="-898.2"/>
    <n v="249824.35999999987"/>
  </r>
  <r>
    <n v="141"/>
    <d v="2025-06-05T00:00:00"/>
    <x v="4"/>
    <s v="Varias"/>
    <s v="SAIDAS"/>
    <x v="6"/>
    <x v="9"/>
    <x v="15"/>
    <n v="-1800"/>
    <n v="248024.35999999987"/>
  </r>
  <r>
    <n v="142"/>
    <d v="2025-06-05T00:00:00"/>
    <x v="4"/>
    <s v="Honorario Contabeis"/>
    <s v="SAIDAS"/>
    <x v="6"/>
    <x v="12"/>
    <x v="12"/>
    <n v="-353"/>
    <n v="247671.35999999987"/>
  </r>
  <r>
    <n v="143"/>
    <d v="2025-06-05T00:00:00"/>
    <x v="4"/>
    <s v="Honorario Contabeis"/>
    <s v="SAIDAS"/>
    <x v="6"/>
    <x v="12"/>
    <x v="10"/>
    <n v="-300"/>
    <n v="247371.35999999987"/>
  </r>
  <r>
    <n v="144"/>
    <d v="2025-06-05T00:00:00"/>
    <x v="4"/>
    <s v="Tarifa Pacote de Serviços"/>
    <s v="SAIDAS"/>
    <x v="4"/>
    <x v="5"/>
    <x v="2"/>
    <n v="-75.400000000000006"/>
    <n v="247295.95999999988"/>
  </r>
  <r>
    <n v="145"/>
    <d v="2025-06-17T00:00:00"/>
    <x v="4"/>
    <s v="Aplicaçao"/>
    <m/>
    <x v="2"/>
    <x v="2"/>
    <x v="2"/>
    <n v="-247295.96"/>
    <n v="-1.1641532182693481E-10"/>
  </r>
  <r>
    <n v="146"/>
    <d v="2025-06-23T00:00:00"/>
    <x v="4"/>
    <s v="Honorario Contabeis"/>
    <s v="SAIDAS"/>
    <x v="6"/>
    <x v="12"/>
    <x v="20"/>
    <n v="-353"/>
    <n v="-353.00000000011642"/>
  </r>
  <r>
    <n v="147"/>
    <d v="2025-02-05T00:00:00"/>
    <x v="4"/>
    <s v="Resgate"/>
    <m/>
    <x v="2"/>
    <x v="3"/>
    <x v="2"/>
    <n v="353"/>
    <n v="-1.1641532182693481E-10"/>
  </r>
  <r>
    <n v="148"/>
    <d v="2025-07-07T00:00:00"/>
    <x v="4"/>
    <s v="Tarifa Pacote de Serviços"/>
    <s v="SAIDAS"/>
    <x v="4"/>
    <x v="5"/>
    <x v="2"/>
    <n v="-75.400000000000006"/>
    <n v="-75.400000000116421"/>
  </r>
  <r>
    <n v="149"/>
    <d v="2025-07-07T00:00:00"/>
    <x v="4"/>
    <s v="Resgate"/>
    <m/>
    <x v="2"/>
    <x v="3"/>
    <x v="2"/>
    <n v="75.400000000000006"/>
    <n v="-1.1641532182693481E-10"/>
  </r>
  <r>
    <n v="150"/>
    <d v="2025-07-21T00:00:00"/>
    <x v="4"/>
    <s v="Honorario Contabeis"/>
    <s v="SAIDAS"/>
    <x v="6"/>
    <x v="12"/>
    <x v="20"/>
    <n v="-353"/>
    <n v="-353.00000000011642"/>
  </r>
  <r>
    <n v="151"/>
    <d v="2025-07-21T00:00:00"/>
    <x v="4"/>
    <s v="Honorario Contabeis"/>
    <s v="SAIDAS"/>
    <x v="6"/>
    <x v="12"/>
    <x v="12"/>
    <n v="-353"/>
    <n v="-706.00000000011642"/>
  </r>
  <r>
    <n v="152"/>
    <d v="2025-07-21T00:00:00"/>
    <x v="4"/>
    <s v="Honorario Contabeis"/>
    <s v="SAIDAS"/>
    <x v="6"/>
    <x v="12"/>
    <x v="10"/>
    <n v="-300"/>
    <n v="-1006.0000000001164"/>
  </r>
  <r>
    <n v="153"/>
    <d v="2025-07-21T00:00:00"/>
    <x v="4"/>
    <s v="Resgate"/>
    <m/>
    <x v="2"/>
    <x v="3"/>
    <x v="2"/>
    <n v="1006"/>
    <n v="-1.1641532182693481E-10"/>
  </r>
  <r>
    <n v="154"/>
    <d v="2025-08-05T00:00:00"/>
    <x v="4"/>
    <s v="Honorario Contabeis"/>
    <s v="SAIDAS"/>
    <x v="6"/>
    <x v="12"/>
    <x v="10"/>
    <n v="-300"/>
    <n v="-300.00000000011642"/>
  </r>
  <r>
    <n v="155"/>
    <d v="2025-08-05T00:00:00"/>
    <x v="4"/>
    <s v="Honorario Contabeis"/>
    <s v="SAIDAS"/>
    <x v="6"/>
    <x v="12"/>
    <x v="12"/>
    <n v="-353"/>
    <n v="-653.00000000011642"/>
  </r>
  <r>
    <n v="156"/>
    <d v="2025-08-05T00:00:00"/>
    <x v="4"/>
    <s v="Tarifa Pacote de Serviços"/>
    <s v="SAIDAS"/>
    <x v="4"/>
    <x v="5"/>
    <x v="2"/>
    <n v="-75.400000000000006"/>
    <n v="-728.40000000011639"/>
  </r>
  <r>
    <n v="157"/>
    <d v="2025-08-05T00:00:00"/>
    <x v="4"/>
    <s v="Resgate"/>
    <m/>
    <x v="2"/>
    <x v="3"/>
    <x v="2"/>
    <n v="728.4"/>
    <n v="-1.1641532182693481E-10"/>
  </r>
  <r>
    <n v="158"/>
    <d v="2025-08-21T00:00:00"/>
    <x v="4"/>
    <s v="Honorario Contabeis"/>
    <s v="SAIDAS"/>
    <x v="6"/>
    <x v="12"/>
    <x v="20"/>
    <n v="-353"/>
    <n v="-353.00000000011642"/>
  </r>
  <r>
    <n v="159"/>
    <d v="2025-08-21T00:00:00"/>
    <x v="4"/>
    <s v="Resgate"/>
    <m/>
    <x v="2"/>
    <x v="3"/>
    <x v="2"/>
    <n v="353"/>
    <n v="-1.1641532182693481E-10"/>
  </r>
  <r>
    <n v="160"/>
    <d v="2025-08-22T00:00:00"/>
    <x v="4"/>
    <s v="Varias"/>
    <s v="SAIDAS"/>
    <x v="6"/>
    <x v="9"/>
    <x v="15"/>
    <n v="-600"/>
    <n v="-600.00000000011642"/>
  </r>
  <r>
    <n v="161"/>
    <d v="2025-08-22T00:00:00"/>
    <x v="4"/>
    <s v="Resgate"/>
    <m/>
    <x v="2"/>
    <x v="3"/>
    <x v="2"/>
    <n v="600"/>
    <n v="-1.1641532182693481E-10"/>
  </r>
  <r>
    <n v="162"/>
    <d v="2025-09-05T00:00:00"/>
    <x v="4"/>
    <s v="Honorario Contabeis"/>
    <s v="SAIDAS"/>
    <x v="6"/>
    <x v="12"/>
    <x v="10"/>
    <n v="-300"/>
    <n v="-300.00000000011642"/>
  </r>
  <r>
    <n v="163"/>
    <d v="2025-09-05T00:00:00"/>
    <x v="4"/>
    <s v="Honorario Contabeis"/>
    <s v="SAIDAS"/>
    <x v="6"/>
    <x v="12"/>
    <x v="10"/>
    <n v="-353"/>
    <n v="-653.00000000011642"/>
  </r>
  <r>
    <n v="164"/>
    <d v="2025-09-05T00:00:00"/>
    <x v="4"/>
    <s v="Tarifa Pacote de Serviços"/>
    <s v="SAIDAS"/>
    <x v="4"/>
    <x v="5"/>
    <x v="2"/>
    <n v="-81.400000000000006"/>
    <n v="-734.40000000011639"/>
  </r>
  <r>
    <n v="165"/>
    <d v="2025-09-05T00:00:00"/>
    <x v="4"/>
    <s v="Resgate"/>
    <m/>
    <x v="2"/>
    <x v="3"/>
    <x v="2"/>
    <n v="734.4"/>
    <n v="-1.1641532182693481E-10"/>
  </r>
  <r>
    <n v="166"/>
    <d v="2025-09-10T00:00:00"/>
    <x v="4"/>
    <s v="Honorario Contabeis"/>
    <s v="SAIDAS"/>
    <x v="6"/>
    <x v="12"/>
    <x v="20"/>
    <n v="-353"/>
    <n v="-353.00000000011642"/>
  </r>
  <r>
    <n v="167"/>
    <d v="2025-09-10T00:00:00"/>
    <x v="4"/>
    <s v="Resgate"/>
    <m/>
    <x v="2"/>
    <x v="3"/>
    <x v="2"/>
    <n v="353"/>
    <n v="-1.1641532182693481E-10"/>
  </r>
  <r>
    <n v="168"/>
    <d v="2025-10-02T00:00:00"/>
    <x v="4"/>
    <s v="Honorario Contabeis"/>
    <s v="SAIDAS"/>
    <x v="6"/>
    <x v="12"/>
    <x v="10"/>
    <n v="-353"/>
    <n v="-353.00000000011642"/>
  </r>
  <r>
    <n v="169"/>
    <d v="2025-10-02T00:00:00"/>
    <x v="4"/>
    <s v="Honorario Contabeis"/>
    <s v="SAIDAS"/>
    <x v="6"/>
    <x v="12"/>
    <x v="10"/>
    <n v="-1518"/>
    <n v="-1871.0000000001164"/>
  </r>
  <r>
    <n v="170"/>
    <d v="2025-10-02T00:00:00"/>
    <x v="4"/>
    <s v="Resgate"/>
    <m/>
    <x v="2"/>
    <x v="3"/>
    <x v="2"/>
    <n v="1871"/>
    <n v="-1.1641532182693481E-10"/>
  </r>
  <r>
    <n v="171"/>
    <d v="2025-10-06T00:00:00"/>
    <x v="4"/>
    <s v="Tarifa Pacote de Serviços"/>
    <s v="SAIDAS"/>
    <x v="4"/>
    <x v="5"/>
    <x v="2"/>
    <n v="-81.400000000000006"/>
    <n v="-81.400000000116421"/>
  </r>
  <r>
    <n v="172"/>
    <d v="2025-10-06T00:00:00"/>
    <x v="4"/>
    <s v="Resgate"/>
    <m/>
    <x v="2"/>
    <x v="3"/>
    <x v="2"/>
    <n v="81.400000000000006"/>
    <n v="-1.1641532182693481E-10"/>
  </r>
  <r>
    <n v="173"/>
    <d v="2025-10-10T00:00:00"/>
    <x v="4"/>
    <s v="Honorario Contabeis"/>
    <s v="SAIDAS"/>
    <x v="6"/>
    <x v="12"/>
    <x v="20"/>
    <n v="-353"/>
    <n v="-353.00000000011642"/>
  </r>
  <r>
    <n v="174"/>
    <d v="2025-10-10T00:00:00"/>
    <x v="4"/>
    <s v="Resgate"/>
    <m/>
    <x v="2"/>
    <x v="3"/>
    <x v="2"/>
    <n v="353"/>
    <n v="-1.1641532182693481E-10"/>
  </r>
  <r>
    <n v="175"/>
    <d v="2025-10-13T00:00:00"/>
    <x v="4"/>
    <s v="Pagamento contratto affitto"/>
    <s v="ENTRADAS"/>
    <x v="1"/>
    <x v="1"/>
    <x v="1"/>
    <n v="150000"/>
    <n v="149999.99999999988"/>
  </r>
  <r>
    <n v="176"/>
    <d v="2025-10-20T00:00:00"/>
    <x v="4"/>
    <s v="Aplicaçao"/>
    <m/>
    <x v="2"/>
    <x v="2"/>
    <x v="2"/>
    <n v="-150000"/>
    <n v="-1.1641532182693481E-10"/>
  </r>
  <r>
    <n v="177"/>
    <d v="2025-10-24T00:00:00"/>
    <x v="4"/>
    <s v="Honorario Contabeis"/>
    <s v="SAIDAS"/>
    <x v="6"/>
    <x v="12"/>
    <x v="10"/>
    <n v="-184"/>
    <n v="-184.00000000011642"/>
  </r>
  <r>
    <n v="178"/>
    <d v="2025-10-24T00:00:00"/>
    <x v="4"/>
    <s v="Resgate"/>
    <m/>
    <x v="2"/>
    <x v="3"/>
    <x v="2"/>
    <n v="184"/>
    <n v="-1.1641532182693481E-10"/>
  </r>
  <r>
    <n v="179"/>
    <d v="2025-11-05T00:00:00"/>
    <x v="4"/>
    <s v="Honorario Contabeis"/>
    <s v="SAIDAS"/>
    <x v="6"/>
    <x v="12"/>
    <x v="10"/>
    <n v="-353"/>
    <n v="-353.00000000011642"/>
  </r>
  <r>
    <n v="180"/>
    <d v="2025-11-05T00:00:00"/>
    <x v="4"/>
    <s v="Honorario Contabeis"/>
    <s v="SAIDAS"/>
    <x v="6"/>
    <x v="12"/>
    <x v="10"/>
    <n v="-1518"/>
    <n v="-1871.0000000001164"/>
  </r>
  <r>
    <n v="181"/>
    <d v="2025-11-05T00:00:00"/>
    <x v="4"/>
    <s v="Tarifa Pacote de Serviços"/>
    <s v="SAIDAS"/>
    <x v="4"/>
    <x v="5"/>
    <x v="2"/>
    <n v="-81.400000000000006"/>
    <n v="-1952.4000000001165"/>
  </r>
  <r>
    <n v="182"/>
    <d v="2025-11-05T00:00:00"/>
    <x v="4"/>
    <s v="Resgate"/>
    <m/>
    <x v="2"/>
    <x v="3"/>
    <x v="2"/>
    <n v="1952.4"/>
    <n v="-1.1641532182693481E-10"/>
  </r>
  <r>
    <n v="183"/>
    <d v="2025-11-10T00:00:00"/>
    <x v="4"/>
    <s v="Honorario Contabeis"/>
    <s v="SAIDAS"/>
    <x v="6"/>
    <x v="12"/>
    <x v="20"/>
    <n v="-353"/>
    <n v="-353.00000000011642"/>
  </r>
  <r>
    <n v="184"/>
    <d v="2025-11-10T00:00:00"/>
    <x v="4"/>
    <s v="Resgate"/>
    <m/>
    <x v="2"/>
    <x v="3"/>
    <x v="2"/>
    <n v="353"/>
    <n v="-1.1641532182693481E-10"/>
  </r>
  <r>
    <n v="185"/>
    <d v="2025-11-14T00:00:00"/>
    <x v="4"/>
    <s v="Honorario Contabeis"/>
    <s v="SAIDAS"/>
    <x v="6"/>
    <x v="12"/>
    <x v="20"/>
    <n v="-176.5"/>
    <n v="-176.50000000011642"/>
  </r>
  <r>
    <n v="186"/>
    <d v="2025-11-14T00:00:00"/>
    <x v="4"/>
    <s v="Honorario Contabeis"/>
    <s v="SAIDAS"/>
    <x v="6"/>
    <x v="12"/>
    <x v="10"/>
    <n v="-176.5"/>
    <n v="-353.00000000011642"/>
  </r>
  <r>
    <n v="187"/>
    <d v="2025-11-14T00:00:00"/>
    <x v="4"/>
    <s v="Resgate"/>
    <m/>
    <x v="2"/>
    <x v="3"/>
    <x v="2"/>
    <n v="353"/>
    <n v="-1.1641532182693481E-10"/>
  </r>
  <r>
    <n v="188"/>
    <d v="2025-12-03T00:00:00"/>
    <x v="4"/>
    <s v="Transferencia"/>
    <s v="SAIDAS"/>
    <x v="7"/>
    <x v="15"/>
    <x v="21"/>
    <n v="-25000"/>
    <n v="-25000.000000000116"/>
  </r>
  <r>
    <n v="189"/>
    <d v="2025-12-03T00:00:00"/>
    <x v="4"/>
    <s v="Resgate"/>
    <m/>
    <x v="2"/>
    <x v="3"/>
    <x v="2"/>
    <n v="25000"/>
    <n v="-1.1641532182693481E-10"/>
  </r>
  <r>
    <n v="190"/>
    <d v="2025-12-04T00:00:00"/>
    <x v="4"/>
    <s v="Transferencia"/>
    <s v="SAIDAS"/>
    <x v="7"/>
    <x v="15"/>
    <x v="21"/>
    <n v="-25000"/>
    <n v="-25000.000000000116"/>
  </r>
  <r>
    <n v="191"/>
    <d v="2025-12-04T00:00:00"/>
    <x v="4"/>
    <s v="Resgate"/>
    <m/>
    <x v="2"/>
    <x v="3"/>
    <x v="2"/>
    <n v="25000"/>
    <n v="-1.1641532182693481E-10"/>
  </r>
  <r>
    <n v="192"/>
    <d v="2025-12-05T00:00:00"/>
    <x v="4"/>
    <s v="Transferencia"/>
    <s v="SAIDAS"/>
    <x v="7"/>
    <x v="15"/>
    <x v="21"/>
    <n v="-12000"/>
    <n v="-12000.000000000116"/>
  </r>
  <r>
    <n v="193"/>
    <d v="2025-12-05T00:00:00"/>
    <x v="4"/>
    <s v="Honorario Contabeis"/>
    <s v="SAIDAS"/>
    <x v="6"/>
    <x v="12"/>
    <x v="10"/>
    <n v="-353"/>
    <n v="-12353.000000000116"/>
  </r>
  <r>
    <n v="194"/>
    <d v="2025-12-05T00:00:00"/>
    <x v="4"/>
    <s v="Honorario Contabeis"/>
    <s v="SAIDAS"/>
    <x v="6"/>
    <x v="12"/>
    <x v="10"/>
    <n v="-1518"/>
    <n v="-13871.000000000116"/>
  </r>
  <r>
    <n v="195"/>
    <d v="2025-12-05T00:00:00"/>
    <x v="4"/>
    <s v="Tarifa Pacote de Serviços"/>
    <s v="SAIDAS"/>
    <x v="4"/>
    <x v="5"/>
    <x v="2"/>
    <n v="-81.400000000000006"/>
    <n v="-13952.400000000116"/>
  </r>
  <r>
    <n v="196"/>
    <d v="2025-12-05T00:00:00"/>
    <x v="4"/>
    <s v="Resgate"/>
    <m/>
    <x v="2"/>
    <x v="3"/>
    <x v="2"/>
    <n v="13952.4"/>
    <n v="-1.1641532182693481E-10"/>
  </r>
  <r>
    <n v="197"/>
    <d v="2025-12-10T00:00:00"/>
    <x v="4"/>
    <s v="Honorario Contabeis"/>
    <s v="SAIDAS"/>
    <x v="6"/>
    <x v="12"/>
    <x v="20"/>
    <n v="-353"/>
    <n v="-353.00000000011642"/>
  </r>
  <r>
    <n v="198"/>
    <d v="2025-12-10T00:00:00"/>
    <x v="4"/>
    <s v="Resgate"/>
    <m/>
    <x v="2"/>
    <x v="3"/>
    <x v="2"/>
    <n v="353"/>
    <n v="-1.1641532182693481E-10"/>
  </r>
  <r>
    <n v="199"/>
    <d v="2025-12-15T00:00:00"/>
    <x v="4"/>
    <s v="Pagamento contratto affitto"/>
    <s v="ENTRADAS"/>
    <x v="1"/>
    <x v="1"/>
    <x v="1"/>
    <n v="209209.39"/>
    <n v="209209.3899999999"/>
  </r>
  <r>
    <n v="200"/>
    <d v="2025-12-15T00:00:00"/>
    <x v="4"/>
    <s v="Aplicaçao"/>
    <m/>
    <x v="2"/>
    <x v="2"/>
    <x v="2"/>
    <n v="-200000"/>
    <n v="9209.3899999998976"/>
  </r>
  <r>
    <n v="201"/>
    <d v="2025-12-15T00:00:00"/>
    <x v="4"/>
    <s v="Honorario Contabeis"/>
    <s v="SAIDAS"/>
    <x v="6"/>
    <x v="12"/>
    <x v="20"/>
    <n v="-176.5"/>
    <n v="9032.8899999998976"/>
  </r>
  <r>
    <n v="202"/>
    <d v="2025-12-15T00:00:00"/>
    <x v="4"/>
    <s v="Honorario Contabeis"/>
    <s v="SAIDAS"/>
    <x v="6"/>
    <x v="12"/>
    <x v="10"/>
    <n v="-176.5"/>
    <n v="8856.3899999998976"/>
  </r>
  <r>
    <n v="203"/>
    <d v="2026-01-05T00:00:00"/>
    <x v="5"/>
    <s v="Honorario Contabeis"/>
    <s v="SAIDAS"/>
    <x v="6"/>
    <x v="12"/>
    <x v="10"/>
    <n v="-353"/>
    <n v="8503.3899999998976"/>
  </r>
  <r>
    <n v="204"/>
    <d v="2026-01-05T00:00:00"/>
    <x v="5"/>
    <s v="Honorario Contabeis"/>
    <s v="SAIDAS"/>
    <x v="6"/>
    <x v="12"/>
    <x v="10"/>
    <n v="-1518"/>
    <n v="6985.3899999998976"/>
  </r>
  <r>
    <n v="205"/>
    <d v="2026-01-06T00:00:00"/>
    <x v="5"/>
    <s v="Tarifa Pacote de Serviços"/>
    <s v="SAIDAS"/>
    <x v="4"/>
    <x v="5"/>
    <x v="2"/>
    <n v="-81.400000000000006"/>
    <n v="6903.9899999998979"/>
  </r>
  <r>
    <n v="206"/>
    <d v="2026-01-12T00:00:00"/>
    <x v="5"/>
    <s v="Honorario Contabeis"/>
    <s v="SAIDAS"/>
    <x v="6"/>
    <x v="12"/>
    <x v="20"/>
    <n v="-353"/>
    <n v="6550.9899999998979"/>
  </r>
  <r>
    <n v="207"/>
    <d v="2026-02-05T00:00:00"/>
    <x v="5"/>
    <s v="Honorario Contabeis"/>
    <s v="SAIDAS"/>
    <x v="6"/>
    <x v="12"/>
    <x v="10"/>
    <n v="-377"/>
    <n v="6173.9899999998979"/>
  </r>
  <r>
    <n v="208"/>
    <d v="2026-02-05T00:00:00"/>
    <x v="5"/>
    <s v="Honorario Contabeis"/>
    <s v="SAIDAS"/>
    <x v="6"/>
    <x v="12"/>
    <x v="10"/>
    <n v="-1621"/>
    <n v="4552.9899999998979"/>
  </r>
  <r>
    <n v="209"/>
    <d v="2026-02-05T00:00:00"/>
    <x v="5"/>
    <s v="Tarifa Pacote de Serviços"/>
    <s v="SAIDAS"/>
    <x v="4"/>
    <x v="5"/>
    <x v="2"/>
    <n v="-81.400000000000006"/>
    <n v="4471.5899999998983"/>
  </r>
  <r>
    <n v="210"/>
    <d v="2026-02-10T00:00:00"/>
    <x v="5"/>
    <s v="Honorario Contabeis"/>
    <s v="SAIDAS"/>
    <x v="6"/>
    <x v="12"/>
    <x v="20"/>
    <n v="-377"/>
    <n v="4094.5899999998983"/>
  </r>
  <r>
    <n v="211"/>
    <d v="2026-03-05T00:00:00"/>
    <x v="5"/>
    <s v="Honorario Contabeis"/>
    <s v="SAIDAS"/>
    <x v="6"/>
    <x v="12"/>
    <x v="10"/>
    <n v="-377"/>
    <n v="3717.5899999998983"/>
  </r>
  <r>
    <n v="212"/>
    <d v="2026-03-05T00:00:00"/>
    <x v="5"/>
    <s v="Honorario Contabeis"/>
    <s v="SAIDAS"/>
    <x v="6"/>
    <x v="12"/>
    <x v="10"/>
    <n v="-1621"/>
    <n v="2096.5899999998983"/>
  </r>
  <r>
    <n v="213"/>
    <d v="2026-03-05T00:00:00"/>
    <x v="5"/>
    <s v="Tarifa Pacote de Serviços"/>
    <s v="SAIDAS"/>
    <x v="4"/>
    <x v="5"/>
    <x v="2"/>
    <n v="-81.400000000000006"/>
    <n v="2015.1899999998982"/>
  </r>
  <r>
    <n v="214"/>
    <d v="2026-03-10T00:00:00"/>
    <x v="5"/>
    <s v="Honorario Contabeis"/>
    <s v="SAIDAS"/>
    <x v="6"/>
    <x v="12"/>
    <x v="20"/>
    <n v="-377"/>
    <n v="1638.1899999998982"/>
  </r>
  <r>
    <n v="215"/>
    <d v="2026-03-10T00:00:00"/>
    <x v="5"/>
    <s v="Impostos e Taxas"/>
    <s v="SAIDAS"/>
    <x v="5"/>
    <x v="16"/>
    <x v="5"/>
    <n v="-398.75"/>
    <n v="1239.4399999998982"/>
  </r>
  <r>
    <n v="216"/>
    <d v="2026-04-02T00:00:00"/>
    <x v="5"/>
    <s v="Honorario Contabeis"/>
    <s v="SAIDAS"/>
    <x v="6"/>
    <x v="12"/>
    <x v="10"/>
    <n v="-377"/>
    <n v="862.43999999989819"/>
  </r>
  <r>
    <n v="217"/>
    <d v="2026-04-02T00:00:00"/>
    <x v="5"/>
    <s v="Honorario Contabeis"/>
    <s v="SAIDAS"/>
    <x v="6"/>
    <x v="12"/>
    <x v="10"/>
    <n v="-1621"/>
    <n v="-758.56000000010181"/>
  </r>
  <r>
    <n v="218"/>
    <d v="2026-04-02T00:00:00"/>
    <x v="5"/>
    <s v="Resgate"/>
    <m/>
    <x v="2"/>
    <x v="3"/>
    <x v="2"/>
    <n v="758.56"/>
    <n v="-1.0186340659856796E-10"/>
  </r>
  <r>
    <n v="219"/>
    <d v="2026-04-06T00:00:00"/>
    <x v="5"/>
    <s v="Tarifa Pacote de Serviços"/>
    <s v="SAIDAS"/>
    <x v="4"/>
    <x v="5"/>
    <x v="2"/>
    <n v="-81.400000000000006"/>
    <n v="-81.400000000101869"/>
  </r>
  <r>
    <n v="220"/>
    <d v="2026-04-06T00:00:00"/>
    <x v="5"/>
    <s v="Resgate"/>
    <m/>
    <x v="2"/>
    <x v="3"/>
    <x v="2"/>
    <n v="81.400000000000006"/>
    <n v="-1.0186340659856796E-10"/>
  </r>
  <r>
    <n v="221"/>
    <d v="2026-04-10T00:00:00"/>
    <x v="5"/>
    <s v="Honorario Contabeis"/>
    <s v="SAIDAS"/>
    <x v="6"/>
    <x v="12"/>
    <x v="20"/>
    <n v="-377"/>
    <n v="-377.00000000010186"/>
  </r>
  <r>
    <n v="222"/>
    <d v="2026-04-10T00:00:00"/>
    <x v="5"/>
    <s v="Resgate"/>
    <m/>
    <x v="2"/>
    <x v="3"/>
    <x v="2"/>
    <n v="377"/>
    <n v="-1.0186340659856796E-10"/>
  </r>
  <r>
    <n v="223"/>
    <d v="2026-05-05T00:00:00"/>
    <x v="5"/>
    <s v="Honorario Contabeis"/>
    <s v="SAIDAS"/>
    <x v="6"/>
    <x v="12"/>
    <x v="10"/>
    <n v="-377"/>
    <n v="-377.00000000010186"/>
  </r>
  <r>
    <n v="224"/>
    <d v="2026-05-05T00:00:00"/>
    <x v="5"/>
    <s v="Honorario Contabeis"/>
    <s v="SAIDAS"/>
    <x v="6"/>
    <x v="12"/>
    <x v="10"/>
    <n v="-1621"/>
    <n v="-1998.0000000001019"/>
  </r>
  <r>
    <n v="225"/>
    <d v="2026-05-05T00:00:00"/>
    <x v="5"/>
    <s v="Resgate"/>
    <m/>
    <x v="2"/>
    <x v="3"/>
    <x v="2"/>
    <n v="1998"/>
    <n v="-1.0186340659856796E-10"/>
  </r>
  <r>
    <n v="226"/>
    <d v="2026-05-06T00:00:00"/>
    <x v="5"/>
    <s v="Tarifa Pacote de Serviços"/>
    <s v="SAIDAS"/>
    <x v="4"/>
    <x v="5"/>
    <x v="2"/>
    <n v="-93.1"/>
    <n v="-93.100000000101858"/>
  </r>
  <r>
    <n v="227"/>
    <d v="2026-05-06T00:00:00"/>
    <x v="5"/>
    <s v="Resgate"/>
    <m/>
    <x v="2"/>
    <x v="3"/>
    <x v="2"/>
    <n v="93.1"/>
    <n v="-1.0186340659856796E-10"/>
  </r>
  <r>
    <n v="228"/>
    <d v="2026-05-11T00:00:00"/>
    <x v="5"/>
    <s v="Honorario Contabeis"/>
    <s v="SAIDAS"/>
    <x v="6"/>
    <x v="12"/>
    <x v="20"/>
    <n v="-377"/>
    <n v="-377.00000000010186"/>
  </r>
  <r>
    <n v="229"/>
    <d v="2026-05-11T00:00:00"/>
    <x v="5"/>
    <s v="Resgate"/>
    <m/>
    <x v="2"/>
    <x v="3"/>
    <x v="2"/>
    <n v="377"/>
    <n v="-1.0186340659856796E-10"/>
  </r>
  <r>
    <n v="230"/>
    <d v="2026-06-05T00:00:00"/>
    <x v="5"/>
    <s v="Honorario Contabeis"/>
    <s v="SAIDAS"/>
    <x v="6"/>
    <x v="12"/>
    <x v="10"/>
    <n v="-377"/>
    <n v="-377.00000000010186"/>
  </r>
  <r>
    <n v="231"/>
    <d v="2026-06-05T00:00:00"/>
    <x v="5"/>
    <s v="Honorario Contabeis"/>
    <s v="SAIDAS"/>
    <x v="6"/>
    <x v="12"/>
    <x v="10"/>
    <n v="-1621"/>
    <n v="-1998.0000000001019"/>
  </r>
  <r>
    <n v="232"/>
    <d v="2026-06-05T00:00:00"/>
    <x v="5"/>
    <s v="Tarifa Pacote de Serviços"/>
    <s v="SAIDAS"/>
    <x v="4"/>
    <x v="5"/>
    <x v="2"/>
    <n v="-93.1"/>
    <n v="-2091.1000000001018"/>
  </r>
  <r>
    <n v="233"/>
    <d v="2026-06-05T00:00:00"/>
    <x v="5"/>
    <s v="Resgate"/>
    <m/>
    <x v="2"/>
    <x v="3"/>
    <x v="2"/>
    <n v="2091.1"/>
    <n v="-1.0186340659856796E-10"/>
  </r>
  <r>
    <n v="234"/>
    <d v="2026-06-10T00:00:00"/>
    <x v="5"/>
    <s v="Honorario Contabeis"/>
    <s v="SAIDAS"/>
    <x v="6"/>
    <x v="12"/>
    <x v="20"/>
    <n v="-377"/>
    <n v="-377.00000000010186"/>
  </r>
  <r>
    <n v="235"/>
    <d v="2026-06-10T00:00:00"/>
    <x v="5"/>
    <s v="Resgate"/>
    <m/>
    <x v="2"/>
    <x v="3"/>
    <x v="2"/>
    <n v="377"/>
    <n v="-1.0186340659856796E-10"/>
  </r>
  <r>
    <n v="236"/>
    <d v="2026-06-17T00:00:00"/>
    <x v="5"/>
    <s v="Domiciliazione societaria"/>
    <s v="SAIDAS"/>
    <x v="6"/>
    <x v="9"/>
    <x v="22"/>
    <n v="-935.39"/>
    <n v="-935.39000000010185"/>
  </r>
  <r>
    <n v="237"/>
    <d v="2026-06-17T00:00:00"/>
    <x v="5"/>
    <s v="Resgate"/>
    <m/>
    <x v="2"/>
    <x v="3"/>
    <x v="2"/>
    <n v="935.39"/>
    <n v="-1.0186340659856796E-10"/>
  </r>
  <r>
    <n v="238"/>
    <d v="2026-07-06T00:00:00"/>
    <x v="5"/>
    <s v="Tarifa Pacote de Serviços"/>
    <s v="SAIDAS"/>
    <x v="4"/>
    <x v="5"/>
    <x v="2"/>
    <n v="-93.1"/>
    <n v="-93.100000000101858"/>
  </r>
  <r>
    <n v="239"/>
    <d v="2026-07-06T00:00:00"/>
    <x v="5"/>
    <s v="Resgate"/>
    <m/>
    <x v="2"/>
    <x v="3"/>
    <x v="2"/>
    <n v="93.1"/>
    <n v="-1.0186340659856796E-10"/>
  </r>
  <r>
    <n v="240"/>
    <d v="2026-07-10T00:00:00"/>
    <x v="5"/>
    <s v="Honorario Contabeis"/>
    <s v="SAIDAS"/>
    <x v="6"/>
    <x v="12"/>
    <x v="10"/>
    <n v="-377"/>
    <n v="-377.00000000010186"/>
  </r>
  <r>
    <n v="241"/>
    <d v="2026-07-10T00:00:00"/>
    <x v="5"/>
    <s v="Honorario Contabeis"/>
    <s v="SAIDAS"/>
    <x v="6"/>
    <x v="12"/>
    <x v="10"/>
    <n v="-1621"/>
    <n v="-1998.0000000001019"/>
  </r>
  <r>
    <n v="242"/>
    <d v="2026-07-10T00:00:00"/>
    <x v="5"/>
    <s v="Honorario Contabeis"/>
    <s v="SAIDAS"/>
    <x v="6"/>
    <x v="12"/>
    <x v="20"/>
    <n v="-377"/>
    <n v="-2375.0000000001019"/>
  </r>
  <r>
    <n v="243"/>
    <d v="2026-07-10T00:00:00"/>
    <x v="5"/>
    <s v="Resgate"/>
    <m/>
    <x v="2"/>
    <x v="3"/>
    <x v="2"/>
    <n v="2375"/>
    <n v="-1.0186340659856796E-10"/>
  </r>
  <r>
    <n v="244"/>
    <d v="2026-08-05T00:00:00"/>
    <x v="5"/>
    <s v="Honorario Contabeis"/>
    <s v="SAIDAS"/>
    <x v="6"/>
    <x v="12"/>
    <x v="10"/>
    <n v="-377"/>
    <n v="-377.00000000010186"/>
  </r>
  <r>
    <n v="245"/>
    <d v="2026-08-05T00:00:00"/>
    <x v="5"/>
    <s v="Honorario Contabeis"/>
    <s v="SAIDAS"/>
    <x v="6"/>
    <x v="12"/>
    <x v="10"/>
    <n v="-1621"/>
    <n v="-1998.0000000001019"/>
  </r>
  <r>
    <n v="246"/>
    <d v="2026-08-05T00:00:00"/>
    <x v="5"/>
    <s v="Tarifa Pacote de Serviços"/>
    <s v="SAIDAS"/>
    <x v="4"/>
    <x v="5"/>
    <x v="2"/>
    <n v="-93.1"/>
    <n v="-2091.1000000001018"/>
  </r>
  <r>
    <n v="247"/>
    <d v="2026-08-05T00:00:00"/>
    <x v="5"/>
    <s v="Resgate"/>
    <m/>
    <x v="2"/>
    <x v="3"/>
    <x v="2"/>
    <n v="2091.1"/>
    <n v="-1.0186340659856796E-10"/>
  </r>
  <r>
    <n v="248"/>
    <d v="2026-08-10T00:00:00"/>
    <x v="5"/>
    <s v="Honorario Contabeis"/>
    <s v="SAIDAS"/>
    <x v="6"/>
    <x v="12"/>
    <x v="20"/>
    <n v="-377"/>
    <n v="-377.00000000010186"/>
  </r>
  <r>
    <n v="249"/>
    <d v="2026-08-10T00:00:00"/>
    <x v="5"/>
    <s v="Resgate"/>
    <m/>
    <x v="2"/>
    <x v="3"/>
    <x v="2"/>
    <n v="377"/>
    <n v="-1.0186340659856796E-10"/>
  </r>
  <r>
    <n v="250"/>
    <d v="2026-08-28T00:00:00"/>
    <x v="5"/>
    <s v="Pagamento contratto affitto"/>
    <s v="ENTRADAS"/>
    <x v="1"/>
    <x v="1"/>
    <x v="1"/>
    <n v="21578.02"/>
    <n v="21578.019999999899"/>
  </r>
  <r>
    <n v="251"/>
    <d v="2026-09-04T00:00:00"/>
    <x v="5"/>
    <s v="Honorario Contabeis"/>
    <s v="SAIDAS"/>
    <x v="6"/>
    <x v="12"/>
    <x v="23"/>
    <n v="-377"/>
    <n v="21201.019999999899"/>
  </r>
  <r>
    <n v="252"/>
    <d v="2026-09-04T00:00:00"/>
    <x v="5"/>
    <s v="Honorario Contabeis"/>
    <s v="SAIDAS"/>
    <x v="6"/>
    <x v="12"/>
    <x v="23"/>
    <n v="-1621"/>
    <n v="19580.019999999899"/>
  </r>
  <r>
    <n v="253"/>
    <d v="2026-09-08T00:00:00"/>
    <x v="5"/>
    <s v="Tarifa Pacote de Serviços"/>
    <s v="SAIDAS"/>
    <x v="4"/>
    <x v="5"/>
    <x v="2"/>
    <n v="-93.1"/>
    <n v="19486.9199999999"/>
  </r>
  <r>
    <n v="254"/>
    <d v="2026-09-10T00:00:00"/>
    <x v="5"/>
    <s v="Honorario Contabeis"/>
    <s v="SAIDAS"/>
    <x v="6"/>
    <x v="12"/>
    <x v="20"/>
    <n v="-361.31"/>
    <n v="19125.609999999899"/>
  </r>
  <r>
    <n v="255"/>
    <d v="2026-09-30T00:00:00"/>
    <x v="5"/>
    <s v="Pagamento contratto affitto"/>
    <s v="ENTRADAS"/>
    <x v="1"/>
    <x v="1"/>
    <x v="1"/>
    <n v="21578.02"/>
    <n v="40703.629999999903"/>
  </r>
  <r>
    <m/>
    <m/>
    <x v="6"/>
    <m/>
    <m/>
    <x v="0"/>
    <x v="0"/>
    <x v="0"/>
    <m/>
    <s v="."/>
  </r>
  <r>
    <m/>
    <m/>
    <x v="6"/>
    <m/>
    <m/>
    <x v="0"/>
    <x v="0"/>
    <x v="0"/>
    <m/>
    <s v=".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n v="1"/>
    <d v="2021-11-30T00:00:00"/>
    <x v="0"/>
    <s v="saldo anterior"/>
    <m/>
    <x v="0"/>
    <x v="0"/>
    <m/>
    <n v="0"/>
    <n v="0"/>
  </r>
  <r>
    <n v="2"/>
    <d v="2021-12-23T00:00:00"/>
    <x v="0"/>
    <s v="Aplicaçao"/>
    <m/>
    <x v="1"/>
    <x v="1"/>
    <s v="B.B."/>
    <n v="600000"/>
    <n v="600000"/>
  </r>
  <r>
    <n v="3"/>
    <d v="2021-12-28T00:00:00"/>
    <x v="0"/>
    <s v="Resgate"/>
    <m/>
    <x v="1"/>
    <x v="2"/>
    <s v="B.B."/>
    <n v="-600000"/>
    <n v="0"/>
  </r>
  <r>
    <n v="4"/>
    <d v="2021-12-31T00:00:00"/>
    <x v="0"/>
    <s v="Rendimento Bruto"/>
    <s v="ENTRADAS"/>
    <x v="2"/>
    <x v="3"/>
    <m/>
    <n v="536.34"/>
    <n v="536.34"/>
  </r>
  <r>
    <n v="5"/>
    <d v="2021-12-31T00:00:00"/>
    <x v="0"/>
    <s v="Imposto de Renda"/>
    <s v="SAIDAS"/>
    <x v="3"/>
    <x v="4"/>
    <m/>
    <n v="-20.5"/>
    <n v="515.84"/>
  </r>
  <r>
    <n v="6"/>
    <d v="2021-12-31T00:00:00"/>
    <x v="0"/>
    <s v="I.O.F."/>
    <s v="SAIDAS"/>
    <x v="3"/>
    <x v="5"/>
    <m/>
    <n v="-445.05"/>
    <n v="70.79000000000002"/>
  </r>
  <r>
    <n v="7"/>
    <d v="2022-01-05T00:00:00"/>
    <x v="1"/>
    <s v="Resgate"/>
    <m/>
    <x v="4"/>
    <x v="6"/>
    <s v="B.B."/>
    <n v="-60"/>
    <n v="10.79000000000002"/>
  </r>
  <r>
    <n v="8"/>
    <d v="2022-01-31T00:00:00"/>
    <x v="1"/>
    <s v="Rendimento Bruto"/>
    <s v="ENTRADAS"/>
    <x v="2"/>
    <x v="3"/>
    <m/>
    <n v="0.13"/>
    <n v="10.920000000000021"/>
  </r>
  <r>
    <n v="9"/>
    <d v="2022-01-31T00:00:00"/>
    <x v="1"/>
    <s v="Imposto de Renda"/>
    <s v="SAIDAS"/>
    <x v="3"/>
    <x v="4"/>
    <m/>
    <n v="-0.01"/>
    <n v="10.910000000000021"/>
  </r>
  <r>
    <n v="10"/>
    <d v="2022-01-31T00:00:00"/>
    <x v="1"/>
    <s v="I.O.F."/>
    <s v="SAIDAS"/>
    <x v="3"/>
    <x v="5"/>
    <m/>
    <n v="-0.08"/>
    <n v="10.830000000000021"/>
  </r>
  <r>
    <n v="11"/>
    <d v="2022-02-07T00:00:00"/>
    <x v="1"/>
    <s v="Resgate"/>
    <m/>
    <x v="4"/>
    <x v="6"/>
    <s v="B.B."/>
    <n v="-10.82"/>
    <n v="1.0000000000021103E-2"/>
  </r>
  <r>
    <n v="12"/>
    <d v="2022-02-25T00:00:00"/>
    <x v="1"/>
    <s v="Rendimento Bruto"/>
    <s v="ENTRADAS"/>
    <x v="2"/>
    <x v="3"/>
    <m/>
    <n v="0.01"/>
    <n v="2.0000000000021105E-2"/>
  </r>
  <r>
    <n v="13"/>
    <d v="2022-02-25T00:00:00"/>
    <x v="1"/>
    <s v="Imposto de Renda"/>
    <s v="SAIDAS"/>
    <x v="3"/>
    <x v="4"/>
    <m/>
    <n v="-0.02"/>
    <n v="2.1104645808733835E-14"/>
  </r>
  <r>
    <n v="14"/>
    <d v="2022-06-23T00:00:00"/>
    <x v="1"/>
    <s v="Aplicaçao"/>
    <m/>
    <x v="1"/>
    <x v="1"/>
    <s v="B.B."/>
    <n v="583210.91"/>
    <n v="583210.91"/>
  </r>
  <r>
    <n v="15"/>
    <d v="2022-06-30T00:00:00"/>
    <x v="1"/>
    <s v="Rendimento Bruto"/>
    <s v="ENTRADAS"/>
    <x v="2"/>
    <x v="3"/>
    <m/>
    <n v="1207.0999999999999"/>
    <n v="584418.01"/>
  </r>
  <r>
    <n v="16"/>
    <d v="2022-07-06T00:00:00"/>
    <x v="1"/>
    <s v="Resgate"/>
    <m/>
    <x v="4"/>
    <x v="6"/>
    <s v="B.B."/>
    <n v="-66"/>
    <n v="584352.01"/>
  </r>
  <r>
    <n v="17"/>
    <d v="2022-07-29T00:00:00"/>
    <x v="1"/>
    <s v="Rendimento Bruto"/>
    <s v="ENTRADAS"/>
    <x v="2"/>
    <x v="3"/>
    <m/>
    <n v="5089.3900000000003"/>
    <n v="589441.4"/>
  </r>
  <r>
    <n v="18"/>
    <d v="2022-07-29T00:00:00"/>
    <x v="1"/>
    <s v="Imposto de Renda"/>
    <s v="SAIDAS"/>
    <x v="3"/>
    <x v="4"/>
    <m/>
    <n v="-0.02"/>
    <n v="589441.38"/>
  </r>
  <r>
    <n v="19"/>
    <d v="2022-07-29T00:00:00"/>
    <x v="1"/>
    <s v="I.O.F."/>
    <s v="SAIDAS"/>
    <x v="3"/>
    <x v="5"/>
    <m/>
    <n v="-0.13"/>
    <n v="589441.25"/>
  </r>
  <r>
    <n v="20"/>
    <d v="2022-08-05T00:00:00"/>
    <x v="1"/>
    <s v="Resgate"/>
    <m/>
    <x v="4"/>
    <x v="6"/>
    <s v="B.B."/>
    <n v="-66"/>
    <n v="589375.25"/>
  </r>
  <r>
    <n v="21"/>
    <d v="2022-08-31T00:00:00"/>
    <x v="1"/>
    <s v="Rendimento Bruto"/>
    <s v="ENTRADAS"/>
    <x v="2"/>
    <x v="3"/>
    <m/>
    <n v="5849.96"/>
    <n v="595225.21"/>
  </r>
  <r>
    <n v="22"/>
    <d v="2022-08-31T00:00:00"/>
    <x v="1"/>
    <s v="Imposto de Renda"/>
    <s v="SAIDAS"/>
    <x v="3"/>
    <x v="4"/>
    <m/>
    <n v="-0.18"/>
    <n v="595225.02999999991"/>
  </r>
  <r>
    <n v="23"/>
    <d v="2022-09-05T00:00:00"/>
    <x v="1"/>
    <s v="Resgate"/>
    <m/>
    <x v="4"/>
    <x v="6"/>
    <s v="B.B."/>
    <n v="-66"/>
    <n v="595159.02999999991"/>
  </r>
  <r>
    <n v="24"/>
    <d v="2022-09-30T00:00:00"/>
    <x v="1"/>
    <s v="Rendimento Bruto"/>
    <s v="ENTRADAS"/>
    <x v="2"/>
    <x v="3"/>
    <m/>
    <n v="5442.88"/>
    <n v="600601.90999999992"/>
  </r>
  <r>
    <n v="25"/>
    <d v="2022-09-30T00:00:00"/>
    <x v="1"/>
    <s v="Imposto de Renda"/>
    <s v="SAIDAS"/>
    <x v="3"/>
    <x v="4"/>
    <m/>
    <n v="-0.32"/>
    <n v="600601.59"/>
  </r>
  <r>
    <n v="26"/>
    <d v="2022-10-05T00:00:00"/>
    <x v="1"/>
    <s v="Resgate"/>
    <m/>
    <x v="4"/>
    <x v="6"/>
    <s v="B.B."/>
    <n v="-66"/>
    <n v="600535.59"/>
  </r>
  <r>
    <n v="27"/>
    <d v="2022-10-31T00:00:00"/>
    <x v="1"/>
    <s v="Rendimento Bruto"/>
    <s v="ENTRADAS"/>
    <x v="2"/>
    <x v="3"/>
    <m/>
    <n v="5248.75"/>
    <n v="605784.34"/>
  </r>
  <r>
    <n v="28"/>
    <d v="2022-10-31T00:00:00"/>
    <x v="1"/>
    <s v="Imposto de Renda"/>
    <s v="SAIDAS"/>
    <x v="3"/>
    <x v="4"/>
    <m/>
    <n v="-0.45"/>
    <n v="605783.89"/>
  </r>
  <r>
    <n v="29"/>
    <d v="2022-11-07T00:00:00"/>
    <x v="1"/>
    <s v="Resgate"/>
    <m/>
    <x v="4"/>
    <x v="6"/>
    <s v="B.B."/>
    <n v="-66"/>
    <n v="605717.89"/>
  </r>
  <r>
    <n v="30"/>
    <d v="2022-11-30T00:00:00"/>
    <x v="1"/>
    <s v="Rendimento Bruto"/>
    <s v="ENTRADAS"/>
    <x v="2"/>
    <x v="3"/>
    <m/>
    <n v="5202.7700000000004"/>
    <n v="610920.66"/>
  </r>
  <r>
    <n v="31"/>
    <d v="2022-11-30T00:00:00"/>
    <x v="1"/>
    <s v="Imposto de Renda"/>
    <s v="SAIDAS"/>
    <x v="3"/>
    <x v="4"/>
    <m/>
    <n v="-5607.32"/>
    <n v="605313.34000000008"/>
  </r>
  <r>
    <n v="32"/>
    <d v="2022-12-05T00:00:00"/>
    <x v="1"/>
    <s v="Resgate"/>
    <m/>
    <x v="4"/>
    <x v="6"/>
    <s v="B.B."/>
    <n v="-66"/>
    <n v="605247.34000000008"/>
  </r>
  <r>
    <n v="33"/>
    <d v="2022-12-23T00:00:00"/>
    <x v="1"/>
    <s v="Resgate"/>
    <m/>
    <x v="4"/>
    <x v="7"/>
    <s v="B.B."/>
    <n v="-1050"/>
    <n v="604197.34000000008"/>
  </r>
  <r>
    <n v="34"/>
    <d v="2022-12-30T00:00:00"/>
    <x v="1"/>
    <s v="Rendimento Bruto"/>
    <s v="ENTRADAS"/>
    <x v="2"/>
    <x v="3"/>
    <m/>
    <n v="5739.48"/>
    <n v="609936.82000000007"/>
  </r>
  <r>
    <n v="35"/>
    <d v="2022-12-30T00:00:00"/>
    <x v="1"/>
    <s v="Imposto de Renda"/>
    <s v="SAIDAS"/>
    <x v="3"/>
    <x v="4"/>
    <m/>
    <n v="-1.61"/>
    <n v="609935.21000000008"/>
  </r>
  <r>
    <n v="36"/>
    <d v="2023-01-31T00:00:00"/>
    <x v="2"/>
    <s v="Rendimento Bruto"/>
    <s v="ENTRADAS"/>
    <x v="2"/>
    <x v="3"/>
    <m/>
    <n v="5802.12"/>
    <n v="615737.33000000007"/>
  </r>
  <r>
    <n v="37"/>
    <d v="2023-02-01T00:00:00"/>
    <x v="2"/>
    <s v="Aplicaçao"/>
    <m/>
    <x v="1"/>
    <x v="1"/>
    <s v="B.B."/>
    <n v="255040.77"/>
    <n v="870778.10000000009"/>
  </r>
  <r>
    <n v="38"/>
    <d v="2023-02-06T00:00:00"/>
    <x v="2"/>
    <s v="Resgate"/>
    <m/>
    <x v="4"/>
    <x v="6"/>
    <s v="B.B."/>
    <n v="-69"/>
    <n v="870709.10000000009"/>
  </r>
  <r>
    <n v="39"/>
    <d v="2023-02-28T00:00:00"/>
    <x v="2"/>
    <s v="Rendimento Bruto"/>
    <s v="ENTRADAS"/>
    <x v="2"/>
    <x v="3"/>
    <m/>
    <n v="6703"/>
    <n v="877412.10000000009"/>
  </r>
  <r>
    <n v="40"/>
    <d v="2023-02-28T00:00:00"/>
    <x v="2"/>
    <s v="Imposto de Renda"/>
    <s v="SAIDAS"/>
    <x v="3"/>
    <x v="4"/>
    <m/>
    <n v="-0.28000000000000003"/>
    <n v="877411.82000000007"/>
  </r>
  <r>
    <n v="41"/>
    <d v="2023-03-06T00:00:00"/>
    <x v="2"/>
    <s v="Resgate"/>
    <m/>
    <x v="4"/>
    <x v="6"/>
    <s v="B.B."/>
    <n v="-69"/>
    <n v="877342.82000000007"/>
  </r>
  <r>
    <n v="42"/>
    <d v="2023-03-31T00:00:00"/>
    <x v="2"/>
    <s v="Rendimento Bruto"/>
    <s v="ENTRADAS"/>
    <x v="2"/>
    <x v="3"/>
    <m/>
    <n v="8678.4500000000007"/>
    <n v="886021.27"/>
  </r>
  <r>
    <n v="43"/>
    <d v="2023-03-31T00:00:00"/>
    <x v="2"/>
    <s v="Imposto de Renda"/>
    <s v="SAIDAS"/>
    <x v="3"/>
    <x v="4"/>
    <m/>
    <n v="-0.38"/>
    <n v="886020.89"/>
  </r>
  <r>
    <n v="44"/>
    <d v="2023-04-06T00:00:00"/>
    <x v="2"/>
    <s v="Resgate"/>
    <m/>
    <x v="4"/>
    <x v="6"/>
    <s v="B.B."/>
    <n v="-69"/>
    <n v="885951.89"/>
  </r>
  <r>
    <n v="45"/>
    <d v="2023-04-30T00:00:00"/>
    <x v="2"/>
    <s v="Rendimento Bruto"/>
    <s v="ENTRADAS"/>
    <x v="2"/>
    <x v="3"/>
    <m/>
    <n v="6760.43"/>
    <n v="892712.32000000007"/>
  </r>
  <r>
    <n v="46"/>
    <d v="2023-04-30T00:00:00"/>
    <x v="2"/>
    <s v="Imposto de Renda"/>
    <s v="SAIDAS"/>
    <x v="3"/>
    <x v="4"/>
    <m/>
    <n v="-0.52"/>
    <n v="892711.8"/>
  </r>
  <r>
    <n v="47"/>
    <d v="2023-05-05T00:00:00"/>
    <x v="2"/>
    <s v="Resgate"/>
    <m/>
    <x v="4"/>
    <x v="6"/>
    <s v="B.B."/>
    <n v="-69"/>
    <n v="892642.8"/>
  </r>
  <r>
    <n v="48"/>
    <d v="2023-05-31T00:00:00"/>
    <x v="2"/>
    <s v="Resgate"/>
    <m/>
    <x v="4"/>
    <x v="7"/>
    <s v="B.B."/>
    <n v="-850"/>
    <n v="891792.8"/>
  </r>
  <r>
    <n v="49"/>
    <d v="2023-05-31T00:00:00"/>
    <x v="2"/>
    <s v="Rendimento Bruto"/>
    <s v="ENTRADAS"/>
    <x v="2"/>
    <x v="3"/>
    <m/>
    <n v="8579.24"/>
    <n v="900372.04"/>
  </r>
  <r>
    <n v="50"/>
    <d v="2023-05-31T00:00:00"/>
    <x v="2"/>
    <s v="Imposto de Renda"/>
    <s v="SAIDAS"/>
    <x v="3"/>
    <x v="4"/>
    <m/>
    <n v="-8449.81"/>
    <n v="891922.23"/>
  </r>
  <r>
    <n v="51"/>
    <d v="2023-06-05T00:00:00"/>
    <x v="2"/>
    <s v="Resgate"/>
    <m/>
    <x v="4"/>
    <x v="6"/>
    <s v="B.B."/>
    <n v="-69"/>
    <n v="891853.23"/>
  </r>
  <r>
    <n v="52"/>
    <d v="2023-06-30T00:00:00"/>
    <x v="2"/>
    <s v="Rendimento Bruto"/>
    <s v="ENTRADAS"/>
    <x v="2"/>
    <x v="3"/>
    <m/>
    <n v="8186.54"/>
    <n v="900039.77"/>
  </r>
  <r>
    <n v="53"/>
    <d v="2023-06-30T00:00:00"/>
    <x v="2"/>
    <s v="Imposto de Renda"/>
    <s v="SAIDAS"/>
    <x v="3"/>
    <x v="4"/>
    <m/>
    <n v="-0.01"/>
    <n v="900039.76"/>
  </r>
  <r>
    <n v="54"/>
    <d v="2023-07-05T00:00:00"/>
    <x v="2"/>
    <s v="Resgate"/>
    <m/>
    <x v="4"/>
    <x v="6"/>
    <s v="B.B."/>
    <n v="-69"/>
    <n v="899970.76"/>
  </r>
  <r>
    <n v="55"/>
    <d v="2023-07-17T00:00:00"/>
    <x v="2"/>
    <s v="Resgate"/>
    <m/>
    <x v="4"/>
    <x v="7"/>
    <s v="B.B."/>
    <n v="-1200"/>
    <n v="898770.76"/>
  </r>
  <r>
    <n v="56"/>
    <d v="2023-07-31T00:00:00"/>
    <x v="2"/>
    <s v="Rendimento Bruto"/>
    <s v="ENTRADAS"/>
    <x v="2"/>
    <x v="3"/>
    <m/>
    <n v="8120.11"/>
    <n v="906890.87"/>
  </r>
  <r>
    <n v="57"/>
    <d v="2023-07-31T00:00:00"/>
    <x v="2"/>
    <s v="Imposto de Renda"/>
    <s v="SAIDAS"/>
    <x v="3"/>
    <x v="4"/>
    <m/>
    <n v="-3.43"/>
    <n v="906887.44"/>
  </r>
  <r>
    <n v="58"/>
    <d v="2023-08-07T00:00:00"/>
    <x v="2"/>
    <s v="Resgate"/>
    <m/>
    <x v="4"/>
    <x v="6"/>
    <s v="B.B."/>
    <n v="-69"/>
    <n v="906818.44"/>
  </r>
  <r>
    <n v="59"/>
    <d v="2023-08-31T00:00:00"/>
    <x v="2"/>
    <s v="Rendimento Bruto"/>
    <s v="ENTRADAS"/>
    <x v="2"/>
    <x v="3"/>
    <m/>
    <n v="8757.9699999999993"/>
    <n v="915576.40999999992"/>
  </r>
  <r>
    <n v="60"/>
    <d v="2023-08-31T00:00:00"/>
    <x v="2"/>
    <s v="Imposto de Renda"/>
    <s v="SAIDAS"/>
    <x v="3"/>
    <x v="4"/>
    <m/>
    <n v="-0.27"/>
    <n v="915576.1399999999"/>
  </r>
  <r>
    <n v="61"/>
    <d v="2023-09-05T00:00:00"/>
    <x v="2"/>
    <s v="Resgate"/>
    <m/>
    <x v="4"/>
    <x v="6"/>
    <s v="B.B."/>
    <n v="-69"/>
    <n v="915507.1399999999"/>
  </r>
  <r>
    <n v="62"/>
    <d v="2023-09-30T00:00:00"/>
    <x v="2"/>
    <s v="Rendimento Bruto"/>
    <s v="ENTRADAS"/>
    <x v="2"/>
    <x v="3"/>
    <m/>
    <n v="7511.27"/>
    <n v="923018.40999999992"/>
  </r>
  <r>
    <n v="63"/>
    <d v="2023-09-30T00:00:00"/>
    <x v="2"/>
    <s v="Imposto de Renda"/>
    <s v="SAIDAS"/>
    <x v="3"/>
    <x v="4"/>
    <m/>
    <n v="-0.39"/>
    <n v="923018.0199999999"/>
  </r>
  <r>
    <n v="64"/>
    <d v="2023-10-05T00:00:00"/>
    <x v="2"/>
    <s v="Resgate"/>
    <m/>
    <x v="4"/>
    <x v="6"/>
    <s v="B.B."/>
    <n v="-69"/>
    <n v="922949.0199999999"/>
  </r>
  <r>
    <n v="65"/>
    <d v="2023-10-31T00:00:00"/>
    <x v="2"/>
    <s v="Rendimento Bruto"/>
    <s v="ENTRADAS"/>
    <x v="2"/>
    <x v="3"/>
    <m/>
    <n v="7588.9"/>
    <n v="930537.91999999993"/>
  </r>
  <r>
    <n v="66"/>
    <d v="2023-10-31T00:00:00"/>
    <x v="2"/>
    <s v="Imposto de Renda"/>
    <s v="SAIDAS"/>
    <x v="3"/>
    <x v="4"/>
    <m/>
    <n v="-0.51"/>
    <n v="930537.40999999992"/>
  </r>
  <r>
    <n v="67"/>
    <d v="2023-11-06T00:00:00"/>
    <x v="2"/>
    <s v="Resgate"/>
    <m/>
    <x v="4"/>
    <x v="6"/>
    <s v="B.B."/>
    <n v="-69"/>
    <n v="930468.40999999992"/>
  </r>
  <r>
    <n v="68"/>
    <d v="2023-11-30T00:00:00"/>
    <x v="2"/>
    <s v="Rendimento Bruto"/>
    <s v="ENTRADAS"/>
    <x v="2"/>
    <x v="3"/>
    <m/>
    <n v="7053.29"/>
    <n v="937521.7"/>
  </r>
  <r>
    <n v="69"/>
    <d v="2023-11-30T00:00:00"/>
    <x v="2"/>
    <s v="Imposto de Renda"/>
    <s v="SAIDAS"/>
    <x v="3"/>
    <x v="4"/>
    <m/>
    <n v="-9438.9699999999993"/>
    <n v="928082.73"/>
  </r>
  <r>
    <n v="70"/>
    <d v="2023-12-05T00:00:00"/>
    <x v="2"/>
    <s v="Resgate"/>
    <m/>
    <x v="4"/>
    <x v="6"/>
    <s v="B.B."/>
    <n v="-72"/>
    <n v="928010.73"/>
  </r>
  <r>
    <n v="71"/>
    <d v="2023-12-31T00:00:00"/>
    <x v="2"/>
    <s v="Rendimento Bruto"/>
    <s v="ENTRADAS"/>
    <x v="2"/>
    <x v="3"/>
    <m/>
    <n v="6908.87"/>
    <n v="934919.6"/>
  </r>
  <r>
    <n v="72"/>
    <d v="2023-12-31T00:00:00"/>
    <x v="2"/>
    <s v="Imposto de Renda"/>
    <s v="SAIDAS"/>
    <x v="3"/>
    <x v="4"/>
    <m/>
    <n v="-0.01"/>
    <n v="934919.59"/>
  </r>
  <r>
    <n v="73"/>
    <d v="2024-01-05T00:00:00"/>
    <x v="3"/>
    <s v="Resgate"/>
    <m/>
    <x v="4"/>
    <x v="6"/>
    <s v="B.B."/>
    <n v="-72"/>
    <n v="934847.59"/>
  </r>
  <r>
    <n v="74"/>
    <d v="2024-01-31T00:00:00"/>
    <x v="3"/>
    <s v="Rendimento Bruto"/>
    <s v="ENTRADAS"/>
    <x v="2"/>
    <x v="3"/>
    <m/>
    <n v="7451.07"/>
    <n v="942298.65999999992"/>
  </r>
  <r>
    <n v="75"/>
    <d v="2024-01-31T00:00:00"/>
    <x v="3"/>
    <s v="Imposto de Renda"/>
    <s v="SAIDAS"/>
    <x v="3"/>
    <x v="4"/>
    <m/>
    <n v="-0.12"/>
    <n v="942298.53999999992"/>
  </r>
  <r>
    <n v="76"/>
    <d v="2024-02-29T00:00:00"/>
    <x v="3"/>
    <s v="Rendimento Bruto"/>
    <s v="ENTRADAS"/>
    <x v="2"/>
    <x v="3"/>
    <m/>
    <n v="6186.6"/>
    <n v="948485.1399999999"/>
  </r>
  <r>
    <n v="77"/>
    <d v="2024-02-29T00:00:00"/>
    <x v="3"/>
    <s v="Imposto de Renda"/>
    <s v="SAIDAS"/>
    <x v="3"/>
    <x v="4"/>
    <m/>
    <n v="0"/>
    <n v="948485.1399999999"/>
  </r>
  <r>
    <n v="78"/>
    <d v="2024-03-31T00:00:00"/>
    <x v="3"/>
    <s v="Rendimento Bruto"/>
    <s v="ENTRADAS"/>
    <x v="2"/>
    <x v="3"/>
    <m/>
    <n v="6441.49"/>
    <n v="954926.62999999989"/>
  </r>
  <r>
    <n v="79"/>
    <d v="2024-03-31T00:00:00"/>
    <x v="3"/>
    <s v="Imposto de Renda"/>
    <s v="SAIDAS"/>
    <x v="3"/>
    <x v="4"/>
    <m/>
    <n v="0"/>
    <n v="954926.62999999989"/>
  </r>
  <r>
    <n v="80"/>
    <d v="2024-04-03T00:00:00"/>
    <x v="3"/>
    <s v="Resgate"/>
    <m/>
    <x v="4"/>
    <x v="7"/>
    <s v="B.B."/>
    <n v="-817.6"/>
    <n v="954109.02999999991"/>
  </r>
  <r>
    <n v="81"/>
    <d v="2024-04-05T00:00:00"/>
    <x v="3"/>
    <s v="Resgate"/>
    <m/>
    <x v="4"/>
    <x v="6"/>
    <s v="B.B."/>
    <n v="-72"/>
    <n v="954037.02999999991"/>
  </r>
  <r>
    <n v="82"/>
    <d v="2024-04-30T00:00:00"/>
    <x v="3"/>
    <s v="Rendimento Bruto"/>
    <s v="ENTRADAS"/>
    <x v="2"/>
    <x v="3"/>
    <m/>
    <n v="6826.21"/>
    <n v="960863.23999999987"/>
  </r>
  <r>
    <n v="83"/>
    <d v="2024-04-30T00:00:00"/>
    <x v="3"/>
    <s v="Imposto de Renda"/>
    <s v="SAIDAS"/>
    <x v="3"/>
    <x v="4"/>
    <m/>
    <n v="-5.23"/>
    <n v="960858.00999999989"/>
  </r>
  <r>
    <n v="84"/>
    <d v="2024-05-06T00:00:00"/>
    <x v="3"/>
    <s v="Resgate"/>
    <m/>
    <x v="4"/>
    <x v="6"/>
    <s v="B.B."/>
    <n v="-72"/>
    <n v="960786.00999999989"/>
  </r>
  <r>
    <n v="85"/>
    <d v="2024-05-29T00:00:00"/>
    <x v="3"/>
    <s v="Resgate"/>
    <m/>
    <x v="4"/>
    <x v="6"/>
    <s v="B.B."/>
    <n v="-1049.08"/>
    <n v="959736.92999999993"/>
  </r>
  <r>
    <n v="86"/>
    <d v="2024-05-31T00:00:00"/>
    <x v="3"/>
    <s v="Rendimento Bruto"/>
    <s v="ENTRADAS"/>
    <x v="2"/>
    <x v="3"/>
    <m/>
    <n v="6405.87"/>
    <n v="966142.79999999993"/>
  </r>
  <r>
    <n v="87"/>
    <d v="2024-05-31T00:00:00"/>
    <x v="3"/>
    <s v="Imposto de Renda"/>
    <s v="SAIDAS"/>
    <x v="3"/>
    <x v="4"/>
    <m/>
    <n v="-7979.17"/>
    <n v="958163.62999999989"/>
  </r>
  <r>
    <n v="88"/>
    <d v="2024-06-05T00:00:00"/>
    <x v="3"/>
    <s v="Resgate"/>
    <m/>
    <x v="4"/>
    <x v="6"/>
    <s v="B.B."/>
    <n v="-72"/>
    <n v="958091.62999999989"/>
  </r>
  <r>
    <n v="89"/>
    <d v="2024-06-28T00:00:00"/>
    <x v="3"/>
    <s v="Rendimento Bruto"/>
    <s v="ENTRADAS"/>
    <x v="2"/>
    <x v="3"/>
    <m/>
    <n v="6084.94"/>
    <n v="964176.56999999983"/>
  </r>
  <r>
    <n v="90"/>
    <d v="2024-06-28T00:00:00"/>
    <x v="3"/>
    <s v="Imposto de Renda"/>
    <s v="SAIDAS"/>
    <x v="3"/>
    <x v="4"/>
    <m/>
    <n v="-0.01"/>
    <n v="964176.55999999982"/>
  </r>
  <r>
    <n v="91"/>
    <d v="2024-07-05T00:00:00"/>
    <x v="3"/>
    <s v="Resgate"/>
    <m/>
    <x v="4"/>
    <x v="6"/>
    <s v="B.B."/>
    <n v="-922"/>
    <n v="963254.55999999982"/>
  </r>
  <r>
    <n v="92"/>
    <d v="2024-07-31T00:00:00"/>
    <x v="3"/>
    <s v="Rendimento Bruto"/>
    <s v="ENTRADAS"/>
    <x v="2"/>
    <x v="3"/>
    <m/>
    <n v="7046.15"/>
    <n v="970300.70999999985"/>
  </r>
  <r>
    <n v="93"/>
    <d v="2024-07-31T00:00:00"/>
    <x v="3"/>
    <s v="Imposto de Renda"/>
    <s v="SAIDAS"/>
    <x v="3"/>
    <x v="4"/>
    <m/>
    <n v="-1.51"/>
    <n v="970299.19999999984"/>
  </r>
  <r>
    <n v="94"/>
    <d v="2024-08-05T00:00:00"/>
    <x v="3"/>
    <s v="Resgate"/>
    <m/>
    <x v="4"/>
    <x v="6"/>
    <s v="B.B."/>
    <n v="-73.8"/>
    <n v="970225.39999999979"/>
  </r>
  <r>
    <n v="95"/>
    <d v="2024-08-31T00:00:00"/>
    <x v="3"/>
    <s v="Rendimento Bruto"/>
    <s v="ENTRADAS"/>
    <x v="2"/>
    <x v="3"/>
    <m/>
    <n v="6811.3"/>
    <n v="977036.69999999984"/>
  </r>
  <r>
    <n v="96"/>
    <d v="2024-08-31T00:00:00"/>
    <x v="3"/>
    <s v="Imposto de Renda"/>
    <s v="SAIDAS"/>
    <x v="3"/>
    <x v="4"/>
    <m/>
    <n v="-0.21"/>
    <n v="977036.48999999987"/>
  </r>
  <r>
    <n v="97"/>
    <d v="2024-09-05T00:00:00"/>
    <x v="3"/>
    <s v="Resgate"/>
    <m/>
    <x v="4"/>
    <x v="6"/>
    <s v="B.B."/>
    <n v="-73.8"/>
    <n v="976962.68999999983"/>
  </r>
  <r>
    <n v="98"/>
    <d v="2024-09-30T00:00:00"/>
    <x v="3"/>
    <s v="Rendimento Bruto"/>
    <s v="ENTRADAS"/>
    <x v="2"/>
    <x v="3"/>
    <m/>
    <n v="6574.94"/>
    <n v="983537.62999999977"/>
  </r>
  <r>
    <n v="99"/>
    <d v="2024-09-30T00:00:00"/>
    <x v="3"/>
    <s v="Imposto de Renda"/>
    <s v="SAIDAS"/>
    <x v="3"/>
    <x v="4"/>
    <m/>
    <n v="-0.32"/>
    <n v="983537.30999999982"/>
  </r>
  <r>
    <n v="100"/>
    <d v="2024-10-07T00:00:00"/>
    <x v="3"/>
    <s v="Resgate"/>
    <m/>
    <x v="4"/>
    <x v="6"/>
    <s v="B.B."/>
    <n v="-73.8"/>
    <n v="983463.50999999978"/>
  </r>
  <r>
    <n v="101"/>
    <d v="2024-10-31T00:00:00"/>
    <x v="3"/>
    <s v="Resgate"/>
    <m/>
    <x v="4"/>
    <x v="6"/>
    <s v="B.B."/>
    <n v="-184"/>
    <n v="983279.50999999978"/>
  </r>
  <r>
    <n v="102"/>
    <d v="2024-10-31T00:00:00"/>
    <x v="3"/>
    <s v="Rendimento Bruto"/>
    <s v="ENTRADAS"/>
    <x v="2"/>
    <x v="3"/>
    <m/>
    <n v="7462.65"/>
    <n v="990742.1599999998"/>
  </r>
  <r>
    <n v="103"/>
    <d v="2024-10-31T00:00:00"/>
    <x v="3"/>
    <s v="Imposto de Renda"/>
    <s v="SAIDAS"/>
    <x v="3"/>
    <x v="4"/>
    <m/>
    <n v="-1.71"/>
    <n v="990740.44999999984"/>
  </r>
  <r>
    <n v="104"/>
    <d v="2024-11-05T00:00:00"/>
    <x v="3"/>
    <s v="Resgate"/>
    <m/>
    <x v="4"/>
    <x v="6"/>
    <s v="B.B."/>
    <n v="-73.8"/>
    <n v="990666.64999999979"/>
  </r>
  <r>
    <n v="105"/>
    <d v="2024-11-07T00:00:00"/>
    <x v="3"/>
    <s v="Resgate"/>
    <m/>
    <x v="4"/>
    <x v="7"/>
    <s v="B.B."/>
    <n v="-421.6"/>
    <n v="990245.04999999981"/>
  </r>
  <r>
    <n v="106"/>
    <d v="2024-11-29T00:00:00"/>
    <x v="3"/>
    <s v="Resgate"/>
    <m/>
    <x v="4"/>
    <x v="7"/>
    <s v="B.B."/>
    <n v="-653"/>
    <n v="989592.04999999981"/>
  </r>
  <r>
    <n v="107"/>
    <d v="2024-11-29T00:00:00"/>
    <x v="3"/>
    <s v="Rendimento Bruto"/>
    <s v="ENTRADAS"/>
    <x v="2"/>
    <x v="3"/>
    <m/>
    <n v="6453.93"/>
    <n v="996045.97999999986"/>
  </r>
  <r>
    <n v="108"/>
    <d v="2024-11-29T00:00:00"/>
    <x v="3"/>
    <s v="Imposto de Renda"/>
    <s v="SAIDAS"/>
    <x v="3"/>
    <x v="4"/>
    <m/>
    <n v="-8073.27"/>
    <n v="987972.70999999985"/>
  </r>
  <r>
    <n v="109"/>
    <d v="2024-12-05T00:00:00"/>
    <x v="3"/>
    <s v="Resgate"/>
    <m/>
    <x v="4"/>
    <x v="6"/>
    <s v="B.B."/>
    <n v="-73.8"/>
    <n v="987898.9099999998"/>
  </r>
  <r>
    <n v="110"/>
    <d v="2024-12-06T00:00:00"/>
    <x v="3"/>
    <s v="Resgate"/>
    <m/>
    <x v="4"/>
    <x v="7"/>
    <s v="B.B."/>
    <n v="-653"/>
    <n v="987245.9099999998"/>
  </r>
  <r>
    <n v="111"/>
    <d v="2024-12-09T00:00:00"/>
    <x v="3"/>
    <s v="Resgate"/>
    <m/>
    <x v="4"/>
    <x v="7"/>
    <s v="B.B."/>
    <n v="-6764.79"/>
    <n v="980481.11999999976"/>
  </r>
  <r>
    <n v="112"/>
    <d v="2024-12-10T00:00:00"/>
    <x v="3"/>
    <s v="Resgate"/>
    <m/>
    <x v="4"/>
    <x v="7"/>
    <s v="B.B."/>
    <n v="-7200"/>
    <n v="973281.11999999976"/>
  </r>
  <r>
    <n v="113"/>
    <d v="2024-12-23T00:00:00"/>
    <x v="3"/>
    <s v="Resgate"/>
    <m/>
    <x v="4"/>
    <x v="7"/>
    <s v="B.B."/>
    <n v="-3700"/>
    <n v="969581.11999999976"/>
  </r>
  <r>
    <n v="114"/>
    <d v="2024-12-31T00:00:00"/>
    <x v="3"/>
    <s v="Rendimento Bruto"/>
    <s v="ENTRADAS"/>
    <x v="2"/>
    <x v="3"/>
    <m/>
    <n v="7197.46"/>
    <n v="976778.57999999973"/>
  </r>
  <r>
    <n v="115"/>
    <d v="2024-12-31T00:00:00"/>
    <x v="3"/>
    <s v="Imposto de Renda"/>
    <s v="SAIDAS"/>
    <x v="3"/>
    <x v="4"/>
    <m/>
    <n v="-11.8"/>
    <n v="976766.77999999968"/>
  </r>
  <r>
    <n v="116"/>
    <d v="2025-01-07T00:00:00"/>
    <x v="4"/>
    <s v="Resgate"/>
    <m/>
    <x v="4"/>
    <x v="6"/>
    <s v="B.B."/>
    <n v="-73.8"/>
    <n v="976692.97999999963"/>
  </r>
  <r>
    <n v="117"/>
    <d v="2025-01-10T00:00:00"/>
    <x v="4"/>
    <s v="Resgate"/>
    <m/>
    <x v="4"/>
    <x v="7"/>
    <s v="B.B."/>
    <n v="-653"/>
    <n v="976039.97999999963"/>
  </r>
  <r>
    <n v="118"/>
    <d v="2025-01-14T00:00:00"/>
    <x v="4"/>
    <s v="Resgate"/>
    <m/>
    <x v="4"/>
    <x v="7"/>
    <s v="B.B."/>
    <n v="-2498.14"/>
    <n v="973541.83999999962"/>
  </r>
  <r>
    <n v="119"/>
    <d v="2025-01-16T00:00:00"/>
    <x v="4"/>
    <s v="Resgate"/>
    <m/>
    <x v="4"/>
    <x v="7"/>
    <s v="B.B."/>
    <n v="-88.25"/>
    <n v="973453.58999999962"/>
  </r>
  <r>
    <n v="120"/>
    <d v="2025-01-31T00:00:00"/>
    <x v="4"/>
    <s v="Rendimento Bruto"/>
    <s v="ENTRADAS"/>
    <x v="2"/>
    <x v="3"/>
    <m/>
    <n v="8414.3700000000008"/>
    <n v="981867.95999999961"/>
  </r>
  <r>
    <n v="121"/>
    <d v="2025-01-31T00:00:00"/>
    <x v="4"/>
    <s v="Imposto de Renda"/>
    <s v="SAIDAS"/>
    <x v="3"/>
    <x v="4"/>
    <m/>
    <n v="-7.35"/>
    <n v="981860.60999999964"/>
  </r>
  <r>
    <n v="122"/>
    <d v="2025-02-05T00:00:00"/>
    <x v="4"/>
    <s v="Resgate"/>
    <m/>
    <x v="4"/>
    <x v="7"/>
    <s v="B.B."/>
    <n v="-15892.58"/>
    <n v="965968.02999999968"/>
  </r>
  <r>
    <n v="123"/>
    <d v="2025-02-28T00:00:00"/>
    <x v="4"/>
    <s v="Rendimento Bruto"/>
    <s v="ENTRADAS"/>
    <x v="2"/>
    <x v="3"/>
    <m/>
    <n v="8031.03"/>
    <n v="973999.05999999971"/>
  </r>
  <r>
    <n v="124"/>
    <d v="2025-02-28T00:00:00"/>
    <x v="4"/>
    <s v="Imposto de Renda"/>
    <s v="SAIDAS"/>
    <x v="3"/>
    <x v="4"/>
    <m/>
    <n v="-55.38"/>
    <n v="973943.6799999997"/>
  </r>
  <r>
    <n v="125"/>
    <d v="2025-03-31T00:00:00"/>
    <x v="4"/>
    <s v="Rendimento Bruto"/>
    <s v="ENTRADAS"/>
    <x v="2"/>
    <x v="3"/>
    <m/>
    <n v="7877.8"/>
    <n v="981821.47999999975"/>
  </r>
  <r>
    <n v="126"/>
    <d v="2025-03-31T00:00:00"/>
    <x v="4"/>
    <s v="Imposto de Renda"/>
    <s v="SAIDAS"/>
    <x v="3"/>
    <x v="4"/>
    <m/>
    <n v="0"/>
    <n v="981821.47999999975"/>
  </r>
  <r>
    <n v="127"/>
    <d v="2025-04-30T00:00:00"/>
    <x v="4"/>
    <s v="Rendimento Bruto"/>
    <s v="ENTRADAS"/>
    <x v="2"/>
    <x v="3"/>
    <m/>
    <n v="8735.4"/>
    <n v="990556.87999999977"/>
  </r>
  <r>
    <n v="128"/>
    <d v="2025-04-30T00:00:00"/>
    <x v="4"/>
    <s v="Imposto de Renda"/>
    <s v="SAIDAS"/>
    <x v="3"/>
    <x v="4"/>
    <m/>
    <n v="0"/>
    <n v="990556.87999999977"/>
  </r>
  <r>
    <n v="129"/>
    <d v="2025-05-31T00:00:00"/>
    <x v="4"/>
    <s v="Rendimento Bruto"/>
    <s v="ENTRADAS"/>
    <x v="2"/>
    <x v="3"/>
    <m/>
    <n v="9672.98"/>
    <n v="1000229.8599999998"/>
  </r>
  <r>
    <n v="130"/>
    <d v="2025-05-31T00:00:00"/>
    <x v="4"/>
    <s v="Imposto de Renda"/>
    <s v="SAIDAS"/>
    <x v="3"/>
    <x v="4"/>
    <m/>
    <n v="-9892.5400000000009"/>
    <n v="990337.31999999972"/>
  </r>
  <r>
    <n v="131"/>
    <d v="2025-06-17T00:00:00"/>
    <x v="4"/>
    <s v="Aplicaçao"/>
    <m/>
    <x v="1"/>
    <x v="1"/>
    <s v="B.B."/>
    <n v="247295.96"/>
    <n v="1237633.2799999998"/>
  </r>
  <r>
    <n v="132"/>
    <d v="2025-06-23T00:00:00"/>
    <x v="4"/>
    <s v="Resgate"/>
    <m/>
    <x v="4"/>
    <x v="7"/>
    <s v="B.B."/>
    <n v="-353"/>
    <n v="1237280.2799999998"/>
  </r>
  <r>
    <n v="133"/>
    <d v="2025-06-30T00:00:00"/>
    <x v="4"/>
    <s v="Rendimento Bruto"/>
    <s v="ENTRADAS"/>
    <x v="2"/>
    <x v="3"/>
    <m/>
    <n v="10247.64"/>
    <n v="1247527.9199999997"/>
  </r>
  <r>
    <n v="134"/>
    <d v="2025-06-30T00:00:00"/>
    <x v="4"/>
    <s v="Imposto de Renda"/>
    <s v="SAIDAS"/>
    <x v="3"/>
    <x v="4"/>
    <m/>
    <n v="-0.52"/>
    <n v="1247527.3999999997"/>
  </r>
  <r>
    <n v="135"/>
    <d v="2025-07-07T00:00:00"/>
    <x v="4"/>
    <s v="Resgate"/>
    <m/>
    <x v="4"/>
    <x v="7"/>
    <s v="B.B."/>
    <n v="-75.400000000000006"/>
    <n v="1247451.9999999998"/>
  </r>
  <r>
    <n v="136"/>
    <d v="2025-07-21T00:00:00"/>
    <x v="4"/>
    <s v="Resgate"/>
    <m/>
    <x v="4"/>
    <x v="7"/>
    <s v="B.B."/>
    <n v="-1006"/>
    <n v="1246445.9999999998"/>
  </r>
  <r>
    <n v="137"/>
    <d v="2025-07-31T00:00:00"/>
    <x v="4"/>
    <s v="Rendimento Bruto"/>
    <s v="ENTRADAS"/>
    <x v="2"/>
    <x v="3"/>
    <m/>
    <n v="13746.39"/>
    <n v="1260192.3899999997"/>
  </r>
  <r>
    <n v="138"/>
    <d v="2025-07-31T00:00:00"/>
    <x v="4"/>
    <s v="Imposto de Renda"/>
    <s v="SAIDAS"/>
    <x v="3"/>
    <x v="4"/>
    <m/>
    <n v="-3.57"/>
    <n v="1260188.8199999996"/>
  </r>
  <r>
    <n v="139"/>
    <d v="2025-08-05T00:00:00"/>
    <x v="4"/>
    <s v="Resgate"/>
    <m/>
    <x v="4"/>
    <x v="7"/>
    <s v="B.B."/>
    <n v="-728.4"/>
    <n v="1259460.4199999997"/>
  </r>
  <r>
    <n v="140"/>
    <d v="2025-08-21T00:00:00"/>
    <x v="4"/>
    <s v="Resgate"/>
    <m/>
    <x v="4"/>
    <x v="7"/>
    <s v="B.B."/>
    <n v="-353"/>
    <n v="1259107.4199999997"/>
  </r>
  <r>
    <n v="141"/>
    <d v="2025-08-22T00:00:00"/>
    <x v="4"/>
    <s v="Resgate"/>
    <m/>
    <x v="4"/>
    <x v="7"/>
    <s v="B.B."/>
    <n v="-600"/>
    <n v="1258507.4199999997"/>
  </r>
  <r>
    <n v="142"/>
    <d v="2025-08-31T00:00:00"/>
    <x v="4"/>
    <s v="Rendimento Bruto"/>
    <s v="ENTRADAS"/>
    <x v="2"/>
    <x v="3"/>
    <m/>
    <n v="12573.89"/>
    <n v="1271081.3099999996"/>
  </r>
  <r>
    <n v="143"/>
    <d v="2025-08-31T00:00:00"/>
    <x v="4"/>
    <s v="Imposto de Renda"/>
    <s v="SAIDAS"/>
    <x v="3"/>
    <x v="4"/>
    <m/>
    <n v="-8.5299999999999994"/>
    <n v="1271072.7799999996"/>
  </r>
  <r>
    <n v="144"/>
    <d v="2025-09-05T00:00:00"/>
    <x v="4"/>
    <s v="Resgate"/>
    <m/>
    <x v="4"/>
    <x v="7"/>
    <s v="B.B."/>
    <n v="-734.4"/>
    <n v="1270338.3799999997"/>
  </r>
  <r>
    <n v="145"/>
    <d v="2025-09-10T00:00:00"/>
    <x v="4"/>
    <s v="Resgate"/>
    <m/>
    <x v="4"/>
    <x v="7"/>
    <s v="B.B."/>
    <n v="-353"/>
    <n v="1269985.3799999997"/>
  </r>
  <r>
    <n v="146"/>
    <d v="2025-09-30T00:00:00"/>
    <x v="4"/>
    <s v="Rendimento Bruto"/>
    <s v="ENTRADAS"/>
    <x v="2"/>
    <x v="3"/>
    <m/>
    <n v="13347.57"/>
    <n v="1283332.9499999997"/>
  </r>
  <r>
    <n v="147"/>
    <d v="2025-09-30T00:00:00"/>
    <x v="4"/>
    <s v="Imposto de Renda"/>
    <s v="SAIDAS"/>
    <x v="3"/>
    <x v="4"/>
    <m/>
    <n v="-7.22"/>
    <n v="1283325.7299999997"/>
  </r>
  <r>
    <n v="148"/>
    <d v="2025-10-02T00:00:00"/>
    <x v="4"/>
    <s v="Resgate"/>
    <m/>
    <x v="4"/>
    <x v="7"/>
    <s v="B.B."/>
    <n v="-1871"/>
    <n v="1281454.7299999997"/>
  </r>
  <r>
    <n v="149"/>
    <d v="2025-10-06T00:00:00"/>
    <x v="4"/>
    <s v="Resgate"/>
    <m/>
    <x v="4"/>
    <x v="7"/>
    <s v="B.B."/>
    <n v="-81.400000000000006"/>
    <n v="1281373.3299999998"/>
  </r>
  <r>
    <n v="150"/>
    <d v="2025-10-10T00:00:00"/>
    <x v="4"/>
    <s v="Resgate"/>
    <m/>
    <x v="4"/>
    <x v="7"/>
    <s v="B.B."/>
    <n v="-353"/>
    <n v="1281020.3299999998"/>
  </r>
  <r>
    <n v="151"/>
    <d v="2025-10-20T00:00:00"/>
    <x v="4"/>
    <s v="Aplicaçao"/>
    <m/>
    <x v="1"/>
    <x v="1"/>
    <s v="B.B."/>
    <n v="150000"/>
    <n v="1431020.3299999998"/>
  </r>
  <r>
    <n v="152"/>
    <d v="2025-10-24T00:00:00"/>
    <x v="4"/>
    <s v="Resgate"/>
    <m/>
    <x v="4"/>
    <x v="7"/>
    <s v="B.B."/>
    <n v="-184"/>
    <n v="1430836.3299999998"/>
  </r>
  <r>
    <n v="153"/>
    <d v="2025-10-31T00:00:00"/>
    <x v="4"/>
    <s v="Rendimento Bruto"/>
    <s v="ENTRADAS"/>
    <x v="2"/>
    <x v="3"/>
    <m/>
    <n v="14703.11"/>
    <n v="1445539.44"/>
  </r>
  <r>
    <n v="154"/>
    <d v="2025-10-31T00:00:00"/>
    <x v="4"/>
    <s v="Imposto de Renda"/>
    <s v="SAIDAS"/>
    <x v="3"/>
    <x v="4"/>
    <m/>
    <n v="-21.17"/>
    <n v="1445518.27"/>
  </r>
  <r>
    <n v="155"/>
    <d v="2025-11-05T00:00:00"/>
    <x v="4"/>
    <s v="Resgate"/>
    <m/>
    <x v="4"/>
    <x v="7"/>
    <s v="B.B."/>
    <n v="-1952.4"/>
    <n v="1443565.87"/>
  </r>
  <r>
    <n v="156"/>
    <d v="2025-11-10T00:00:00"/>
    <x v="4"/>
    <s v="Resgate"/>
    <m/>
    <x v="4"/>
    <x v="7"/>
    <s v="B.B."/>
    <n v="-353"/>
    <n v="1443212.87"/>
  </r>
  <r>
    <n v="157"/>
    <d v="2025-11-14T00:00:00"/>
    <x v="4"/>
    <s v="Resgate"/>
    <m/>
    <x v="4"/>
    <x v="7"/>
    <s v="B.B."/>
    <n v="-353"/>
    <n v="1442859.87"/>
  </r>
  <r>
    <n v="158"/>
    <d v="2025-11-30T00:00:00"/>
    <x v="4"/>
    <s v="Rendimento Bruto"/>
    <s v="ENTRADAS"/>
    <x v="2"/>
    <x v="3"/>
    <m/>
    <n v="13050.28"/>
    <n v="1455910.1500000001"/>
  </r>
  <r>
    <n v="159"/>
    <d v="2025-11-30T00:00:00"/>
    <x v="4"/>
    <s v="Imposto de Renda"/>
    <s v="SAIDAS"/>
    <x v="3"/>
    <x v="4"/>
    <m/>
    <n v="-15443.77"/>
    <n v="1440466.3800000001"/>
  </r>
  <r>
    <n v="160"/>
    <d v="2025-12-03T00:00:00"/>
    <x v="4"/>
    <s v="Resgate"/>
    <m/>
    <x v="4"/>
    <x v="8"/>
    <s v="B.B."/>
    <n v="-25000"/>
    <n v="1415466.3800000001"/>
  </r>
  <r>
    <n v="161"/>
    <d v="2025-12-04T00:00:00"/>
    <x v="4"/>
    <s v="Resgate"/>
    <m/>
    <x v="4"/>
    <x v="8"/>
    <s v="B.B."/>
    <n v="-25000"/>
    <n v="1390466.3800000001"/>
  </r>
  <r>
    <n v="161"/>
    <d v="2025-12-05T00:00:00"/>
    <x v="4"/>
    <s v="Resgate"/>
    <m/>
    <x v="4"/>
    <x v="8"/>
    <s v="B.B."/>
    <n v="-12000"/>
    <n v="1378466.3800000001"/>
  </r>
  <r>
    <n v="162"/>
    <d v="2025-12-05T00:00:00"/>
    <x v="4"/>
    <s v="Resgate"/>
    <m/>
    <x v="4"/>
    <x v="7"/>
    <s v="B.B."/>
    <n v="-1952.4"/>
    <n v="1376513.9800000002"/>
  </r>
  <r>
    <n v="163"/>
    <d v="2025-12-10T00:00:00"/>
    <x v="4"/>
    <s v="Resgate"/>
    <m/>
    <x v="4"/>
    <x v="7"/>
    <s v="B.B."/>
    <n v="-353"/>
    <n v="1376160.9800000002"/>
  </r>
  <r>
    <n v="164"/>
    <d v="2025-12-15T00:00:00"/>
    <x v="4"/>
    <s v="Aplicaçao"/>
    <m/>
    <x v="1"/>
    <x v="1"/>
    <s v="B.B."/>
    <n v="200000"/>
    <n v="1576160.9800000002"/>
  </r>
  <r>
    <n v="165"/>
    <d v="2025-12-31T00:00:00"/>
    <x v="4"/>
    <s v="Rendimento Bruto"/>
    <s v="ENTRADAS"/>
    <x v="2"/>
    <x v="3"/>
    <m/>
    <n v="15590.85"/>
    <n v="1591751.8300000003"/>
  </r>
  <r>
    <n v="166"/>
    <d v="2025-12-31T00:00:00"/>
    <x v="4"/>
    <s v="Imposto de Renda"/>
    <s v="SAIDAS"/>
    <x v="3"/>
    <x v="4"/>
    <m/>
    <n v="-29.1"/>
    <n v="1591722.7300000002"/>
  </r>
  <r>
    <n v="167"/>
    <d v="2026-01-31T00:00:00"/>
    <x v="5"/>
    <s v="Rendimento Bruto"/>
    <s v="ENTRADAS"/>
    <x v="2"/>
    <x v="3"/>
    <m/>
    <n v="16022.22"/>
    <n v="1607744.9500000002"/>
  </r>
  <r>
    <n v="168"/>
    <d v="2026-02-27T00:00:00"/>
    <x v="5"/>
    <s v="Rendimento Bruto"/>
    <s v="ENTRADAS"/>
    <x v="2"/>
    <x v="3"/>
    <m/>
    <n v="13803.51"/>
    <n v="1621548.4600000002"/>
  </r>
  <r>
    <n v="169"/>
    <d v="2026-03-31T00:00:00"/>
    <x v="5"/>
    <s v="Rendimento Bruto"/>
    <s v="ENTRADAS"/>
    <x v="2"/>
    <x v="3"/>
    <m/>
    <n v="17189.88"/>
    <n v="1638738.34"/>
  </r>
  <r>
    <n v="170"/>
    <d v="2026-04-02T00:00:00"/>
    <x v="5"/>
    <s v="Resgate"/>
    <m/>
    <x v="4"/>
    <x v="7"/>
    <s v="B.B."/>
    <n v="-758.56"/>
    <n v="1637979.78"/>
  </r>
  <r>
    <n v="171"/>
    <d v="2026-04-06T00:00:00"/>
    <x v="5"/>
    <s v="Resgate"/>
    <m/>
    <x v="4"/>
    <x v="7"/>
    <s v="B.B."/>
    <n v="-81.400000000000006"/>
    <n v="1637898.3800000001"/>
  </r>
  <r>
    <n v="172"/>
    <d v="2026-04-10T00:00:00"/>
    <x v="5"/>
    <s v="Resgate"/>
    <m/>
    <x v="4"/>
    <x v="7"/>
    <s v="B.B."/>
    <n v="-377"/>
    <n v="1637521.3800000001"/>
  </r>
  <r>
    <n v="173"/>
    <d v="2026-04-30T00:00:00"/>
    <x v="5"/>
    <s v="Rendimento Bruto"/>
    <s v="ENTRADAS"/>
    <x v="2"/>
    <x v="3"/>
    <m/>
    <n v="15246.12"/>
    <n v="1652767.5000000002"/>
  </r>
  <r>
    <n v="174"/>
    <d v="2026-04-30T00:00:00"/>
    <x v="5"/>
    <s v="Imposto de Renda"/>
    <s v="SAIDAS"/>
    <x v="3"/>
    <x v="4"/>
    <m/>
    <n v="-10.01"/>
    <n v="1652757.4900000002"/>
  </r>
  <r>
    <n v="175"/>
    <d v="2026-05-05T00:00:00"/>
    <x v="5"/>
    <s v="Resgate"/>
    <m/>
    <x v="4"/>
    <x v="7"/>
    <s v="B.B."/>
    <n v="-1998"/>
    <n v="1650759.4900000002"/>
  </r>
  <r>
    <n v="176"/>
    <d v="2026-05-06T00:00:00"/>
    <x v="5"/>
    <s v="Resgate"/>
    <m/>
    <x v="4"/>
    <x v="7"/>
    <s v="B.B."/>
    <n v="-93.1"/>
    <n v="1650666.3900000001"/>
  </r>
  <r>
    <n v="177"/>
    <d v="2026-05-11T00:00:00"/>
    <x v="5"/>
    <s v="Resgate"/>
    <m/>
    <x v="4"/>
    <x v="7"/>
    <s v="B.B."/>
    <n v="-377"/>
    <n v="1650289.3900000001"/>
  </r>
  <r>
    <n v="178"/>
    <d v="2026-05-31T00:00:00"/>
    <x v="5"/>
    <s v="Rendimento Bruto"/>
    <s v="ENTRADAS"/>
    <x v="2"/>
    <x v="3"/>
    <m/>
    <n v="15241.93"/>
    <n v="1665531.32"/>
  </r>
  <r>
    <n v="179"/>
    <d v="2026-05-31T00:00:00"/>
    <x v="5"/>
    <s v="Imposto de Renda"/>
    <s v="SAIDAS"/>
    <x v="3"/>
    <x v="4"/>
    <m/>
    <n v="-18558.849999999999"/>
    <n v="1646972.47"/>
  </r>
  <r>
    <n v="180"/>
    <d v="2026-06-05T00:00:00"/>
    <x v="5"/>
    <s v="Resgate"/>
    <m/>
    <x v="4"/>
    <x v="7"/>
    <s v="B.B."/>
    <n v="-2091.1"/>
    <n v="1644881.3699999999"/>
  </r>
  <r>
    <n v="181"/>
    <d v="2026-06-10T00:00:00"/>
    <x v="5"/>
    <s v="Resgate"/>
    <m/>
    <x v="4"/>
    <x v="7"/>
    <s v="B.B."/>
    <n v="-377"/>
    <n v="1644504.3699999999"/>
  </r>
  <r>
    <n v="182"/>
    <d v="2026-06-17T00:00:00"/>
    <x v="5"/>
    <s v="Resgate"/>
    <m/>
    <x v="4"/>
    <x v="7"/>
    <s v="B.B."/>
    <n v="-935.39"/>
    <n v="1643568.98"/>
  </r>
  <r>
    <n v="183"/>
    <d v="2026-06-30T00:00:00"/>
    <x v="5"/>
    <s v="Rendimento Bruto"/>
    <s v="ENTRADAS"/>
    <x v="2"/>
    <x v="3"/>
    <m/>
    <n v="15694.11"/>
    <n v="1659263.09"/>
  </r>
  <r>
    <n v="184"/>
    <d v="2026-06-30T00:00:00"/>
    <x v="5"/>
    <s v="Imposto de Renda"/>
    <s v="SAIDAS"/>
    <x v="3"/>
    <x v="4"/>
    <m/>
    <n v="-2.33"/>
    <n v="1659260.76"/>
  </r>
  <r>
    <n v="185"/>
    <d v="2026-07-06T00:00:00"/>
    <x v="5"/>
    <s v="Resgate"/>
    <m/>
    <x v="4"/>
    <x v="7"/>
    <s v="B.B."/>
    <n v="-93.1"/>
    <n v="1659167.66"/>
  </r>
  <r>
    <n v="186"/>
    <d v="2026-07-10T00:00:00"/>
    <x v="5"/>
    <s v="Resgate"/>
    <m/>
    <x v="4"/>
    <x v="7"/>
    <s v="B.B."/>
    <n v="-2375"/>
    <n v="1656792.66"/>
  </r>
  <r>
    <n v="187"/>
    <d v="2026-07-31T00:00:00"/>
    <x v="5"/>
    <s v="Rendimento Bruto"/>
    <s v="ENTRADAS"/>
    <x v="2"/>
    <x v="3"/>
    <m/>
    <n v="17203.96"/>
    <n v="1673996.6199999999"/>
  </r>
  <r>
    <n v="188"/>
    <d v="2026-07-31T00:00:00"/>
    <x v="5"/>
    <s v="Imposto de Renda"/>
    <s v="SAIDAS"/>
    <x v="3"/>
    <x v="4"/>
    <m/>
    <n v="-6.63"/>
    <n v="1673989.99"/>
  </r>
  <r>
    <n v="189"/>
    <d v="2026-08-05T00:00:00"/>
    <x v="5"/>
    <s v="Resgate"/>
    <m/>
    <x v="4"/>
    <x v="7"/>
    <s v="B.B."/>
    <n v="-2091.1"/>
    <n v="1671898.89"/>
  </r>
  <r>
    <n v="190"/>
    <d v="2026-08-10T00:00:00"/>
    <x v="5"/>
    <s v="Resgate"/>
    <m/>
    <x v="4"/>
    <x v="7"/>
    <s v="B.B."/>
    <n v="-377"/>
    <n v="1671521.89"/>
  </r>
  <r>
    <n v="191"/>
    <d v="2026-08-31T00:00:00"/>
    <x v="5"/>
    <s v="Rendimento Bruto"/>
    <s v="ENTRADAS"/>
    <x v="2"/>
    <x v="3"/>
    <m/>
    <n v="15667.56"/>
    <n v="1687189.45"/>
  </r>
  <r>
    <n v="192"/>
    <d v="2026-08-31T00:00:00"/>
    <x v="5"/>
    <s v="Imposto de Renda"/>
    <s v="SAIDAS"/>
    <x v="3"/>
    <x v="4"/>
    <m/>
    <n v="-10.71"/>
    <n v="1687178.74"/>
  </r>
  <r>
    <n v="193"/>
    <d v="2026-09-30T00:00:00"/>
    <x v="5"/>
    <s v="Rendimento Bruto"/>
    <s v="ENTRADAS"/>
    <x v="2"/>
    <x v="3"/>
    <m/>
    <n v="15176.21"/>
    <n v="1702354.95"/>
  </r>
  <r>
    <m/>
    <m/>
    <x v="6"/>
    <m/>
    <m/>
    <x v="0"/>
    <x v="0"/>
    <m/>
    <m/>
    <s v="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2">
  <r>
    <n v="1"/>
    <d v="2021-12-08T00:00:00"/>
    <x v="0"/>
    <s v="saldo anterior"/>
    <x v="0"/>
    <x v="0"/>
    <x v="0"/>
    <m/>
    <n v="0"/>
  </r>
  <r>
    <n v="2"/>
    <d v="2021-12-22T00:00:00"/>
    <x v="0"/>
    <s v="Transferencia recebida"/>
    <x v="1"/>
    <x v="1"/>
    <x v="1"/>
    <s v="JM EMPREENDIMENTOS IMOBILIARIO SCP LTDA"/>
    <n v="600000"/>
  </r>
  <r>
    <n v="3"/>
    <d v="2021-12-23T00:00:00"/>
    <x v="0"/>
    <s v="Aplicaçao"/>
    <x v="0"/>
    <x v="2"/>
    <x v="2"/>
    <s v="B.B."/>
    <n v="-600000"/>
  </r>
  <r>
    <n v="4"/>
    <d v="2021-12-28T00:00:00"/>
    <x v="0"/>
    <s v="Resgate"/>
    <x v="0"/>
    <x v="2"/>
    <x v="3"/>
    <s v="B.B."/>
    <n v="600000"/>
  </r>
  <r>
    <n v="5"/>
    <d v="2021-12-28T00:00:00"/>
    <x v="0"/>
    <s v="Pagamento terreno"/>
    <x v="2"/>
    <x v="3"/>
    <x v="4"/>
    <s v="SOMBRA FLORESTA"/>
    <n v="-600000"/>
  </r>
  <r>
    <n v="6"/>
    <d v="2022-01-05T00:00:00"/>
    <x v="1"/>
    <s v="Resgate"/>
    <x v="0"/>
    <x v="2"/>
    <x v="3"/>
    <s v="B.B."/>
    <n v="60"/>
  </r>
  <r>
    <n v="7"/>
    <d v="2022-01-05T00:00:00"/>
    <x v="1"/>
    <s v="Tarifa Pacote de Serviços"/>
    <x v="2"/>
    <x v="4"/>
    <x v="5"/>
    <s v="B.B."/>
    <n v="-60"/>
  </r>
  <r>
    <n v="8"/>
    <d v="2022-02-07T00:00:00"/>
    <x v="1"/>
    <s v="Tarifa Pacote de Serviços"/>
    <x v="2"/>
    <x v="4"/>
    <x v="5"/>
    <s v="B.B."/>
    <n v="-10.82"/>
  </r>
  <r>
    <n v="9"/>
    <d v="2022-02-07T00:00:00"/>
    <x v="1"/>
    <s v="Resgate"/>
    <x v="0"/>
    <x v="2"/>
    <x v="3"/>
    <s v="B.B."/>
    <n v="10.82"/>
  </r>
  <r>
    <n v="10"/>
    <d v="2022-02-15T00:00:00"/>
    <x v="1"/>
    <s v="Transferencia recebida"/>
    <x v="1"/>
    <x v="1"/>
    <x v="1"/>
    <s v="JM EMPREENDIMENTOS IMOB"/>
    <n v="183947.11"/>
  </r>
  <r>
    <n v="11"/>
    <d v="2022-02-15T00:00:00"/>
    <x v="1"/>
    <s v="Tarifa Pacote de Serviços"/>
    <x v="2"/>
    <x v="4"/>
    <x v="5"/>
    <s v="B.B."/>
    <n v="-55.18"/>
  </r>
  <r>
    <n v="12"/>
    <d v="2022-02-16T00:00:00"/>
    <x v="1"/>
    <s v="Transferencia recebida"/>
    <x v="1"/>
    <x v="1"/>
    <x v="1"/>
    <s v="JM EMPREENDIMENTOS IMOB"/>
    <n v="200000"/>
  </r>
  <r>
    <n v="13"/>
    <d v="2022-02-17T00:00:00"/>
    <x v="1"/>
    <s v="Transferencia recebida"/>
    <x v="1"/>
    <x v="1"/>
    <x v="1"/>
    <s v="JM EMPREENDIMENTOS IMOB"/>
    <n v="200000"/>
  </r>
  <r>
    <n v="14"/>
    <d v="2022-03-07T00:00:00"/>
    <x v="1"/>
    <s v="Tarifa Pacote de Serviços"/>
    <x v="2"/>
    <x v="4"/>
    <x v="5"/>
    <s v="B.B."/>
    <n v="-66"/>
  </r>
  <r>
    <n v="15"/>
    <d v="2022-03-10T00:00:00"/>
    <x v="1"/>
    <s v="Impostos"/>
    <x v="2"/>
    <x v="5"/>
    <x v="6"/>
    <s v="PREF MUNICIPAL DE NATAL"/>
    <n v="-72.87"/>
  </r>
  <r>
    <n v="16"/>
    <d v="2022-03-11T00:00:00"/>
    <x v="1"/>
    <s v="Impostos"/>
    <x v="2"/>
    <x v="5"/>
    <x v="7"/>
    <s v="PREF MUNICIPAL DE NATAL"/>
    <n v="-320.77999999999997"/>
  </r>
  <r>
    <n v="17"/>
    <d v="2022-03-12T00:00:00"/>
    <x v="1"/>
    <s v="Impostos"/>
    <x v="2"/>
    <x v="5"/>
    <x v="8"/>
    <s v="PREF MUNICIPAL DE NATAL"/>
    <n v="-23.37"/>
  </r>
  <r>
    <n v="18"/>
    <d v="2022-04-05T00:00:00"/>
    <x v="1"/>
    <s v="Tarifa Pacote de Serviços"/>
    <x v="2"/>
    <x v="4"/>
    <x v="5"/>
    <s v="B.B."/>
    <n v="-66"/>
  </r>
  <r>
    <n v="19"/>
    <d v="2022-05-05T00:00:00"/>
    <x v="1"/>
    <s v="Tarifa Pacote de Serviços"/>
    <x v="2"/>
    <x v="4"/>
    <x v="5"/>
    <s v="B.B."/>
    <n v="-66"/>
  </r>
  <r>
    <n v="20"/>
    <d v="2022-06-06T00:00:00"/>
    <x v="1"/>
    <s v="Tarifa Pacote de Serviços"/>
    <x v="2"/>
    <x v="4"/>
    <x v="5"/>
    <s v="B.B."/>
    <n v="-66"/>
  </r>
  <r>
    <n v="21"/>
    <d v="2022-06-23T00:00:00"/>
    <x v="1"/>
    <s v="Aplicaçao"/>
    <x v="0"/>
    <x v="2"/>
    <x v="2"/>
    <s v="B.B."/>
    <n v="-583210.91"/>
  </r>
  <r>
    <n v="22"/>
    <d v="2022-07-06T00:00:00"/>
    <x v="1"/>
    <s v="Tarifa Pacote de Serviços"/>
    <x v="2"/>
    <x v="4"/>
    <x v="5"/>
    <s v="B.B."/>
    <n v="-66"/>
  </r>
  <r>
    <n v="23"/>
    <d v="2022-07-06T00:00:00"/>
    <x v="1"/>
    <s v="Resgate"/>
    <x v="0"/>
    <x v="2"/>
    <x v="3"/>
    <s v="B.B."/>
    <n v="66"/>
  </r>
  <r>
    <n v="24"/>
    <d v="2022-08-05T00:00:00"/>
    <x v="1"/>
    <s v="Tarifa Pacote de Serviços"/>
    <x v="2"/>
    <x v="4"/>
    <x v="5"/>
    <s v="B.B."/>
    <n v="-66"/>
  </r>
  <r>
    <n v="25"/>
    <d v="2022-08-05T00:00:00"/>
    <x v="1"/>
    <s v="Resgate"/>
    <x v="0"/>
    <x v="2"/>
    <x v="3"/>
    <s v="B.B."/>
    <n v="66"/>
  </r>
  <r>
    <n v="26"/>
    <d v="2022-09-05T00:00:00"/>
    <x v="1"/>
    <s v="Tarifa Pacote de Serviços"/>
    <x v="2"/>
    <x v="4"/>
    <x v="5"/>
    <s v="B.B."/>
    <n v="-66"/>
  </r>
  <r>
    <n v="27"/>
    <d v="2022-09-05T00:00:00"/>
    <x v="1"/>
    <s v="Resgate"/>
    <x v="0"/>
    <x v="2"/>
    <x v="3"/>
    <s v="B.B."/>
    <n v="66"/>
  </r>
  <r>
    <n v="28"/>
    <d v="2022-10-05T00:00:00"/>
    <x v="1"/>
    <s v="Tarifa Pacote de Serviços"/>
    <x v="2"/>
    <x v="4"/>
    <x v="5"/>
    <s v="B.B."/>
    <n v="-66"/>
  </r>
  <r>
    <n v="29"/>
    <d v="2022-10-05T00:00:00"/>
    <x v="1"/>
    <s v="Resgate"/>
    <x v="0"/>
    <x v="2"/>
    <x v="3"/>
    <s v="B.B."/>
    <n v="66"/>
  </r>
  <r>
    <n v="30"/>
    <d v="2022-11-07T00:00:00"/>
    <x v="1"/>
    <s v="Tarifa Pacote de Serviços"/>
    <x v="2"/>
    <x v="4"/>
    <x v="5"/>
    <s v="B.B."/>
    <n v="-66"/>
  </r>
  <r>
    <n v="31"/>
    <d v="2022-11-07T00:00:00"/>
    <x v="1"/>
    <s v="Resgate"/>
    <x v="0"/>
    <x v="2"/>
    <x v="3"/>
    <s v="B.B."/>
    <n v="66"/>
  </r>
  <r>
    <n v="32"/>
    <d v="2022-12-05T00:00:00"/>
    <x v="1"/>
    <s v="Tarifa Pacote de Serviços"/>
    <x v="2"/>
    <x v="4"/>
    <x v="5"/>
    <s v="B.B."/>
    <n v="-66"/>
  </r>
  <r>
    <n v="33"/>
    <d v="2022-12-05T00:00:00"/>
    <x v="1"/>
    <s v="Resgate"/>
    <x v="0"/>
    <x v="2"/>
    <x v="3"/>
    <s v="B.B."/>
    <n v="66"/>
  </r>
  <r>
    <n v="34"/>
    <d v="2022-12-23T00:00:00"/>
    <x v="1"/>
    <s v="50% Traduzione giurata dello Statuto"/>
    <x v="2"/>
    <x v="6"/>
    <x v="9"/>
    <s v="Antonio Francisco Alves Ro"/>
    <n v="-1050"/>
  </r>
  <r>
    <n v="35"/>
    <d v="2022-12-23T00:00:00"/>
    <x v="1"/>
    <s v="Resgate"/>
    <x v="0"/>
    <x v="2"/>
    <x v="3"/>
    <s v="B.B."/>
    <n v="1050"/>
  </r>
  <r>
    <n v="36"/>
    <d v="2022-12-29T00:00:00"/>
    <x v="1"/>
    <s v="Transferencia recebida"/>
    <x v="1"/>
    <x v="1"/>
    <x v="1"/>
    <s v="JM EMPREENDIMENTOS IMOBILIARIO SCP LTDA"/>
    <n v="255109.77"/>
  </r>
  <r>
    <n v="37"/>
    <d v="2023-01-05T00:00:00"/>
    <x v="2"/>
    <s v="Tarifa Pacote de Serviços"/>
    <x v="2"/>
    <x v="4"/>
    <x v="5"/>
    <s v="B.B."/>
    <n v="-69"/>
  </r>
  <r>
    <n v="38"/>
    <d v="2023-02-01T00:00:00"/>
    <x v="2"/>
    <s v="Aplicaçao"/>
    <x v="0"/>
    <x v="2"/>
    <x v="2"/>
    <s v="B.B."/>
    <n v="-255040.77"/>
  </r>
  <r>
    <n v="39"/>
    <d v="2023-02-06T00:00:00"/>
    <x v="2"/>
    <s v="Tarifa Pacote de Serviços"/>
    <x v="2"/>
    <x v="4"/>
    <x v="5"/>
    <s v="B.B."/>
    <n v="-69"/>
  </r>
  <r>
    <n v="40"/>
    <d v="2023-02-06T00:00:00"/>
    <x v="2"/>
    <s v="Resgate"/>
    <x v="0"/>
    <x v="2"/>
    <x v="3"/>
    <s v="B.B."/>
    <n v="69"/>
  </r>
  <r>
    <n v="41"/>
    <d v="2023-03-06T00:00:00"/>
    <x v="2"/>
    <s v="Tarifa Pacote de Serviços"/>
    <x v="2"/>
    <x v="4"/>
    <x v="5"/>
    <s v="B.B."/>
    <n v="-69"/>
  </r>
  <r>
    <n v="42"/>
    <d v="2023-03-06T00:00:00"/>
    <x v="2"/>
    <s v="Resgate"/>
    <x v="0"/>
    <x v="2"/>
    <x v="3"/>
    <s v="B.B."/>
    <n v="69"/>
  </r>
  <r>
    <n v="43"/>
    <d v="2023-04-06T00:00:00"/>
    <x v="2"/>
    <s v="Tarifa Pacote de Serviços"/>
    <x v="2"/>
    <x v="4"/>
    <x v="5"/>
    <s v="B.B."/>
    <n v="-69"/>
  </r>
  <r>
    <n v="44"/>
    <d v="2023-04-06T00:00:00"/>
    <x v="2"/>
    <s v="Resgate"/>
    <x v="0"/>
    <x v="2"/>
    <x v="3"/>
    <s v="B.B."/>
    <n v="69"/>
  </r>
  <r>
    <n v="45"/>
    <d v="2023-05-05T00:00:00"/>
    <x v="2"/>
    <s v="Tarifa Pacote de Serviços"/>
    <x v="2"/>
    <x v="4"/>
    <x v="5"/>
    <s v="B.B."/>
    <n v="-69"/>
  </r>
  <r>
    <n v="46"/>
    <d v="2023-05-05T00:00:00"/>
    <x v="2"/>
    <s v="Resgate"/>
    <x v="0"/>
    <x v="2"/>
    <x v="3"/>
    <s v="B.B."/>
    <n v="69"/>
  </r>
  <r>
    <n v="47"/>
    <d v="2023-05-31T00:00:00"/>
    <x v="2"/>
    <s v="Domiciliazione societaria"/>
    <x v="2"/>
    <x v="6"/>
    <x v="9"/>
    <s v="ONE Empreendimentos Serviços"/>
    <n v="-850"/>
  </r>
  <r>
    <n v="48"/>
    <d v="2023-05-31T00:00:00"/>
    <x v="2"/>
    <s v="Resgate"/>
    <x v="0"/>
    <x v="2"/>
    <x v="3"/>
    <s v="B.B."/>
    <n v="850"/>
  </r>
  <r>
    <n v="49"/>
    <d v="2023-06-05T00:00:00"/>
    <x v="2"/>
    <s v="Tarifa Pacote de Serviços"/>
    <x v="2"/>
    <x v="4"/>
    <x v="5"/>
    <s v="B.B."/>
    <n v="-69"/>
  </r>
  <r>
    <n v="50"/>
    <d v="2023-06-05T00:00:00"/>
    <x v="2"/>
    <s v="Resgate"/>
    <x v="0"/>
    <x v="2"/>
    <x v="3"/>
    <s v="B.B."/>
    <n v="69"/>
  </r>
  <r>
    <n v="51"/>
    <d v="2023-07-05T00:00:00"/>
    <x v="2"/>
    <s v="Tarifa Pacote de Serviços"/>
    <x v="2"/>
    <x v="4"/>
    <x v="5"/>
    <s v="B.B."/>
    <n v="-69"/>
  </r>
  <r>
    <n v="52"/>
    <d v="2023-07-05T00:00:00"/>
    <x v="2"/>
    <s v="Resgate"/>
    <x v="0"/>
    <x v="2"/>
    <x v="3"/>
    <s v="B.B."/>
    <n v="69"/>
  </r>
  <r>
    <n v="53"/>
    <d v="2023-07-17T00:00:00"/>
    <x v="2"/>
    <s v="Cambiamento indirizzo societario"/>
    <x v="2"/>
    <x v="6"/>
    <x v="9"/>
    <s v="Igor R.R. Franca Sociedade - Junta Comercial"/>
    <n v="-1200"/>
  </r>
  <r>
    <n v="54"/>
    <d v="2023-07-17T00:00:00"/>
    <x v="2"/>
    <s v="Resgate"/>
    <x v="0"/>
    <x v="2"/>
    <x v="3"/>
    <s v="B.B."/>
    <n v="1200"/>
  </r>
  <r>
    <n v="55"/>
    <d v="2023-08-07T00:00:00"/>
    <x v="2"/>
    <s v="Tarifa Pacote de Serviços"/>
    <x v="2"/>
    <x v="4"/>
    <x v="5"/>
    <s v="B.B."/>
    <n v="-69"/>
  </r>
  <r>
    <n v="56"/>
    <d v="2023-08-07T00:00:00"/>
    <x v="2"/>
    <s v="Resgate"/>
    <x v="0"/>
    <x v="2"/>
    <x v="3"/>
    <s v="B.B."/>
    <n v="69"/>
  </r>
  <r>
    <n v="57"/>
    <d v="2023-09-05T00:00:00"/>
    <x v="2"/>
    <s v="Tarifa Pacote de Serviços"/>
    <x v="2"/>
    <x v="4"/>
    <x v="5"/>
    <s v="B.B."/>
    <n v="-69"/>
  </r>
  <r>
    <n v="58"/>
    <d v="2023-09-05T00:00:00"/>
    <x v="2"/>
    <s v="Resgate"/>
    <x v="0"/>
    <x v="2"/>
    <x v="3"/>
    <s v="B.B."/>
    <n v="69"/>
  </r>
  <r>
    <n v="59"/>
    <d v="2023-10-05T00:00:00"/>
    <x v="2"/>
    <s v="Tarifa Pacote de Serviços"/>
    <x v="2"/>
    <x v="4"/>
    <x v="5"/>
    <s v="B.B."/>
    <n v="-69"/>
  </r>
  <r>
    <n v="60"/>
    <d v="2023-10-05T00:00:00"/>
    <x v="2"/>
    <s v="Resgate"/>
    <x v="0"/>
    <x v="2"/>
    <x v="3"/>
    <s v="B.B."/>
    <n v="69"/>
  </r>
  <r>
    <n v="61"/>
    <d v="2023-11-06T00:00:00"/>
    <x v="2"/>
    <s v="Tarifa Pacote de Serviços"/>
    <x v="2"/>
    <x v="4"/>
    <x v="5"/>
    <s v="B.B."/>
    <n v="-69"/>
  </r>
  <r>
    <n v="62"/>
    <d v="2023-11-06T00:00:00"/>
    <x v="2"/>
    <s v="Resgate"/>
    <x v="0"/>
    <x v="2"/>
    <x v="3"/>
    <s v="B.B."/>
    <n v="69"/>
  </r>
  <r>
    <n v="63"/>
    <d v="2023-12-05T00:00:00"/>
    <x v="2"/>
    <s v="Tarifa Pacote de Serviços"/>
    <x v="2"/>
    <x v="4"/>
    <x v="5"/>
    <s v="B.B."/>
    <n v="-72"/>
  </r>
  <r>
    <n v="64"/>
    <d v="2023-12-05T00:00:00"/>
    <x v="2"/>
    <s v="Resgate"/>
    <x v="0"/>
    <x v="2"/>
    <x v="3"/>
    <s v="B.B."/>
    <n v="72"/>
  </r>
  <r>
    <n v="65"/>
    <d v="2024-01-05T00:00:00"/>
    <x v="3"/>
    <s v="Tarifa Pacote de Serviços"/>
    <x v="2"/>
    <x v="4"/>
    <x v="5"/>
    <s v="B.B."/>
    <n v="-72"/>
  </r>
  <r>
    <n v="66"/>
    <d v="2024-01-05T00:00:00"/>
    <x v="3"/>
    <s v="Resgate"/>
    <x v="0"/>
    <x v="2"/>
    <x v="3"/>
    <s v="B.B."/>
    <n v="72"/>
  </r>
  <r>
    <n v="67"/>
    <d v="2024-04-03T00:00:00"/>
    <x v="3"/>
    <s v="Impostos e Taxas"/>
    <x v="2"/>
    <x v="5"/>
    <x v="10"/>
    <s v="Prefeitura NATAL"/>
    <n v="-408.82"/>
  </r>
  <r>
    <n v="68"/>
    <d v="2024-04-03T00:00:00"/>
    <x v="3"/>
    <s v="Taxa de Localizaçao"/>
    <x v="2"/>
    <x v="5"/>
    <x v="11"/>
    <s v="Prefeitura NATAL"/>
    <n v="-408.78"/>
  </r>
  <r>
    <n v="69"/>
    <d v="2024-04-03T00:00:00"/>
    <x v="3"/>
    <s v="Resgate"/>
    <x v="0"/>
    <x v="2"/>
    <x v="3"/>
    <s v="B.B."/>
    <n v="817.6"/>
  </r>
  <r>
    <n v="70"/>
    <d v="2024-04-05T00:00:00"/>
    <x v="3"/>
    <s v="Tarifa Pacote de Serviços"/>
    <x v="2"/>
    <x v="4"/>
    <x v="5"/>
    <s v="B.B."/>
    <n v="-72"/>
  </r>
  <r>
    <n v="71"/>
    <d v="2024-04-05T00:00:00"/>
    <x v="3"/>
    <s v="Resgate"/>
    <x v="0"/>
    <x v="2"/>
    <x v="3"/>
    <s v="B.B."/>
    <n v="72"/>
  </r>
  <r>
    <n v="72"/>
    <d v="2024-05-06T00:00:00"/>
    <x v="3"/>
    <s v="Tarifa Pacote de Serviços"/>
    <x v="2"/>
    <x v="4"/>
    <x v="5"/>
    <s v="B.B."/>
    <n v="-72"/>
  </r>
  <r>
    <n v="73"/>
    <d v="2024-05-06T00:00:00"/>
    <x v="3"/>
    <s v="Resgate"/>
    <x v="0"/>
    <x v="2"/>
    <x v="3"/>
    <s v="B.B."/>
    <n v="72"/>
  </r>
  <r>
    <n v="74"/>
    <d v="2024-05-29T00:00:00"/>
    <x v="3"/>
    <s v="Spese Cartorio"/>
    <x v="2"/>
    <x v="6"/>
    <x v="9"/>
    <s v="Natal - Cartorio 2 Oficio Nota"/>
    <n v="-1049.08"/>
  </r>
  <r>
    <n v="75"/>
    <d v="2024-05-29T00:00:00"/>
    <x v="3"/>
    <s v="Resgate"/>
    <x v="0"/>
    <x v="2"/>
    <x v="3"/>
    <s v="B.B."/>
    <n v="1049.08"/>
  </r>
  <r>
    <n v="76"/>
    <d v="2024-06-05T00:00:00"/>
    <x v="3"/>
    <s v="Tarifa Pacote de Serviços"/>
    <x v="2"/>
    <x v="4"/>
    <x v="5"/>
    <s v="B.B."/>
    <n v="-72"/>
  </r>
  <r>
    <n v="77"/>
    <d v="2024-06-05T00:00:00"/>
    <x v="3"/>
    <s v="Resgate"/>
    <x v="0"/>
    <x v="2"/>
    <x v="3"/>
    <s v="B.B."/>
    <n v="72"/>
  </r>
  <r>
    <n v="78"/>
    <d v="2024-07-05T00:00:00"/>
    <x v="3"/>
    <s v="Domiciliazione societaria"/>
    <x v="2"/>
    <x v="6"/>
    <x v="9"/>
    <s v="ONE Empreendimentos Serviços"/>
    <n v="-850"/>
  </r>
  <r>
    <n v="79"/>
    <d v="2024-07-05T00:00:00"/>
    <x v="3"/>
    <s v="Tarifa Pacote de Serviços"/>
    <x v="2"/>
    <x v="4"/>
    <x v="5"/>
    <s v="B.B."/>
    <n v="-72"/>
  </r>
  <r>
    <n v="80"/>
    <d v="2024-07-05T00:00:00"/>
    <x v="3"/>
    <s v="Resgate"/>
    <x v="0"/>
    <x v="2"/>
    <x v="3"/>
    <s v="B.B."/>
    <n v="922"/>
  </r>
  <r>
    <n v="81"/>
    <d v="2024-08-05T00:00:00"/>
    <x v="3"/>
    <s v="Tarifa Pacote de Serviços"/>
    <x v="2"/>
    <x v="4"/>
    <x v="5"/>
    <s v="B.B."/>
    <n v="-73.8"/>
  </r>
  <r>
    <n v="82"/>
    <d v="2024-08-05T00:00:00"/>
    <x v="3"/>
    <s v="Resgate"/>
    <x v="0"/>
    <x v="2"/>
    <x v="3"/>
    <s v="B.B."/>
    <n v="73.8"/>
  </r>
  <r>
    <n v="83"/>
    <d v="2024-09-05T00:00:00"/>
    <x v="3"/>
    <s v="Tarifa Pacote de Serviços"/>
    <x v="2"/>
    <x v="4"/>
    <x v="5"/>
    <s v="B.B."/>
    <n v="-73.8"/>
  </r>
  <r>
    <n v="84"/>
    <d v="2024-09-05T00:00:00"/>
    <x v="3"/>
    <s v="Resgate"/>
    <x v="0"/>
    <x v="2"/>
    <x v="3"/>
    <s v="B.B."/>
    <n v="73.8"/>
  </r>
  <r>
    <n v="85"/>
    <d v="2024-10-07T00:00:00"/>
    <x v="3"/>
    <s v="Tarifa Pacote de Serviços"/>
    <x v="2"/>
    <x v="4"/>
    <x v="5"/>
    <s v="B.B."/>
    <n v="-73.8"/>
  </r>
  <r>
    <n v="86"/>
    <d v="2024-10-07T00:00:00"/>
    <x v="3"/>
    <s v="Resgate"/>
    <x v="0"/>
    <x v="2"/>
    <x v="3"/>
    <s v="B.B."/>
    <n v="73.8"/>
  </r>
  <r>
    <n v="87"/>
    <d v="2024-10-31T00:00:00"/>
    <x v="3"/>
    <s v="Spese Cartorio"/>
    <x v="2"/>
    <x v="6"/>
    <x v="9"/>
    <s v="Essencial Gestao Empresarial LTDA"/>
    <n v="-184"/>
  </r>
  <r>
    <n v="88"/>
    <d v="2024-10-31T00:00:00"/>
    <x v="3"/>
    <s v="Resgate"/>
    <x v="0"/>
    <x v="2"/>
    <x v="3"/>
    <s v="B.B."/>
    <n v="184"/>
  </r>
  <r>
    <n v="89"/>
    <d v="2024-11-05T00:00:00"/>
    <x v="3"/>
    <s v="Tarifa Pacote de Serviços"/>
    <x v="2"/>
    <x v="4"/>
    <x v="5"/>
    <s v="B.B."/>
    <n v="-73.8"/>
  </r>
  <r>
    <n v="90"/>
    <d v="2024-11-05T00:00:00"/>
    <x v="3"/>
    <s v="Resgate"/>
    <x v="0"/>
    <x v="2"/>
    <x v="3"/>
    <s v="B.B."/>
    <n v="73.8"/>
  </r>
  <r>
    <n v="91"/>
    <d v="2024-11-07T00:00:00"/>
    <x v="3"/>
    <s v="Compra de Madeira"/>
    <x v="2"/>
    <x v="6"/>
    <x v="9"/>
    <s v="Mac Madeira Ltd"/>
    <n v="-421.6"/>
  </r>
  <r>
    <n v="92"/>
    <d v="2024-11-07T00:00:00"/>
    <x v="3"/>
    <s v="Resgate"/>
    <x v="0"/>
    <x v="2"/>
    <x v="3"/>
    <s v="B.B."/>
    <n v="421.6"/>
  </r>
  <r>
    <n v="93"/>
    <d v="2024-11-29T00:00:00"/>
    <x v="3"/>
    <s v="Financeiro"/>
    <x v="2"/>
    <x v="6"/>
    <x v="9"/>
    <s v="Elenice Aurea Solares"/>
    <n v="-300"/>
  </r>
  <r>
    <n v="94"/>
    <d v="2024-11-29T00:00:00"/>
    <x v="3"/>
    <s v="Honorario Contabeis"/>
    <x v="2"/>
    <x v="6"/>
    <x v="9"/>
    <s v="Elenice Aurea Solares"/>
    <n v="-353"/>
  </r>
  <r>
    <n v="95"/>
    <d v="2024-11-29T00:00:00"/>
    <x v="3"/>
    <s v="Resgate"/>
    <x v="0"/>
    <x v="2"/>
    <x v="3"/>
    <s v="B.B."/>
    <n v="653"/>
  </r>
  <r>
    <n v="96"/>
    <d v="2024-12-05T00:00:00"/>
    <x v="3"/>
    <s v="Tarifa Pacote de Serviços"/>
    <x v="2"/>
    <x v="4"/>
    <x v="5"/>
    <s v="B.B."/>
    <n v="-73.8"/>
  </r>
  <r>
    <n v="97"/>
    <d v="2024-12-05T00:00:00"/>
    <x v="3"/>
    <s v="Resgate"/>
    <x v="0"/>
    <x v="2"/>
    <x v="3"/>
    <s v="B.B."/>
    <n v="73.8"/>
  </r>
  <r>
    <n v="98"/>
    <d v="2024-12-06T00:00:00"/>
    <x v="3"/>
    <s v="Honorario Contabeis"/>
    <x v="2"/>
    <x v="6"/>
    <x v="9"/>
    <s v="Elenice Aurea Soares"/>
    <n v="-653"/>
  </r>
  <r>
    <n v="99"/>
    <d v="2024-12-06T00:00:00"/>
    <x v="3"/>
    <s v="Resgate"/>
    <x v="0"/>
    <x v="2"/>
    <x v="3"/>
    <s v="B.B."/>
    <n v="653"/>
  </r>
  <r>
    <n v="100"/>
    <d v="2024-12-09T00:00:00"/>
    <x v="3"/>
    <s v="Despesas"/>
    <x v="2"/>
    <x v="6"/>
    <x v="9"/>
    <s v="GLOBAL TECH"/>
    <n v="-6764.79"/>
  </r>
  <r>
    <n v="101"/>
    <d v="2024-12-09T00:00:00"/>
    <x v="3"/>
    <s v="Resgate"/>
    <x v="0"/>
    <x v="2"/>
    <x v="3"/>
    <s v="B.B."/>
    <n v="6764.79"/>
  </r>
  <r>
    <n v="102"/>
    <d v="2024-12-10T00:00:00"/>
    <x v="3"/>
    <s v="Material de Costruçao"/>
    <x v="2"/>
    <x v="6"/>
    <x v="9"/>
    <s v="L &amp; M - Varejo da costruçao Elizomar de Lima Marques"/>
    <n v="-7200"/>
  </r>
  <r>
    <n v="103"/>
    <d v="2024-12-10T00:00:00"/>
    <x v="3"/>
    <s v="Resgate"/>
    <x v="0"/>
    <x v="2"/>
    <x v="3"/>
    <s v="B.B."/>
    <n v="7200"/>
  </r>
  <r>
    <n v="104"/>
    <d v="2024-12-23T00:00:00"/>
    <x v="3"/>
    <s v="Costuras"/>
    <x v="2"/>
    <x v="6"/>
    <x v="9"/>
    <s v="Magnolia Melo de Souza"/>
    <n v="-3700"/>
  </r>
  <r>
    <n v="105"/>
    <d v="2024-12-23T00:00:00"/>
    <x v="3"/>
    <s v="Resgate"/>
    <x v="0"/>
    <x v="2"/>
    <x v="3"/>
    <s v="B.B."/>
    <n v="3700"/>
  </r>
  <r>
    <n v="106"/>
    <d v="2025-01-07T00:00:00"/>
    <x v="4"/>
    <s v="Tarifa Pacote de Serviços"/>
    <x v="2"/>
    <x v="4"/>
    <x v="5"/>
    <s v="B.B."/>
    <n v="-73.8"/>
  </r>
  <r>
    <n v="107"/>
    <d v="2025-01-07T00:00:00"/>
    <x v="4"/>
    <s v="Resgate"/>
    <x v="0"/>
    <x v="2"/>
    <x v="3"/>
    <s v="B.B."/>
    <n v="73.8"/>
  </r>
  <r>
    <n v="108"/>
    <d v="2025-01-10T00:00:00"/>
    <x v="4"/>
    <s v="Honorario Contabeis"/>
    <x v="2"/>
    <x v="6"/>
    <x v="9"/>
    <m/>
    <n v="-300"/>
  </r>
  <r>
    <n v="109"/>
    <d v="2025-01-10T00:00:00"/>
    <x v="4"/>
    <s v="Honorario Contabeis"/>
    <x v="2"/>
    <x v="6"/>
    <x v="9"/>
    <s v="Elenice Aurea Solares"/>
    <n v="-353"/>
  </r>
  <r>
    <n v="110"/>
    <d v="2025-01-10T00:00:00"/>
    <x v="4"/>
    <s v="Resgate"/>
    <x v="0"/>
    <x v="2"/>
    <x v="3"/>
    <s v="B.B."/>
    <n v="653"/>
  </r>
  <r>
    <n v="111"/>
    <d v="2025-01-14T00:00:00"/>
    <x v="4"/>
    <s v="Importazione mobili"/>
    <x v="2"/>
    <x v="6"/>
    <x v="12"/>
    <s v="Butzke Importaçao Exportaçao"/>
    <n v="-2498.14"/>
  </r>
  <r>
    <n v="112"/>
    <d v="2025-01-14T00:00:00"/>
    <x v="4"/>
    <s v="Resgate"/>
    <x v="0"/>
    <x v="2"/>
    <x v="3"/>
    <s v="B.B."/>
    <n v="2498.14"/>
  </r>
  <r>
    <n v="113"/>
    <d v="2025-01-16T00:00:00"/>
    <x v="4"/>
    <m/>
    <x v="2"/>
    <x v="6"/>
    <x v="9"/>
    <s v="Nu Pagamento SA"/>
    <n v="-88.25"/>
  </r>
  <r>
    <n v="114"/>
    <d v="2025-01-16T00:00:00"/>
    <x v="4"/>
    <s v="Resgate"/>
    <x v="0"/>
    <x v="2"/>
    <x v="3"/>
    <s v="B.B."/>
    <n v="88.25"/>
  </r>
  <r>
    <n v="115"/>
    <d v="2025-02-05T00:00:00"/>
    <x v="4"/>
    <m/>
    <x v="2"/>
    <x v="6"/>
    <x v="9"/>
    <s v="C N Palaoro Eireli"/>
    <n v="-13337.99"/>
  </r>
  <r>
    <n v="116"/>
    <d v="2025-02-05T00:00:00"/>
    <x v="4"/>
    <s v="Importazione mobili"/>
    <x v="2"/>
    <x v="6"/>
    <x v="12"/>
    <s v="Butzke Importaçao Exportaçao"/>
    <n v="-2480.79"/>
  </r>
  <r>
    <n v="117"/>
    <d v="2025-02-05T00:00:00"/>
    <x v="4"/>
    <s v="Tarifa Pacote de Serviços"/>
    <x v="2"/>
    <x v="4"/>
    <x v="5"/>
    <s v="B.B."/>
    <n v="-73.8"/>
  </r>
  <r>
    <n v="118"/>
    <d v="2025-02-05T00:00:00"/>
    <x v="4"/>
    <s v="Resgate"/>
    <x v="0"/>
    <x v="2"/>
    <x v="3"/>
    <s v="B.B."/>
    <n v="15892.58"/>
  </r>
  <r>
    <n v="119"/>
    <d v="2025-02-07T00:00:00"/>
    <x v="4"/>
    <s v="Transferencia recebida"/>
    <x v="1"/>
    <x v="1"/>
    <x v="1"/>
    <s v="140852-6 SCP - JM EMPREENDIMENTOS IMOBILIARIO SCP LTDA"/>
    <n v="258299.87"/>
  </r>
  <r>
    <n v="120"/>
    <d v="2025-02-14T00:00:00"/>
    <x v="4"/>
    <s v="Despesas"/>
    <x v="2"/>
    <x v="6"/>
    <x v="9"/>
    <s v="GLOBAL TECH"/>
    <n v="6764.79"/>
  </r>
  <r>
    <n v="121"/>
    <d v="2025-02-17T00:00:00"/>
    <x v="4"/>
    <s v="Honorario Contabeis"/>
    <x v="2"/>
    <x v="6"/>
    <x v="13"/>
    <s v="Essencial Gestao Empresarial LTDA"/>
    <n v="-653"/>
  </r>
  <r>
    <n v="122"/>
    <d v="2025-02-25T00:00:00"/>
    <x v="4"/>
    <s v="Honorario Contabeis"/>
    <x v="2"/>
    <x v="6"/>
    <x v="13"/>
    <s v="JJ Assessoria Contabil"/>
    <n v="-353"/>
  </r>
  <r>
    <n v="123"/>
    <d v="2025-03-07T00:00:00"/>
    <x v="4"/>
    <s v="Tarifa Pacote de Serviços"/>
    <x v="2"/>
    <x v="4"/>
    <x v="5"/>
    <s v="B.B."/>
    <n v="-75.400000000000006"/>
  </r>
  <r>
    <n v="124"/>
    <d v="2025-03-10T00:00:00"/>
    <x v="4"/>
    <s v="Impostos e Taxas"/>
    <x v="2"/>
    <x v="5"/>
    <x v="14"/>
    <s v="PREF MUNICIPAL DE NATAL"/>
    <n v="-378.61"/>
  </r>
  <r>
    <n v="125"/>
    <d v="2025-03-13T00:00:00"/>
    <x v="4"/>
    <s v="Importazione mobili"/>
    <x v="2"/>
    <x v="6"/>
    <x v="12"/>
    <s v="Butzke Importaçao Exportaçao"/>
    <n v="-2503.91"/>
  </r>
  <r>
    <n v="126"/>
    <d v="2025-03-19T00:00:00"/>
    <x v="4"/>
    <s v="??"/>
    <x v="2"/>
    <x v="6"/>
    <x v="9"/>
    <s v="Comercial Distribuidora Natal"/>
    <n v="-3917.52"/>
  </r>
  <r>
    <n v="127"/>
    <d v="2025-03-24T00:00:00"/>
    <x v="4"/>
    <s v="Costuras"/>
    <x v="2"/>
    <x v="6"/>
    <x v="9"/>
    <s v="Magnolia Melo de Souza"/>
    <n v="-900"/>
  </r>
  <r>
    <n v="128"/>
    <d v="2025-03-28T00:00:00"/>
    <x v="4"/>
    <s v="Honorario Contabeis"/>
    <x v="2"/>
    <x v="6"/>
    <x v="13"/>
    <s v="LRT Soluçoes Corporativas e Contabeis Ltda"/>
    <n v="-353"/>
  </r>
  <r>
    <n v="129"/>
    <d v="2025-03-28T00:00:00"/>
    <x v="4"/>
    <s v="Honorario Contabeis"/>
    <x v="2"/>
    <x v="6"/>
    <x v="13"/>
    <s v="Essencial Gestao Empresarial LTDA"/>
    <n v="-300"/>
  </r>
  <r>
    <n v="130"/>
    <d v="2025-04-07T00:00:00"/>
    <x v="4"/>
    <s v="Tarifa Pacote de Serviços"/>
    <x v="2"/>
    <x v="4"/>
    <x v="5"/>
    <s v="B.B."/>
    <n v="-75.400000000000006"/>
  </r>
  <r>
    <n v="131"/>
    <d v="2025-04-15T00:00:00"/>
    <x v="4"/>
    <s v="Honorario Contabeis"/>
    <x v="2"/>
    <x v="6"/>
    <x v="13"/>
    <s v="JJ Assessoria Contabil"/>
    <n v="-706"/>
  </r>
  <r>
    <n v="132"/>
    <d v="2025-04-15T00:00:00"/>
    <x v="4"/>
    <s v="Honorario Contabeis"/>
    <x v="2"/>
    <x v="6"/>
    <x v="13"/>
    <s v="LRT Soluçoes Corporativas e Contabeis Ltda"/>
    <n v="-353"/>
  </r>
  <r>
    <n v="133"/>
    <d v="2025-04-15T00:00:00"/>
    <x v="4"/>
    <s v="Honorario Contabeis"/>
    <x v="2"/>
    <x v="6"/>
    <x v="13"/>
    <s v="Essencial Gestao Empresarial LTDA"/>
    <n v="-300"/>
  </r>
  <r>
    <n v="134"/>
    <d v="2025-05-05T00:00:00"/>
    <x v="4"/>
    <s v="Honorario Contabeis"/>
    <x v="2"/>
    <x v="6"/>
    <x v="13"/>
    <s v="Essencial Gestao Empresarial LTDA"/>
    <n v="-300"/>
  </r>
  <r>
    <n v="135"/>
    <d v="2025-05-05T00:00:00"/>
    <x v="4"/>
    <s v="Honorario Contabeis"/>
    <x v="2"/>
    <x v="6"/>
    <x v="13"/>
    <s v="LRT Soluçoes Corporativas e Contabeis Ltda"/>
    <n v="-353"/>
  </r>
  <r>
    <n v="136"/>
    <d v="2025-05-06T00:00:00"/>
    <x v="4"/>
    <s v="Tarifa Pacote de Serviços"/>
    <x v="2"/>
    <x v="4"/>
    <x v="5"/>
    <s v="B.B."/>
    <n v="-75.400000000000006"/>
  </r>
  <r>
    <n v="137"/>
    <d v="2025-05-09T00:00:00"/>
    <x v="4"/>
    <s v="Varias"/>
    <x v="2"/>
    <x v="6"/>
    <x v="9"/>
    <s v="Comercial Distribuidora Natal"/>
    <n v="-891.86"/>
  </r>
  <r>
    <n v="138"/>
    <d v="2025-05-12T00:00:00"/>
    <x v="4"/>
    <s v="Varias"/>
    <x v="2"/>
    <x v="6"/>
    <x v="9"/>
    <s v="Magnolia Melo de Souza"/>
    <n v="-1500"/>
  </r>
  <r>
    <n v="139"/>
    <d v="2025-05-20T00:00:00"/>
    <x v="4"/>
    <s v="Honorario Contabeis"/>
    <x v="2"/>
    <x v="6"/>
    <x v="13"/>
    <s v="JJ Assessoria Contabil"/>
    <n v="-353"/>
  </r>
  <r>
    <n v="140"/>
    <d v="2025-06-02T00:00:00"/>
    <x v="4"/>
    <s v="Domiciliazione societaria"/>
    <x v="2"/>
    <x v="6"/>
    <x v="9"/>
    <s v="ONE Empreendimentos Serviços"/>
    <n v="-898.2"/>
  </r>
  <r>
    <n v="141"/>
    <d v="2025-06-05T00:00:00"/>
    <x v="4"/>
    <s v="Varias"/>
    <x v="2"/>
    <x v="6"/>
    <x v="9"/>
    <s v="Magnolia Melo de Souza"/>
    <n v="-1800"/>
  </r>
  <r>
    <n v="142"/>
    <d v="2025-06-05T00:00:00"/>
    <x v="4"/>
    <s v="Honorario Contabeis"/>
    <x v="2"/>
    <x v="6"/>
    <x v="13"/>
    <s v="LRT Soluçoes Corporativas e Contabeis Ltda"/>
    <n v="-353"/>
  </r>
  <r>
    <n v="143"/>
    <d v="2025-06-05T00:00:00"/>
    <x v="4"/>
    <s v="Honorario Contabeis"/>
    <x v="2"/>
    <x v="6"/>
    <x v="13"/>
    <s v="Essencial Gestao Empresarial LTDA"/>
    <n v="-300"/>
  </r>
  <r>
    <n v="144"/>
    <d v="2025-06-05T00:00:00"/>
    <x v="4"/>
    <s v="Tarifa Pacote de Serviços"/>
    <x v="2"/>
    <x v="4"/>
    <x v="5"/>
    <s v="B.B."/>
    <n v="-75.400000000000006"/>
  </r>
  <r>
    <n v="145"/>
    <d v="2025-06-17T00:00:00"/>
    <x v="4"/>
    <s v="Aplicaçao"/>
    <x v="0"/>
    <x v="2"/>
    <x v="2"/>
    <s v="B.B."/>
    <n v="-247295.96"/>
  </r>
  <r>
    <n v="146"/>
    <d v="2025-06-23T00:00:00"/>
    <x v="4"/>
    <s v="Honorario Contabeis"/>
    <x v="2"/>
    <x v="6"/>
    <x v="13"/>
    <s v="JJ Assessoria Contabil"/>
    <n v="-353"/>
  </r>
  <r>
    <n v="147"/>
    <d v="2025-02-05T00:00:00"/>
    <x v="4"/>
    <s v="Resgate"/>
    <x v="0"/>
    <x v="2"/>
    <x v="3"/>
    <s v="B.B."/>
    <n v="353"/>
  </r>
  <r>
    <n v="148"/>
    <d v="2025-07-07T00:00:00"/>
    <x v="4"/>
    <s v="Tarifa Pacote de Serviços"/>
    <x v="2"/>
    <x v="4"/>
    <x v="5"/>
    <s v="B.B."/>
    <n v="-75.400000000000006"/>
  </r>
  <r>
    <n v="149"/>
    <d v="2025-07-07T00:00:00"/>
    <x v="4"/>
    <s v="Resgate"/>
    <x v="0"/>
    <x v="2"/>
    <x v="3"/>
    <s v="B.B."/>
    <n v="75.400000000000006"/>
  </r>
  <r>
    <n v="150"/>
    <d v="2025-07-21T00:00:00"/>
    <x v="4"/>
    <s v="Honorario Contabeis"/>
    <x v="2"/>
    <x v="6"/>
    <x v="13"/>
    <s v="JJ Assessoria Contabil"/>
    <n v="-353"/>
  </r>
  <r>
    <n v="151"/>
    <d v="2025-07-21T00:00:00"/>
    <x v="4"/>
    <s v="Honorario Contabeis"/>
    <x v="2"/>
    <x v="6"/>
    <x v="13"/>
    <s v="LRT Soluçoes Corporativas e Contabeis Ltda"/>
    <n v="-353"/>
  </r>
  <r>
    <n v="152"/>
    <d v="2025-07-21T00:00:00"/>
    <x v="4"/>
    <s v="Honorario Contabeis"/>
    <x v="2"/>
    <x v="6"/>
    <x v="13"/>
    <s v="Essencial Gestao Empresarial LTDA"/>
    <n v="-300"/>
  </r>
  <r>
    <n v="153"/>
    <d v="2025-07-21T00:00:00"/>
    <x v="4"/>
    <s v="Resgate"/>
    <x v="0"/>
    <x v="2"/>
    <x v="3"/>
    <s v="B.B."/>
    <n v="1006"/>
  </r>
  <r>
    <n v="154"/>
    <d v="2025-08-05T00:00:00"/>
    <x v="4"/>
    <s v="Honorario Contabeis"/>
    <x v="2"/>
    <x v="6"/>
    <x v="13"/>
    <s v="Essencial Gestao Empresarial LTDA"/>
    <n v="-300"/>
  </r>
  <r>
    <n v="155"/>
    <d v="2025-08-05T00:00:00"/>
    <x v="4"/>
    <s v="Honorario Contabeis"/>
    <x v="2"/>
    <x v="6"/>
    <x v="13"/>
    <s v="LRT Soluçoes Corporativas e Contabeis Ltda"/>
    <n v="-353"/>
  </r>
  <r>
    <n v="156"/>
    <d v="2025-08-05T00:00:00"/>
    <x v="4"/>
    <s v="Tarifa Pacote de Serviços"/>
    <x v="2"/>
    <x v="4"/>
    <x v="5"/>
    <s v="B.B."/>
    <n v="-75.400000000000006"/>
  </r>
  <r>
    <n v="157"/>
    <d v="2025-08-05T00:00:00"/>
    <x v="4"/>
    <s v="Resgate"/>
    <x v="0"/>
    <x v="2"/>
    <x v="3"/>
    <s v="B.B."/>
    <n v="728.4"/>
  </r>
  <r>
    <n v="158"/>
    <d v="2025-08-21T00:00:00"/>
    <x v="4"/>
    <s v="Honorario Contabeis"/>
    <x v="2"/>
    <x v="6"/>
    <x v="13"/>
    <s v="JJ Assessoria Contabil"/>
    <n v="-353"/>
  </r>
  <r>
    <n v="159"/>
    <d v="2025-08-21T00:00:00"/>
    <x v="4"/>
    <s v="Resgate"/>
    <x v="0"/>
    <x v="2"/>
    <x v="3"/>
    <s v="B.B."/>
    <n v="353"/>
  </r>
  <r>
    <n v="160"/>
    <d v="2025-08-22T00:00:00"/>
    <x v="4"/>
    <s v="Varias"/>
    <x v="2"/>
    <x v="6"/>
    <x v="9"/>
    <s v="Magnolia Melo de Souza"/>
    <n v="-600"/>
  </r>
  <r>
    <n v="161"/>
    <d v="2025-08-22T00:00:00"/>
    <x v="4"/>
    <s v="Resgate"/>
    <x v="0"/>
    <x v="2"/>
    <x v="3"/>
    <s v="B.B."/>
    <n v="600"/>
  </r>
  <r>
    <n v="162"/>
    <d v="2025-09-05T00:00:00"/>
    <x v="4"/>
    <s v="Honorario Contabeis"/>
    <x v="2"/>
    <x v="6"/>
    <x v="13"/>
    <s v="Essencial Gestao Empresarial LTDA"/>
    <n v="-300"/>
  </r>
  <r>
    <n v="163"/>
    <d v="2025-09-05T00:00:00"/>
    <x v="4"/>
    <s v="Honorario Contabeis"/>
    <x v="2"/>
    <x v="6"/>
    <x v="13"/>
    <s v="Essencial Gestao Empresarial LTDA"/>
    <n v="-353"/>
  </r>
  <r>
    <n v="164"/>
    <d v="2025-09-05T00:00:00"/>
    <x v="4"/>
    <s v="Tarifa Pacote de Serviços"/>
    <x v="2"/>
    <x v="4"/>
    <x v="5"/>
    <s v="B.B."/>
    <n v="-81.400000000000006"/>
  </r>
  <r>
    <n v="165"/>
    <d v="2025-09-05T00:00:00"/>
    <x v="4"/>
    <s v="Resgate"/>
    <x v="0"/>
    <x v="2"/>
    <x v="3"/>
    <s v="B.B."/>
    <n v="734.4"/>
  </r>
  <r>
    <n v="166"/>
    <d v="2025-09-10T00:00:00"/>
    <x v="4"/>
    <s v="Honorario Contabeis"/>
    <x v="2"/>
    <x v="6"/>
    <x v="13"/>
    <s v="JJ Assessoria Contabil"/>
    <n v="-353"/>
  </r>
  <r>
    <n v="167"/>
    <d v="2025-09-10T00:00:00"/>
    <x v="4"/>
    <s v="Resgate"/>
    <x v="0"/>
    <x v="2"/>
    <x v="3"/>
    <s v="B.B."/>
    <n v="353"/>
  </r>
  <r>
    <n v="168"/>
    <d v="2025-10-02T00:00:00"/>
    <x v="4"/>
    <s v="Honorario Contabeis"/>
    <x v="2"/>
    <x v="6"/>
    <x v="13"/>
    <s v="Essencial Gestao Empresarial LTDA"/>
    <n v="-353"/>
  </r>
  <r>
    <n v="169"/>
    <d v="2025-10-02T00:00:00"/>
    <x v="4"/>
    <s v="Honorario Contabeis"/>
    <x v="2"/>
    <x v="6"/>
    <x v="13"/>
    <s v="Essencial Gestao Empresarial LTDA"/>
    <n v="-1518"/>
  </r>
  <r>
    <n v="170"/>
    <d v="2025-10-02T00:00:00"/>
    <x v="4"/>
    <s v="Resgate"/>
    <x v="0"/>
    <x v="2"/>
    <x v="3"/>
    <s v="B.B."/>
    <n v="1871"/>
  </r>
  <r>
    <n v="171"/>
    <d v="2025-10-06T00:00:00"/>
    <x v="4"/>
    <s v="Tarifa Pacote de Serviços"/>
    <x v="2"/>
    <x v="4"/>
    <x v="5"/>
    <s v="B.B."/>
    <n v="-81.400000000000006"/>
  </r>
  <r>
    <n v="172"/>
    <d v="2025-10-06T00:00:00"/>
    <x v="4"/>
    <s v="Resgate"/>
    <x v="0"/>
    <x v="2"/>
    <x v="3"/>
    <s v="B.B."/>
    <n v="81.400000000000006"/>
  </r>
  <r>
    <n v="173"/>
    <d v="2025-10-10T00:00:00"/>
    <x v="4"/>
    <s v="Honorario Contabeis"/>
    <x v="2"/>
    <x v="6"/>
    <x v="13"/>
    <s v="JJ Assessoria Contabil"/>
    <n v="-353"/>
  </r>
  <r>
    <n v="174"/>
    <d v="2025-10-10T00:00:00"/>
    <x v="4"/>
    <s v="Resgate"/>
    <x v="0"/>
    <x v="2"/>
    <x v="3"/>
    <s v="B.B."/>
    <n v="353"/>
  </r>
  <r>
    <n v="175"/>
    <d v="2025-10-13T00:00:00"/>
    <x v="4"/>
    <s v="Pagamento contratto affitto"/>
    <x v="1"/>
    <x v="1"/>
    <x v="1"/>
    <s v="140852-6 SCP - JM EMPREENDIMENTOS IMOBILIARIO SCP LTDA"/>
    <n v="150000"/>
  </r>
  <r>
    <n v="176"/>
    <d v="2025-10-20T00:00:00"/>
    <x v="4"/>
    <s v="Aplicaçao"/>
    <x v="0"/>
    <x v="2"/>
    <x v="2"/>
    <s v="B.B."/>
    <n v="-150000"/>
  </r>
  <r>
    <n v="177"/>
    <d v="2025-10-24T00:00:00"/>
    <x v="4"/>
    <s v="Honorario Contabeis"/>
    <x v="2"/>
    <x v="6"/>
    <x v="13"/>
    <s v="Essencial Gestao Empresarial LTDA"/>
    <n v="-184"/>
  </r>
  <r>
    <n v="178"/>
    <d v="2025-10-24T00:00:00"/>
    <x v="4"/>
    <s v="Resgate"/>
    <x v="0"/>
    <x v="2"/>
    <x v="3"/>
    <s v="B.B."/>
    <n v="184"/>
  </r>
  <r>
    <n v="179"/>
    <d v="2025-11-05T00:00:00"/>
    <x v="4"/>
    <s v="Honorario Contabeis"/>
    <x v="2"/>
    <x v="6"/>
    <x v="13"/>
    <s v="Essencial Gestao Empresarial LTDA"/>
    <n v="-353"/>
  </r>
  <r>
    <n v="180"/>
    <d v="2025-11-05T00:00:00"/>
    <x v="4"/>
    <s v="Honorario Contabeis"/>
    <x v="2"/>
    <x v="6"/>
    <x v="13"/>
    <s v="Essencial Gestao Empresarial LTDA"/>
    <n v="-1518"/>
  </r>
  <r>
    <n v="181"/>
    <d v="2025-11-05T00:00:00"/>
    <x v="4"/>
    <s v="Tarifa Pacote de Serviços"/>
    <x v="2"/>
    <x v="4"/>
    <x v="5"/>
    <s v="B.B."/>
    <n v="-81.400000000000006"/>
  </r>
  <r>
    <n v="182"/>
    <d v="2025-11-05T00:00:00"/>
    <x v="4"/>
    <s v="Resgate"/>
    <x v="0"/>
    <x v="2"/>
    <x v="3"/>
    <s v="B.B."/>
    <n v="1952.4"/>
  </r>
  <r>
    <n v="183"/>
    <d v="2025-11-10T00:00:00"/>
    <x v="4"/>
    <s v="Honorario Contabeis"/>
    <x v="2"/>
    <x v="6"/>
    <x v="13"/>
    <s v="JJ Assessoria Contabil"/>
    <n v="-353"/>
  </r>
  <r>
    <n v="184"/>
    <d v="2025-11-10T00:00:00"/>
    <x v="4"/>
    <s v="Resgate"/>
    <x v="0"/>
    <x v="2"/>
    <x v="3"/>
    <s v="B.B."/>
    <n v="353"/>
  </r>
  <r>
    <n v="185"/>
    <d v="2025-11-14T00:00:00"/>
    <x v="4"/>
    <s v="Honorario Contabeis"/>
    <x v="2"/>
    <x v="6"/>
    <x v="13"/>
    <s v="JJ Assessoria Contabil"/>
    <n v="-176.5"/>
  </r>
  <r>
    <n v="186"/>
    <d v="2025-11-14T00:00:00"/>
    <x v="4"/>
    <s v="Honorario Contabeis"/>
    <x v="2"/>
    <x v="6"/>
    <x v="13"/>
    <s v="Essencial Gestao Empresarial LTDA"/>
    <n v="-176.5"/>
  </r>
  <r>
    <n v="187"/>
    <d v="2025-11-14T00:00:00"/>
    <x v="4"/>
    <s v="Resgate"/>
    <x v="0"/>
    <x v="2"/>
    <x v="3"/>
    <s v="B.B."/>
    <n v="353"/>
  </r>
  <r>
    <n v="188"/>
    <d v="2025-12-03T00:00:00"/>
    <x v="4"/>
    <s v="Transferencia"/>
    <x v="2"/>
    <x v="7"/>
    <x v="15"/>
    <s v="Franco Toscano"/>
    <n v="-25000"/>
  </r>
  <r>
    <n v="189"/>
    <d v="2025-12-03T00:00:00"/>
    <x v="4"/>
    <s v="Resgate"/>
    <x v="0"/>
    <x v="2"/>
    <x v="3"/>
    <s v="B.B."/>
    <n v="25000"/>
  </r>
  <r>
    <n v="190"/>
    <d v="2025-12-04T00:00:00"/>
    <x v="4"/>
    <s v="Transferencia"/>
    <x v="2"/>
    <x v="7"/>
    <x v="15"/>
    <s v="Franco Toscano"/>
    <n v="-25000"/>
  </r>
  <r>
    <n v="191"/>
    <d v="2025-12-04T00:00:00"/>
    <x v="4"/>
    <s v="Resgate"/>
    <x v="0"/>
    <x v="2"/>
    <x v="3"/>
    <s v="B.B."/>
    <n v="25000"/>
  </r>
  <r>
    <n v="192"/>
    <d v="2025-12-05T00:00:00"/>
    <x v="4"/>
    <s v="Transferencia"/>
    <x v="2"/>
    <x v="7"/>
    <x v="15"/>
    <s v="Franco Toscano"/>
    <n v="-12000"/>
  </r>
  <r>
    <n v="193"/>
    <d v="2025-12-05T00:00:00"/>
    <x v="4"/>
    <s v="Honorario Contabeis"/>
    <x v="2"/>
    <x v="6"/>
    <x v="13"/>
    <s v="Essencial Gestao Empresarial LTDA"/>
    <n v="-353"/>
  </r>
  <r>
    <n v="194"/>
    <d v="2025-12-05T00:00:00"/>
    <x v="4"/>
    <s v="Honorario Contabeis"/>
    <x v="2"/>
    <x v="6"/>
    <x v="13"/>
    <s v="Essencial Gestao Empresarial LTDA"/>
    <n v="-1518"/>
  </r>
  <r>
    <n v="195"/>
    <d v="2025-12-05T00:00:00"/>
    <x v="4"/>
    <s v="Tarifa Pacote de Serviços"/>
    <x v="2"/>
    <x v="4"/>
    <x v="5"/>
    <s v="B.B."/>
    <n v="-81.400000000000006"/>
  </r>
  <r>
    <n v="196"/>
    <d v="2025-12-05T00:00:00"/>
    <x v="4"/>
    <s v="Resgate"/>
    <x v="0"/>
    <x v="2"/>
    <x v="3"/>
    <s v="B.B."/>
    <n v="13952.4"/>
  </r>
  <r>
    <n v="197"/>
    <d v="2025-12-10T00:00:00"/>
    <x v="4"/>
    <s v="Honorario Contabeis"/>
    <x v="2"/>
    <x v="6"/>
    <x v="13"/>
    <s v="JJ Assessoria Contabil"/>
    <n v="-353"/>
  </r>
  <r>
    <n v="198"/>
    <d v="2025-12-10T00:00:00"/>
    <x v="4"/>
    <s v="Resgate"/>
    <x v="0"/>
    <x v="2"/>
    <x v="3"/>
    <s v="B.B."/>
    <n v="353"/>
  </r>
  <r>
    <n v="199"/>
    <d v="2025-12-15T00:00:00"/>
    <x v="4"/>
    <s v="Pagamento contratto affitto"/>
    <x v="1"/>
    <x v="1"/>
    <x v="1"/>
    <s v="140852-6 SCP - JM EMPREENDIMENTOS IMOBILIARIO SCP LTDA"/>
    <n v="209209.39"/>
  </r>
  <r>
    <n v="200"/>
    <d v="2025-12-15T00:00:00"/>
    <x v="4"/>
    <s v="Aplicaçao"/>
    <x v="0"/>
    <x v="2"/>
    <x v="2"/>
    <s v="B.B."/>
    <n v="-200000"/>
  </r>
  <r>
    <n v="201"/>
    <d v="2025-12-15T00:00:00"/>
    <x v="4"/>
    <s v="Honorario Contabeis"/>
    <x v="2"/>
    <x v="6"/>
    <x v="13"/>
    <s v="JJ Assessoria Contabil"/>
    <n v="-176.5"/>
  </r>
  <r>
    <n v="202"/>
    <d v="2025-12-15T00:00:00"/>
    <x v="4"/>
    <s v="Honorario Contabeis"/>
    <x v="2"/>
    <x v="6"/>
    <x v="13"/>
    <s v="Essencial Gestao Empresarial LTDA"/>
    <n v="-176.5"/>
  </r>
  <r>
    <n v="203"/>
    <d v="2026-01-05T00:00:00"/>
    <x v="5"/>
    <s v="Honorario Contabeis"/>
    <x v="2"/>
    <x v="6"/>
    <x v="13"/>
    <s v="Essencial Gestao Empresarial LTDA"/>
    <n v="-353"/>
  </r>
  <r>
    <n v="204"/>
    <d v="2026-01-05T00:00:00"/>
    <x v="5"/>
    <s v="Honorario Contabeis"/>
    <x v="2"/>
    <x v="6"/>
    <x v="13"/>
    <s v="Essencial Gestao Empresarial LTDA"/>
    <n v="-1518"/>
  </r>
  <r>
    <n v="205"/>
    <d v="2026-01-06T00:00:00"/>
    <x v="5"/>
    <s v="Tarifa Pacote de Serviços"/>
    <x v="2"/>
    <x v="4"/>
    <x v="5"/>
    <s v="B.B."/>
    <n v="-81.400000000000006"/>
  </r>
  <r>
    <n v="206"/>
    <d v="2026-01-12T00:00:00"/>
    <x v="5"/>
    <s v="Honorario Contabeis"/>
    <x v="2"/>
    <x v="6"/>
    <x v="13"/>
    <s v="JJ Assessoria Contabil"/>
    <n v="-353"/>
  </r>
  <r>
    <n v="207"/>
    <d v="2026-02-05T00:00:00"/>
    <x v="5"/>
    <s v="Honorario Contabeis"/>
    <x v="2"/>
    <x v="6"/>
    <x v="13"/>
    <s v="Essencial Gestao Empresarial LTDA"/>
    <n v="-377"/>
  </r>
  <r>
    <n v="208"/>
    <d v="2026-02-05T00:00:00"/>
    <x v="5"/>
    <s v="Honorario Contabeis"/>
    <x v="2"/>
    <x v="6"/>
    <x v="13"/>
    <s v="Essencial Gestao Empresarial LTDA"/>
    <n v="-1621"/>
  </r>
  <r>
    <n v="209"/>
    <d v="2026-02-05T00:00:00"/>
    <x v="5"/>
    <s v="Tarifa Pacote de Serviços"/>
    <x v="2"/>
    <x v="4"/>
    <x v="5"/>
    <s v="B.B."/>
    <n v="-81.400000000000006"/>
  </r>
  <r>
    <n v="210"/>
    <d v="2026-02-10T00:00:00"/>
    <x v="5"/>
    <s v="Honorario Contabeis"/>
    <x v="2"/>
    <x v="6"/>
    <x v="13"/>
    <s v="JJ Assessoria Contabil"/>
    <n v="-377"/>
  </r>
  <r>
    <n v="211"/>
    <d v="2026-03-05T00:00:00"/>
    <x v="5"/>
    <s v="Honorario Contabeis"/>
    <x v="2"/>
    <x v="6"/>
    <x v="13"/>
    <s v="Essencial Gestao Empresarial LTDA"/>
    <n v="-377"/>
  </r>
  <r>
    <n v="212"/>
    <d v="2026-03-05T00:00:00"/>
    <x v="5"/>
    <s v="Honorario Contabeis"/>
    <x v="2"/>
    <x v="6"/>
    <x v="13"/>
    <s v="Essencial Gestao Empresarial LTDA"/>
    <n v="-1621"/>
  </r>
  <r>
    <n v="213"/>
    <d v="2026-03-05T00:00:00"/>
    <x v="5"/>
    <s v="Tarifa Pacote de Serviços"/>
    <x v="2"/>
    <x v="4"/>
    <x v="5"/>
    <s v="B.B."/>
    <n v="-81.400000000000006"/>
  </r>
  <r>
    <n v="214"/>
    <d v="2026-03-10T00:00:00"/>
    <x v="5"/>
    <s v="Honorario Contabeis"/>
    <x v="2"/>
    <x v="6"/>
    <x v="13"/>
    <s v="JJ Assessoria Contabil"/>
    <n v="-377"/>
  </r>
  <r>
    <n v="215"/>
    <d v="2026-03-10T00:00:00"/>
    <x v="5"/>
    <s v="Impostos e Taxas"/>
    <x v="2"/>
    <x v="5"/>
    <x v="16"/>
    <s v="PREF MUNICIPAL DE NATAL"/>
    <n v="-398.75"/>
  </r>
  <r>
    <n v="216"/>
    <d v="2026-04-02T00:00:00"/>
    <x v="5"/>
    <s v="Honorario Contabeis"/>
    <x v="2"/>
    <x v="6"/>
    <x v="13"/>
    <s v="Essencial Gestao Empresarial LTDA"/>
    <n v="-377"/>
  </r>
  <r>
    <n v="217"/>
    <d v="2026-04-02T00:00:00"/>
    <x v="5"/>
    <s v="Honorario Contabeis"/>
    <x v="2"/>
    <x v="6"/>
    <x v="13"/>
    <s v="Essencial Gestao Empresarial LTDA"/>
    <n v="-1621"/>
  </r>
  <r>
    <n v="218"/>
    <d v="2026-04-02T00:00:00"/>
    <x v="5"/>
    <s v="Resgate"/>
    <x v="0"/>
    <x v="2"/>
    <x v="3"/>
    <s v="B.B."/>
    <n v="758.56"/>
  </r>
  <r>
    <n v="219"/>
    <d v="2026-04-06T00:00:00"/>
    <x v="5"/>
    <s v="Tarifa Pacote de Serviços"/>
    <x v="2"/>
    <x v="4"/>
    <x v="5"/>
    <s v="B.B."/>
    <n v="-81.400000000000006"/>
  </r>
  <r>
    <n v="220"/>
    <d v="2026-04-06T00:00:00"/>
    <x v="5"/>
    <s v="Resgate"/>
    <x v="0"/>
    <x v="2"/>
    <x v="3"/>
    <s v="B.B."/>
    <n v="81.400000000000006"/>
  </r>
  <r>
    <n v="221"/>
    <d v="2026-04-10T00:00:00"/>
    <x v="5"/>
    <s v="Honorario Contabeis"/>
    <x v="2"/>
    <x v="6"/>
    <x v="13"/>
    <s v="JJ Assessoria Contabil"/>
    <n v="-377"/>
  </r>
  <r>
    <n v="222"/>
    <d v="2026-04-10T00:00:00"/>
    <x v="5"/>
    <s v="Resgate"/>
    <x v="0"/>
    <x v="2"/>
    <x v="3"/>
    <s v="B.B."/>
    <n v="377"/>
  </r>
  <r>
    <n v="223"/>
    <d v="2026-05-05T00:00:00"/>
    <x v="5"/>
    <s v="Honorario Contabeis"/>
    <x v="2"/>
    <x v="6"/>
    <x v="13"/>
    <s v="Essencial Gestao Empresarial LTDA"/>
    <n v="-377"/>
  </r>
  <r>
    <n v="224"/>
    <d v="2026-05-05T00:00:00"/>
    <x v="5"/>
    <s v="Honorario Contabeis"/>
    <x v="2"/>
    <x v="6"/>
    <x v="13"/>
    <s v="Essencial Gestao Empresarial LTDA"/>
    <n v="-1621"/>
  </r>
  <r>
    <n v="225"/>
    <d v="2026-05-05T00:00:00"/>
    <x v="5"/>
    <s v="Resgate"/>
    <x v="0"/>
    <x v="2"/>
    <x v="3"/>
    <s v="B.B."/>
    <n v="1998"/>
  </r>
  <r>
    <n v="226"/>
    <d v="2026-05-06T00:00:00"/>
    <x v="5"/>
    <s v="Tarifa Pacote de Serviços"/>
    <x v="2"/>
    <x v="4"/>
    <x v="5"/>
    <s v="B.B."/>
    <n v="-93.1"/>
  </r>
  <r>
    <n v="227"/>
    <d v="2026-05-06T00:00:00"/>
    <x v="5"/>
    <s v="Resgate"/>
    <x v="0"/>
    <x v="2"/>
    <x v="3"/>
    <s v="B.B."/>
    <n v="93.1"/>
  </r>
  <r>
    <n v="228"/>
    <d v="2026-05-11T00:00:00"/>
    <x v="5"/>
    <s v="Honorario Contabeis"/>
    <x v="2"/>
    <x v="6"/>
    <x v="13"/>
    <s v="JJ Assessoria Contabil"/>
    <n v="-377"/>
  </r>
  <r>
    <n v="229"/>
    <d v="2026-05-11T00:00:00"/>
    <x v="5"/>
    <s v="Resgate"/>
    <x v="0"/>
    <x v="2"/>
    <x v="3"/>
    <s v="B.B."/>
    <n v="377"/>
  </r>
  <r>
    <n v="230"/>
    <d v="2026-06-05T00:00:00"/>
    <x v="5"/>
    <s v="Honorario Contabeis"/>
    <x v="2"/>
    <x v="6"/>
    <x v="13"/>
    <s v="Essencial Gestao Empresarial LTDA"/>
    <n v="-377"/>
  </r>
  <r>
    <n v="231"/>
    <d v="2026-06-05T00:00:00"/>
    <x v="5"/>
    <s v="Honorario Contabeis"/>
    <x v="2"/>
    <x v="6"/>
    <x v="13"/>
    <s v="Essencial Gestao Empresarial LTDA"/>
    <n v="-1621"/>
  </r>
  <r>
    <n v="232"/>
    <d v="2026-06-05T00:00:00"/>
    <x v="5"/>
    <s v="Tarifa Pacote de Serviços"/>
    <x v="2"/>
    <x v="4"/>
    <x v="5"/>
    <s v="B.B."/>
    <n v="-93.1"/>
  </r>
  <r>
    <n v="233"/>
    <d v="2026-06-05T00:00:00"/>
    <x v="5"/>
    <s v="Resgate"/>
    <x v="0"/>
    <x v="2"/>
    <x v="3"/>
    <s v="B.B."/>
    <n v="2091.1"/>
  </r>
  <r>
    <n v="234"/>
    <d v="2026-06-10T00:00:00"/>
    <x v="5"/>
    <s v="Honorario Contabeis"/>
    <x v="2"/>
    <x v="6"/>
    <x v="13"/>
    <s v="JJ Assessoria Contabil"/>
    <n v="-377"/>
  </r>
  <r>
    <n v="235"/>
    <d v="2026-06-10T00:00:00"/>
    <x v="5"/>
    <s v="Resgate"/>
    <x v="0"/>
    <x v="2"/>
    <x v="3"/>
    <s v="B.B."/>
    <n v="377"/>
  </r>
  <r>
    <n v="236"/>
    <d v="2026-06-17T00:00:00"/>
    <x v="5"/>
    <s v="Domiciliazione societaria"/>
    <x v="2"/>
    <x v="6"/>
    <x v="9"/>
    <s v="Seahub Coworking"/>
    <n v="-935.39"/>
  </r>
  <r>
    <n v="237"/>
    <d v="2026-06-17T00:00:00"/>
    <x v="5"/>
    <s v="Resgate"/>
    <x v="0"/>
    <x v="2"/>
    <x v="3"/>
    <s v="B.B."/>
    <n v="935.39"/>
  </r>
  <r>
    <n v="238"/>
    <d v="2026-07-06T00:00:00"/>
    <x v="5"/>
    <s v="Tarifa Pacote de Serviços"/>
    <x v="2"/>
    <x v="4"/>
    <x v="5"/>
    <s v="B.B."/>
    <n v="-93.1"/>
  </r>
  <r>
    <n v="239"/>
    <d v="2026-07-06T00:00:00"/>
    <x v="5"/>
    <s v="Resgate"/>
    <x v="0"/>
    <x v="2"/>
    <x v="3"/>
    <s v="B.B."/>
    <n v="93.1"/>
  </r>
  <r>
    <n v="240"/>
    <d v="2026-07-10T00:00:00"/>
    <x v="5"/>
    <s v="Honorario Contabeis"/>
    <x v="2"/>
    <x v="6"/>
    <x v="13"/>
    <s v="Essencial Gestao Empresarial LTDA"/>
    <n v="-377"/>
  </r>
  <r>
    <n v="241"/>
    <d v="2026-07-10T00:00:00"/>
    <x v="5"/>
    <s v="Honorario Contabeis"/>
    <x v="2"/>
    <x v="6"/>
    <x v="13"/>
    <s v="Essencial Gestao Empresarial LTDA"/>
    <n v="-1621"/>
  </r>
  <r>
    <n v="242"/>
    <d v="2026-07-10T00:00:00"/>
    <x v="5"/>
    <s v="Honorario Contabeis"/>
    <x v="2"/>
    <x v="6"/>
    <x v="13"/>
    <s v="JJ Assessoria Contabil"/>
    <n v="-377"/>
  </r>
  <r>
    <n v="243"/>
    <d v="2026-07-10T00:00:00"/>
    <x v="5"/>
    <s v="Resgate"/>
    <x v="0"/>
    <x v="2"/>
    <x v="3"/>
    <s v="B.B."/>
    <n v="2375"/>
  </r>
  <r>
    <n v="244"/>
    <d v="2026-08-05T00:00:00"/>
    <x v="5"/>
    <s v="Honorario Contabeis"/>
    <x v="2"/>
    <x v="6"/>
    <x v="13"/>
    <s v="Essencial Gestao Empresarial LTDA"/>
    <n v="-377"/>
  </r>
  <r>
    <n v="245"/>
    <d v="2026-08-05T00:00:00"/>
    <x v="5"/>
    <s v="Honorario Contabeis"/>
    <x v="2"/>
    <x v="6"/>
    <x v="13"/>
    <s v="Essencial Gestao Empresarial LTDA"/>
    <n v="-1621"/>
  </r>
  <r>
    <n v="246"/>
    <d v="2026-08-05T00:00:00"/>
    <x v="5"/>
    <s v="Tarifa Pacote de Serviços"/>
    <x v="2"/>
    <x v="4"/>
    <x v="5"/>
    <s v="B.B."/>
    <n v="-93.1"/>
  </r>
  <r>
    <n v="247"/>
    <d v="2026-08-05T00:00:00"/>
    <x v="5"/>
    <s v="Resgate"/>
    <x v="0"/>
    <x v="2"/>
    <x v="3"/>
    <s v="B.B."/>
    <n v="2091.1"/>
  </r>
  <r>
    <n v="248"/>
    <d v="2026-08-10T00:00:00"/>
    <x v="5"/>
    <s v="Honorario Contabeis"/>
    <x v="2"/>
    <x v="6"/>
    <x v="13"/>
    <s v="JJ Assessoria Contabil"/>
    <n v="-377"/>
  </r>
  <r>
    <n v="249"/>
    <d v="2026-08-10T00:00:00"/>
    <x v="5"/>
    <s v="Resgate"/>
    <x v="0"/>
    <x v="2"/>
    <x v="3"/>
    <s v="B.B."/>
    <n v="377"/>
  </r>
  <r>
    <n v="250"/>
    <d v="2026-08-28T00:00:00"/>
    <x v="5"/>
    <s v="Pagamento contratto affitto"/>
    <x v="1"/>
    <x v="1"/>
    <x v="1"/>
    <s v="140852-6 SCP - JM EMPREENDIMENTOS IMOBILIARIO SCP LTDA"/>
    <n v="21578.02"/>
  </r>
  <r>
    <n v="251"/>
    <d v="2026-09-04T00:00:00"/>
    <x v="5"/>
    <s v="Honorario Contabeis"/>
    <x v="2"/>
    <x v="6"/>
    <x v="13"/>
    <s v="LT Soluçoes Corporativas e Contabeis"/>
    <n v="-377"/>
  </r>
  <r>
    <n v="252"/>
    <d v="2026-09-04T00:00:00"/>
    <x v="5"/>
    <s v="Honorario Contabeis"/>
    <x v="2"/>
    <x v="6"/>
    <x v="13"/>
    <s v="LT Soluçoes Corporativas e Contabeis"/>
    <n v="-1621"/>
  </r>
  <r>
    <n v="253"/>
    <d v="2026-09-08T00:00:00"/>
    <x v="5"/>
    <s v="Tarifa Pacote de Serviços"/>
    <x v="2"/>
    <x v="4"/>
    <x v="5"/>
    <s v="B.B."/>
    <n v="-93.1"/>
  </r>
  <r>
    <n v="254"/>
    <d v="2026-09-10T00:00:00"/>
    <x v="5"/>
    <s v="Honorario Contabeis"/>
    <x v="2"/>
    <x v="6"/>
    <x v="13"/>
    <s v="JJ Assessoria Contabil"/>
    <n v="-361.31"/>
  </r>
  <r>
    <n v="255"/>
    <d v="2026-09-30T00:00:00"/>
    <x v="5"/>
    <s v="Pagamento contratto affitto"/>
    <x v="1"/>
    <x v="1"/>
    <x v="1"/>
    <s v="140852-6 SCP - JM EMPREENDIMENTOS IMOBILIARIO SCP LTDA"/>
    <n v="21578.02"/>
  </r>
  <r>
    <n v="1"/>
    <d v="2021-11-30T00:00:00"/>
    <x v="0"/>
    <s v="saldo anterior"/>
    <x v="0"/>
    <x v="0"/>
    <x v="0"/>
    <m/>
    <n v="0"/>
  </r>
  <r>
    <n v="2"/>
    <d v="2021-12-23T00:00:00"/>
    <x v="0"/>
    <s v="Aplicaçao"/>
    <x v="0"/>
    <x v="2"/>
    <x v="2"/>
    <s v="B.B."/>
    <n v="600000"/>
  </r>
  <r>
    <n v="3"/>
    <d v="2021-12-28T00:00:00"/>
    <x v="0"/>
    <s v="Resgate"/>
    <x v="0"/>
    <x v="2"/>
    <x v="3"/>
    <s v="B.B."/>
    <n v="-600000"/>
  </r>
  <r>
    <n v="4"/>
    <d v="2021-12-31T00:00:00"/>
    <x v="0"/>
    <s v="Rendimento Bruto"/>
    <x v="1"/>
    <x v="8"/>
    <x v="17"/>
    <m/>
    <n v="536.34"/>
  </r>
  <r>
    <n v="5"/>
    <d v="2021-12-31T00:00:00"/>
    <x v="0"/>
    <s v="Imposto de Renda"/>
    <x v="2"/>
    <x v="5"/>
    <x v="18"/>
    <m/>
    <n v="-20.5"/>
  </r>
  <r>
    <n v="6"/>
    <d v="2021-12-31T00:00:00"/>
    <x v="0"/>
    <s v="I.O.F."/>
    <x v="2"/>
    <x v="5"/>
    <x v="19"/>
    <m/>
    <n v="-445.05"/>
  </r>
  <r>
    <n v="7"/>
    <d v="2022-01-05T00:00:00"/>
    <x v="1"/>
    <s v="Resgate"/>
    <x v="0"/>
    <x v="9"/>
    <x v="3"/>
    <s v="B.B."/>
    <n v="-60"/>
  </r>
  <r>
    <n v="8"/>
    <d v="2022-01-31T00:00:00"/>
    <x v="1"/>
    <s v="Rendimento Bruto"/>
    <x v="1"/>
    <x v="8"/>
    <x v="17"/>
    <m/>
    <n v="0.13"/>
  </r>
  <r>
    <n v="9"/>
    <d v="2022-01-31T00:00:00"/>
    <x v="1"/>
    <s v="Imposto de Renda"/>
    <x v="2"/>
    <x v="5"/>
    <x v="18"/>
    <m/>
    <n v="-0.01"/>
  </r>
  <r>
    <n v="10"/>
    <d v="2022-01-31T00:00:00"/>
    <x v="1"/>
    <s v="I.O.F."/>
    <x v="2"/>
    <x v="5"/>
    <x v="19"/>
    <m/>
    <n v="-0.08"/>
  </r>
  <r>
    <n v="11"/>
    <d v="2022-02-07T00:00:00"/>
    <x v="1"/>
    <s v="Resgate"/>
    <x v="0"/>
    <x v="9"/>
    <x v="3"/>
    <s v="B.B."/>
    <n v="-10.82"/>
  </r>
  <r>
    <n v="12"/>
    <d v="2022-02-25T00:00:00"/>
    <x v="1"/>
    <s v="Rendimento Bruto"/>
    <x v="1"/>
    <x v="8"/>
    <x v="17"/>
    <m/>
    <n v="0.01"/>
  </r>
  <r>
    <n v="13"/>
    <d v="2022-02-25T00:00:00"/>
    <x v="1"/>
    <s v="Imposto de Renda"/>
    <x v="2"/>
    <x v="5"/>
    <x v="18"/>
    <m/>
    <n v="-0.02"/>
  </r>
  <r>
    <n v="14"/>
    <d v="2022-06-23T00:00:00"/>
    <x v="1"/>
    <s v="Aplicaçao"/>
    <x v="0"/>
    <x v="2"/>
    <x v="2"/>
    <s v="B.B."/>
    <n v="583210.91"/>
  </r>
  <r>
    <n v="15"/>
    <d v="2022-06-30T00:00:00"/>
    <x v="1"/>
    <s v="Rendimento Bruto"/>
    <x v="1"/>
    <x v="8"/>
    <x v="17"/>
    <m/>
    <n v="1207.0999999999999"/>
  </r>
  <r>
    <n v="16"/>
    <d v="2022-07-06T00:00:00"/>
    <x v="1"/>
    <s v="Resgate"/>
    <x v="0"/>
    <x v="9"/>
    <x v="3"/>
    <s v="B.B."/>
    <n v="-66"/>
  </r>
  <r>
    <n v="17"/>
    <d v="2022-07-29T00:00:00"/>
    <x v="1"/>
    <s v="Rendimento Bruto"/>
    <x v="1"/>
    <x v="8"/>
    <x v="17"/>
    <m/>
    <n v="5089.3900000000003"/>
  </r>
  <r>
    <n v="18"/>
    <d v="2022-07-29T00:00:00"/>
    <x v="1"/>
    <s v="Imposto de Renda"/>
    <x v="2"/>
    <x v="5"/>
    <x v="18"/>
    <m/>
    <n v="-0.02"/>
  </r>
  <r>
    <n v="19"/>
    <d v="2022-07-29T00:00:00"/>
    <x v="1"/>
    <s v="I.O.F."/>
    <x v="2"/>
    <x v="5"/>
    <x v="19"/>
    <m/>
    <n v="-0.13"/>
  </r>
  <r>
    <n v="20"/>
    <d v="2022-08-05T00:00:00"/>
    <x v="1"/>
    <s v="Resgate"/>
    <x v="0"/>
    <x v="9"/>
    <x v="3"/>
    <s v="B.B."/>
    <n v="-66"/>
  </r>
  <r>
    <n v="21"/>
    <d v="2022-08-31T00:00:00"/>
    <x v="1"/>
    <s v="Rendimento Bruto"/>
    <x v="1"/>
    <x v="8"/>
    <x v="17"/>
    <m/>
    <n v="5849.96"/>
  </r>
  <r>
    <n v="22"/>
    <d v="2022-08-31T00:00:00"/>
    <x v="1"/>
    <s v="Imposto de Renda"/>
    <x v="2"/>
    <x v="5"/>
    <x v="18"/>
    <m/>
    <n v="-0.18"/>
  </r>
  <r>
    <n v="23"/>
    <d v="2022-09-05T00:00:00"/>
    <x v="1"/>
    <s v="Resgate"/>
    <x v="0"/>
    <x v="9"/>
    <x v="3"/>
    <s v="B.B."/>
    <n v="-66"/>
  </r>
  <r>
    <n v="24"/>
    <d v="2022-09-30T00:00:00"/>
    <x v="1"/>
    <s v="Rendimento Bruto"/>
    <x v="1"/>
    <x v="8"/>
    <x v="17"/>
    <m/>
    <n v="5442.88"/>
  </r>
  <r>
    <n v="25"/>
    <d v="2022-09-30T00:00:00"/>
    <x v="1"/>
    <s v="Imposto de Renda"/>
    <x v="2"/>
    <x v="5"/>
    <x v="18"/>
    <m/>
    <n v="-0.32"/>
  </r>
  <r>
    <n v="26"/>
    <d v="2022-10-05T00:00:00"/>
    <x v="1"/>
    <s v="Resgate"/>
    <x v="0"/>
    <x v="9"/>
    <x v="3"/>
    <s v="B.B."/>
    <n v="-66"/>
  </r>
  <r>
    <n v="27"/>
    <d v="2022-10-31T00:00:00"/>
    <x v="1"/>
    <s v="Rendimento Bruto"/>
    <x v="1"/>
    <x v="8"/>
    <x v="17"/>
    <m/>
    <n v="5248.75"/>
  </r>
  <r>
    <n v="28"/>
    <d v="2022-10-31T00:00:00"/>
    <x v="1"/>
    <s v="Imposto de Renda"/>
    <x v="2"/>
    <x v="5"/>
    <x v="18"/>
    <m/>
    <n v="-0.45"/>
  </r>
  <r>
    <n v="29"/>
    <d v="2022-11-07T00:00:00"/>
    <x v="1"/>
    <s v="Resgate"/>
    <x v="0"/>
    <x v="9"/>
    <x v="3"/>
    <s v="B.B."/>
    <n v="-66"/>
  </r>
  <r>
    <n v="30"/>
    <d v="2022-11-30T00:00:00"/>
    <x v="1"/>
    <s v="Rendimento Bruto"/>
    <x v="1"/>
    <x v="8"/>
    <x v="17"/>
    <m/>
    <n v="5202.7700000000004"/>
  </r>
  <r>
    <n v="31"/>
    <d v="2022-11-30T00:00:00"/>
    <x v="1"/>
    <s v="Imposto de Renda"/>
    <x v="2"/>
    <x v="5"/>
    <x v="18"/>
    <m/>
    <n v="-5607.32"/>
  </r>
  <r>
    <n v="32"/>
    <d v="2022-12-05T00:00:00"/>
    <x v="1"/>
    <s v="Resgate"/>
    <x v="0"/>
    <x v="9"/>
    <x v="3"/>
    <s v="B.B."/>
    <n v="-66"/>
  </r>
  <r>
    <n v="33"/>
    <d v="2022-12-23T00:00:00"/>
    <x v="1"/>
    <s v="Resgate"/>
    <x v="0"/>
    <x v="6"/>
    <x v="3"/>
    <s v="B.B."/>
    <n v="-1050"/>
  </r>
  <r>
    <n v="34"/>
    <d v="2022-12-30T00:00:00"/>
    <x v="1"/>
    <s v="Rendimento Bruto"/>
    <x v="1"/>
    <x v="8"/>
    <x v="17"/>
    <m/>
    <n v="5739.48"/>
  </r>
  <r>
    <n v="35"/>
    <d v="2022-12-30T00:00:00"/>
    <x v="1"/>
    <s v="Imposto de Renda"/>
    <x v="2"/>
    <x v="5"/>
    <x v="18"/>
    <m/>
    <n v="-1.61"/>
  </r>
  <r>
    <n v="36"/>
    <d v="2023-01-31T00:00:00"/>
    <x v="2"/>
    <s v="Rendimento Bruto"/>
    <x v="1"/>
    <x v="8"/>
    <x v="17"/>
    <m/>
    <n v="5802.12"/>
  </r>
  <r>
    <n v="37"/>
    <d v="2023-02-01T00:00:00"/>
    <x v="2"/>
    <s v="Aplicaçao"/>
    <x v="0"/>
    <x v="2"/>
    <x v="2"/>
    <s v="B.B."/>
    <n v="255040.77"/>
  </r>
  <r>
    <n v="38"/>
    <d v="2023-02-06T00:00:00"/>
    <x v="2"/>
    <s v="Resgate"/>
    <x v="0"/>
    <x v="9"/>
    <x v="3"/>
    <s v="B.B."/>
    <n v="-69"/>
  </r>
  <r>
    <n v="39"/>
    <d v="2023-02-28T00:00:00"/>
    <x v="2"/>
    <s v="Rendimento Bruto"/>
    <x v="1"/>
    <x v="8"/>
    <x v="17"/>
    <m/>
    <n v="6703"/>
  </r>
  <r>
    <n v="40"/>
    <d v="2023-02-28T00:00:00"/>
    <x v="2"/>
    <s v="Imposto de Renda"/>
    <x v="2"/>
    <x v="5"/>
    <x v="18"/>
    <m/>
    <n v="-0.28000000000000003"/>
  </r>
  <r>
    <n v="41"/>
    <d v="2023-03-06T00:00:00"/>
    <x v="2"/>
    <s v="Resgate"/>
    <x v="0"/>
    <x v="9"/>
    <x v="3"/>
    <s v="B.B."/>
    <n v="-69"/>
  </r>
  <r>
    <n v="42"/>
    <d v="2023-03-31T00:00:00"/>
    <x v="2"/>
    <s v="Rendimento Bruto"/>
    <x v="1"/>
    <x v="8"/>
    <x v="17"/>
    <m/>
    <n v="8678.4500000000007"/>
  </r>
  <r>
    <n v="43"/>
    <d v="2023-03-31T00:00:00"/>
    <x v="2"/>
    <s v="Imposto de Renda"/>
    <x v="2"/>
    <x v="5"/>
    <x v="18"/>
    <m/>
    <n v="-0.38"/>
  </r>
  <r>
    <n v="44"/>
    <d v="2023-04-06T00:00:00"/>
    <x v="2"/>
    <s v="Resgate"/>
    <x v="0"/>
    <x v="9"/>
    <x v="3"/>
    <s v="B.B."/>
    <n v="-69"/>
  </r>
  <r>
    <n v="45"/>
    <d v="2023-04-30T00:00:00"/>
    <x v="2"/>
    <s v="Rendimento Bruto"/>
    <x v="1"/>
    <x v="8"/>
    <x v="17"/>
    <m/>
    <n v="6760.43"/>
  </r>
  <r>
    <n v="46"/>
    <d v="2023-04-30T00:00:00"/>
    <x v="2"/>
    <s v="Imposto de Renda"/>
    <x v="2"/>
    <x v="5"/>
    <x v="18"/>
    <m/>
    <n v="-0.52"/>
  </r>
  <r>
    <n v="47"/>
    <d v="2023-05-05T00:00:00"/>
    <x v="2"/>
    <s v="Resgate"/>
    <x v="0"/>
    <x v="9"/>
    <x v="3"/>
    <s v="B.B."/>
    <n v="-69"/>
  </r>
  <r>
    <n v="48"/>
    <d v="2023-05-31T00:00:00"/>
    <x v="2"/>
    <s v="Resgate"/>
    <x v="0"/>
    <x v="6"/>
    <x v="3"/>
    <s v="B.B."/>
    <n v="-850"/>
  </r>
  <r>
    <n v="49"/>
    <d v="2023-05-31T00:00:00"/>
    <x v="2"/>
    <s v="Rendimento Bruto"/>
    <x v="1"/>
    <x v="8"/>
    <x v="17"/>
    <m/>
    <n v="8579.24"/>
  </r>
  <r>
    <n v="50"/>
    <d v="2023-05-31T00:00:00"/>
    <x v="2"/>
    <s v="Imposto de Renda"/>
    <x v="2"/>
    <x v="5"/>
    <x v="18"/>
    <m/>
    <n v="-8449.81"/>
  </r>
  <r>
    <n v="51"/>
    <d v="2023-06-05T00:00:00"/>
    <x v="2"/>
    <s v="Resgate"/>
    <x v="0"/>
    <x v="9"/>
    <x v="3"/>
    <s v="B.B."/>
    <n v="-69"/>
  </r>
  <r>
    <n v="52"/>
    <d v="2023-06-30T00:00:00"/>
    <x v="2"/>
    <s v="Rendimento Bruto"/>
    <x v="1"/>
    <x v="8"/>
    <x v="17"/>
    <m/>
    <n v="8186.54"/>
  </r>
  <r>
    <n v="53"/>
    <d v="2023-06-30T00:00:00"/>
    <x v="2"/>
    <s v="Imposto de Renda"/>
    <x v="2"/>
    <x v="5"/>
    <x v="18"/>
    <m/>
    <n v="-0.01"/>
  </r>
  <r>
    <n v="54"/>
    <d v="2023-07-05T00:00:00"/>
    <x v="2"/>
    <s v="Resgate"/>
    <x v="0"/>
    <x v="9"/>
    <x v="3"/>
    <s v="B.B."/>
    <n v="-69"/>
  </r>
  <r>
    <n v="55"/>
    <d v="2023-07-17T00:00:00"/>
    <x v="2"/>
    <s v="Resgate"/>
    <x v="0"/>
    <x v="6"/>
    <x v="3"/>
    <s v="B.B."/>
    <n v="-1200"/>
  </r>
  <r>
    <n v="56"/>
    <d v="2023-07-31T00:00:00"/>
    <x v="2"/>
    <s v="Rendimento Bruto"/>
    <x v="1"/>
    <x v="8"/>
    <x v="17"/>
    <m/>
    <n v="8120.11"/>
  </r>
  <r>
    <n v="57"/>
    <d v="2023-07-31T00:00:00"/>
    <x v="2"/>
    <s v="Imposto de Renda"/>
    <x v="2"/>
    <x v="5"/>
    <x v="18"/>
    <m/>
    <n v="-3.43"/>
  </r>
  <r>
    <n v="58"/>
    <d v="2023-08-07T00:00:00"/>
    <x v="2"/>
    <s v="Resgate"/>
    <x v="0"/>
    <x v="9"/>
    <x v="3"/>
    <s v="B.B."/>
    <n v="-69"/>
  </r>
  <r>
    <n v="59"/>
    <d v="2023-08-31T00:00:00"/>
    <x v="2"/>
    <s v="Rendimento Bruto"/>
    <x v="1"/>
    <x v="8"/>
    <x v="17"/>
    <m/>
    <n v="8757.9699999999993"/>
  </r>
  <r>
    <n v="60"/>
    <d v="2023-08-31T00:00:00"/>
    <x v="2"/>
    <s v="Imposto de Renda"/>
    <x v="2"/>
    <x v="5"/>
    <x v="18"/>
    <m/>
    <n v="-0.27"/>
  </r>
  <r>
    <n v="61"/>
    <d v="2023-09-05T00:00:00"/>
    <x v="2"/>
    <s v="Resgate"/>
    <x v="0"/>
    <x v="9"/>
    <x v="3"/>
    <s v="B.B."/>
    <n v="-69"/>
  </r>
  <r>
    <n v="62"/>
    <d v="2023-09-30T00:00:00"/>
    <x v="2"/>
    <s v="Rendimento Bruto"/>
    <x v="1"/>
    <x v="8"/>
    <x v="17"/>
    <m/>
    <n v="7511.27"/>
  </r>
  <r>
    <n v="63"/>
    <d v="2023-09-30T00:00:00"/>
    <x v="2"/>
    <s v="Imposto de Renda"/>
    <x v="2"/>
    <x v="5"/>
    <x v="18"/>
    <m/>
    <n v="-0.39"/>
  </r>
  <r>
    <n v="64"/>
    <d v="2023-10-05T00:00:00"/>
    <x v="2"/>
    <s v="Resgate"/>
    <x v="0"/>
    <x v="9"/>
    <x v="3"/>
    <s v="B.B."/>
    <n v="-69"/>
  </r>
  <r>
    <n v="65"/>
    <d v="2023-10-31T00:00:00"/>
    <x v="2"/>
    <s v="Rendimento Bruto"/>
    <x v="1"/>
    <x v="8"/>
    <x v="17"/>
    <m/>
    <n v="7588.9"/>
  </r>
  <r>
    <n v="66"/>
    <d v="2023-10-31T00:00:00"/>
    <x v="2"/>
    <s v="Imposto de Renda"/>
    <x v="2"/>
    <x v="5"/>
    <x v="18"/>
    <m/>
    <n v="-0.51"/>
  </r>
  <r>
    <n v="67"/>
    <d v="2023-11-06T00:00:00"/>
    <x v="2"/>
    <s v="Resgate"/>
    <x v="0"/>
    <x v="9"/>
    <x v="3"/>
    <s v="B.B."/>
    <n v="-69"/>
  </r>
  <r>
    <n v="68"/>
    <d v="2023-11-30T00:00:00"/>
    <x v="2"/>
    <s v="Rendimento Bruto"/>
    <x v="1"/>
    <x v="8"/>
    <x v="17"/>
    <m/>
    <n v="7053.29"/>
  </r>
  <r>
    <n v="69"/>
    <d v="2023-11-30T00:00:00"/>
    <x v="2"/>
    <s v="Imposto de Renda"/>
    <x v="2"/>
    <x v="5"/>
    <x v="18"/>
    <m/>
    <n v="-9438.9699999999993"/>
  </r>
  <r>
    <n v="70"/>
    <d v="2023-12-05T00:00:00"/>
    <x v="2"/>
    <s v="Resgate"/>
    <x v="0"/>
    <x v="9"/>
    <x v="3"/>
    <s v="B.B."/>
    <n v="-72"/>
  </r>
  <r>
    <n v="71"/>
    <d v="2023-12-31T00:00:00"/>
    <x v="2"/>
    <s v="Rendimento Bruto"/>
    <x v="1"/>
    <x v="8"/>
    <x v="17"/>
    <m/>
    <n v="6908.87"/>
  </r>
  <r>
    <n v="72"/>
    <d v="2023-12-31T00:00:00"/>
    <x v="2"/>
    <s v="Imposto de Renda"/>
    <x v="2"/>
    <x v="5"/>
    <x v="18"/>
    <m/>
    <n v="-0.01"/>
  </r>
  <r>
    <n v="73"/>
    <d v="2024-01-05T00:00:00"/>
    <x v="3"/>
    <s v="Resgate"/>
    <x v="0"/>
    <x v="9"/>
    <x v="3"/>
    <s v="B.B."/>
    <n v="-72"/>
  </r>
  <r>
    <n v="74"/>
    <d v="2024-01-31T00:00:00"/>
    <x v="3"/>
    <s v="Rendimento Bruto"/>
    <x v="1"/>
    <x v="8"/>
    <x v="17"/>
    <m/>
    <n v="7451.07"/>
  </r>
  <r>
    <n v="75"/>
    <d v="2024-01-31T00:00:00"/>
    <x v="3"/>
    <s v="Imposto de Renda"/>
    <x v="2"/>
    <x v="5"/>
    <x v="18"/>
    <m/>
    <n v="-0.12"/>
  </r>
  <r>
    <n v="76"/>
    <d v="2024-02-29T00:00:00"/>
    <x v="3"/>
    <s v="Rendimento Bruto"/>
    <x v="1"/>
    <x v="8"/>
    <x v="17"/>
    <m/>
    <n v="6186.6"/>
  </r>
  <r>
    <n v="77"/>
    <d v="2024-02-29T00:00:00"/>
    <x v="3"/>
    <s v="Imposto de Renda"/>
    <x v="2"/>
    <x v="5"/>
    <x v="18"/>
    <m/>
    <n v="0"/>
  </r>
  <r>
    <n v="78"/>
    <d v="2024-03-31T00:00:00"/>
    <x v="3"/>
    <s v="Rendimento Bruto"/>
    <x v="1"/>
    <x v="8"/>
    <x v="17"/>
    <m/>
    <n v="6441.49"/>
  </r>
  <r>
    <n v="79"/>
    <d v="2024-03-31T00:00:00"/>
    <x v="3"/>
    <s v="Imposto de Renda"/>
    <x v="2"/>
    <x v="5"/>
    <x v="18"/>
    <m/>
    <n v="0"/>
  </r>
  <r>
    <n v="80"/>
    <d v="2024-04-03T00:00:00"/>
    <x v="3"/>
    <s v="Resgate"/>
    <x v="0"/>
    <x v="6"/>
    <x v="3"/>
    <s v="B.B."/>
    <n v="-817.6"/>
  </r>
  <r>
    <n v="81"/>
    <d v="2024-04-05T00:00:00"/>
    <x v="3"/>
    <s v="Resgate"/>
    <x v="0"/>
    <x v="9"/>
    <x v="3"/>
    <s v="B.B."/>
    <n v="-72"/>
  </r>
  <r>
    <n v="82"/>
    <d v="2024-04-30T00:00:00"/>
    <x v="3"/>
    <s v="Rendimento Bruto"/>
    <x v="1"/>
    <x v="8"/>
    <x v="17"/>
    <m/>
    <n v="6826.21"/>
  </r>
  <r>
    <n v="83"/>
    <d v="2024-04-30T00:00:00"/>
    <x v="3"/>
    <s v="Imposto de Renda"/>
    <x v="2"/>
    <x v="5"/>
    <x v="18"/>
    <m/>
    <n v="-5.23"/>
  </r>
  <r>
    <n v="84"/>
    <d v="2024-05-06T00:00:00"/>
    <x v="3"/>
    <s v="Resgate"/>
    <x v="0"/>
    <x v="9"/>
    <x v="3"/>
    <s v="B.B."/>
    <n v="-72"/>
  </r>
  <r>
    <n v="85"/>
    <d v="2024-05-29T00:00:00"/>
    <x v="3"/>
    <s v="Resgate"/>
    <x v="0"/>
    <x v="9"/>
    <x v="3"/>
    <s v="B.B."/>
    <n v="-1049.08"/>
  </r>
  <r>
    <n v="86"/>
    <d v="2024-05-31T00:00:00"/>
    <x v="3"/>
    <s v="Rendimento Bruto"/>
    <x v="1"/>
    <x v="8"/>
    <x v="17"/>
    <m/>
    <n v="6405.87"/>
  </r>
  <r>
    <n v="87"/>
    <d v="2024-05-31T00:00:00"/>
    <x v="3"/>
    <s v="Imposto de Renda"/>
    <x v="2"/>
    <x v="5"/>
    <x v="18"/>
    <m/>
    <n v="-7979.17"/>
  </r>
  <r>
    <n v="88"/>
    <d v="2024-06-05T00:00:00"/>
    <x v="3"/>
    <s v="Resgate"/>
    <x v="0"/>
    <x v="9"/>
    <x v="3"/>
    <s v="B.B."/>
    <n v="-72"/>
  </r>
  <r>
    <n v="89"/>
    <d v="2024-06-28T00:00:00"/>
    <x v="3"/>
    <s v="Rendimento Bruto"/>
    <x v="1"/>
    <x v="8"/>
    <x v="17"/>
    <m/>
    <n v="6084.94"/>
  </r>
  <r>
    <n v="90"/>
    <d v="2024-06-28T00:00:00"/>
    <x v="3"/>
    <s v="Imposto de Renda"/>
    <x v="2"/>
    <x v="5"/>
    <x v="18"/>
    <m/>
    <n v="-0.01"/>
  </r>
  <r>
    <n v="91"/>
    <d v="2024-07-05T00:00:00"/>
    <x v="3"/>
    <s v="Resgate"/>
    <x v="0"/>
    <x v="0"/>
    <x v="3"/>
    <s v="B.B."/>
    <n v="-922"/>
  </r>
  <r>
    <n v="92"/>
    <d v="2024-07-31T00:00:00"/>
    <x v="3"/>
    <s v="Rendimento Bruto"/>
    <x v="1"/>
    <x v="8"/>
    <x v="17"/>
    <m/>
    <n v="7046.15"/>
  </r>
  <r>
    <n v="93"/>
    <d v="2024-07-31T00:00:00"/>
    <x v="3"/>
    <s v="Imposto de Renda"/>
    <x v="2"/>
    <x v="5"/>
    <x v="18"/>
    <m/>
    <n v="-1.51"/>
  </r>
  <r>
    <n v="94"/>
    <d v="2024-08-05T00:00:00"/>
    <x v="3"/>
    <s v="Resgate"/>
    <x v="0"/>
    <x v="9"/>
    <x v="3"/>
    <s v="B.B."/>
    <n v="-73.8"/>
  </r>
  <r>
    <n v="95"/>
    <d v="2024-08-31T00:00:00"/>
    <x v="3"/>
    <s v="Rendimento Bruto"/>
    <x v="1"/>
    <x v="8"/>
    <x v="17"/>
    <m/>
    <n v="6811.3"/>
  </r>
  <r>
    <n v="96"/>
    <d v="2024-08-31T00:00:00"/>
    <x v="3"/>
    <s v="Imposto de Renda"/>
    <x v="2"/>
    <x v="5"/>
    <x v="18"/>
    <m/>
    <n v="-0.21"/>
  </r>
  <r>
    <n v="97"/>
    <d v="2024-09-05T00:00:00"/>
    <x v="3"/>
    <s v="Resgate"/>
    <x v="0"/>
    <x v="9"/>
    <x v="3"/>
    <s v="B.B."/>
    <n v="-73.8"/>
  </r>
  <r>
    <n v="98"/>
    <d v="2024-09-30T00:00:00"/>
    <x v="3"/>
    <s v="Rendimento Bruto"/>
    <x v="1"/>
    <x v="8"/>
    <x v="17"/>
    <m/>
    <n v="6574.94"/>
  </r>
  <r>
    <n v="99"/>
    <d v="2024-09-30T00:00:00"/>
    <x v="3"/>
    <s v="Imposto de Renda"/>
    <x v="2"/>
    <x v="5"/>
    <x v="18"/>
    <m/>
    <n v="-0.32"/>
  </r>
  <r>
    <n v="100"/>
    <d v="2024-10-07T00:00:00"/>
    <x v="3"/>
    <s v="Resgate"/>
    <x v="0"/>
    <x v="9"/>
    <x v="3"/>
    <s v="B.B."/>
    <n v="-73.8"/>
  </r>
  <r>
    <n v="101"/>
    <d v="2024-10-31T00:00:00"/>
    <x v="3"/>
    <s v="Resgate"/>
    <x v="0"/>
    <x v="6"/>
    <x v="3"/>
    <s v="B.B."/>
    <n v="-184"/>
  </r>
  <r>
    <n v="102"/>
    <d v="2024-10-31T00:00:00"/>
    <x v="3"/>
    <s v="Rendimento Bruto"/>
    <x v="1"/>
    <x v="8"/>
    <x v="17"/>
    <m/>
    <n v="7462.65"/>
  </r>
  <r>
    <n v="103"/>
    <d v="2024-10-31T00:00:00"/>
    <x v="3"/>
    <s v="Imposto de Renda"/>
    <x v="2"/>
    <x v="5"/>
    <x v="18"/>
    <m/>
    <n v="-1.71"/>
  </r>
  <r>
    <n v="102"/>
    <d v="2024-11-05T00:00:00"/>
    <x v="3"/>
    <s v="Resgate"/>
    <x v="0"/>
    <x v="9"/>
    <x v="3"/>
    <s v="B.B."/>
    <n v="-73.8"/>
  </r>
  <r>
    <n v="103"/>
    <d v="2024-11-07T00:00:00"/>
    <x v="3"/>
    <s v="Resgate"/>
    <x v="0"/>
    <x v="6"/>
    <x v="3"/>
    <s v="B.B."/>
    <n v="-421.6"/>
  </r>
  <r>
    <n v="104"/>
    <d v="2024-11-29T00:00:00"/>
    <x v="3"/>
    <s v="Resgate"/>
    <x v="0"/>
    <x v="6"/>
    <x v="3"/>
    <s v="B.B."/>
    <n v="-653"/>
  </r>
  <r>
    <n v="105"/>
    <d v="2024-11-29T00:00:00"/>
    <x v="3"/>
    <s v="Rendimento Bruto"/>
    <x v="1"/>
    <x v="8"/>
    <x v="17"/>
    <m/>
    <n v="6453.93"/>
  </r>
  <r>
    <n v="106"/>
    <d v="2024-11-29T00:00:00"/>
    <x v="3"/>
    <s v="Imposto de Renda"/>
    <x v="2"/>
    <x v="5"/>
    <x v="18"/>
    <m/>
    <n v="-8073.27"/>
  </r>
  <r>
    <n v="105"/>
    <d v="2024-12-05T00:00:00"/>
    <x v="3"/>
    <s v="Resgate"/>
    <x v="0"/>
    <x v="9"/>
    <x v="3"/>
    <s v="B.B."/>
    <n v="-73.8"/>
  </r>
  <r>
    <n v="106"/>
    <d v="2024-12-06T00:00:00"/>
    <x v="3"/>
    <s v="Resgate"/>
    <x v="0"/>
    <x v="6"/>
    <x v="3"/>
    <s v="B.B."/>
    <n v="-653"/>
  </r>
  <r>
    <n v="107"/>
    <d v="2024-12-09T00:00:00"/>
    <x v="3"/>
    <s v="Resgate"/>
    <x v="0"/>
    <x v="6"/>
    <x v="3"/>
    <s v="B.B."/>
    <n v="-6764.79"/>
  </r>
  <r>
    <n v="106"/>
    <d v="2024-12-10T00:00:00"/>
    <x v="3"/>
    <s v="Resgate"/>
    <x v="0"/>
    <x v="6"/>
    <x v="3"/>
    <s v="B.B."/>
    <n v="-7200"/>
  </r>
  <r>
    <n v="107"/>
    <d v="2024-12-23T00:00:00"/>
    <x v="3"/>
    <s v="Resgate"/>
    <x v="0"/>
    <x v="6"/>
    <x v="3"/>
    <s v="B.B."/>
    <n v="-3700"/>
  </r>
  <r>
    <n v="108"/>
    <d v="2024-12-31T00:00:00"/>
    <x v="3"/>
    <s v="Rendimento Bruto"/>
    <x v="1"/>
    <x v="8"/>
    <x v="17"/>
    <m/>
    <n v="7197.46"/>
  </r>
  <r>
    <n v="107"/>
    <d v="2024-12-31T00:00:00"/>
    <x v="3"/>
    <s v="Imposto de Renda"/>
    <x v="2"/>
    <x v="5"/>
    <x v="18"/>
    <m/>
    <n v="-11.8"/>
  </r>
  <r>
    <n v="108"/>
    <d v="2025-01-07T00:00:00"/>
    <x v="4"/>
    <s v="Resgate"/>
    <x v="0"/>
    <x v="9"/>
    <x v="3"/>
    <s v="B.B."/>
    <n v="-73.8"/>
  </r>
  <r>
    <n v="109"/>
    <d v="2025-01-10T00:00:00"/>
    <x v="4"/>
    <s v="Resgate"/>
    <x v="0"/>
    <x v="6"/>
    <x v="3"/>
    <s v="B.B."/>
    <n v="-653"/>
  </r>
  <r>
    <n v="110"/>
    <d v="2025-01-14T00:00:00"/>
    <x v="4"/>
    <s v="Resgate"/>
    <x v="0"/>
    <x v="6"/>
    <x v="3"/>
    <s v="B.B."/>
    <n v="-2498.14"/>
  </r>
  <r>
    <n v="111"/>
    <d v="2025-01-16T00:00:00"/>
    <x v="4"/>
    <s v="Resgate"/>
    <x v="0"/>
    <x v="6"/>
    <x v="3"/>
    <s v="B.B."/>
    <n v="-88.25"/>
  </r>
  <r>
    <n v="112"/>
    <d v="2025-01-31T00:00:00"/>
    <x v="4"/>
    <s v="Rendimento Bruto"/>
    <x v="1"/>
    <x v="8"/>
    <x v="17"/>
    <m/>
    <n v="8414.3700000000008"/>
  </r>
  <r>
    <n v="113"/>
    <d v="2025-01-31T00:00:00"/>
    <x v="4"/>
    <s v="Imposto de Renda"/>
    <x v="2"/>
    <x v="5"/>
    <x v="18"/>
    <m/>
    <n v="-7.35"/>
  </r>
  <r>
    <n v="114"/>
    <d v="2025-02-05T00:00:00"/>
    <x v="4"/>
    <s v="Resgate"/>
    <x v="0"/>
    <x v="6"/>
    <x v="3"/>
    <s v="B.B."/>
    <n v="-15892.58"/>
  </r>
  <r>
    <n v="115"/>
    <d v="2025-02-28T00:00:00"/>
    <x v="4"/>
    <s v="Rendimento Bruto"/>
    <x v="1"/>
    <x v="8"/>
    <x v="17"/>
    <m/>
    <n v="8031.03"/>
  </r>
  <r>
    <n v="116"/>
    <d v="2025-02-28T00:00:00"/>
    <x v="4"/>
    <s v="Imposto de Renda"/>
    <x v="2"/>
    <x v="5"/>
    <x v="18"/>
    <m/>
    <n v="-55.38"/>
  </r>
  <r>
    <n v="117"/>
    <d v="2025-03-31T00:00:00"/>
    <x v="4"/>
    <s v="Rendimento Bruto"/>
    <x v="1"/>
    <x v="8"/>
    <x v="17"/>
    <m/>
    <n v="7877.8"/>
  </r>
  <r>
    <n v="118"/>
    <d v="2025-03-31T00:00:00"/>
    <x v="4"/>
    <s v="Imposto de Renda"/>
    <x v="2"/>
    <x v="5"/>
    <x v="18"/>
    <m/>
    <n v="0"/>
  </r>
  <r>
    <n v="119"/>
    <d v="2025-04-30T00:00:00"/>
    <x v="4"/>
    <s v="Rendimento Bruto"/>
    <x v="1"/>
    <x v="8"/>
    <x v="17"/>
    <m/>
    <n v="8735.4"/>
  </r>
  <r>
    <n v="120"/>
    <d v="2025-04-30T00:00:00"/>
    <x v="4"/>
    <s v="Imposto de Renda"/>
    <x v="2"/>
    <x v="5"/>
    <x v="18"/>
    <m/>
    <n v="0"/>
  </r>
  <r>
    <n v="121"/>
    <d v="2025-05-31T00:00:00"/>
    <x v="4"/>
    <s v="Rendimento Bruto"/>
    <x v="1"/>
    <x v="8"/>
    <x v="17"/>
    <m/>
    <n v="9672.98"/>
  </r>
  <r>
    <n v="122"/>
    <d v="2025-05-31T00:00:00"/>
    <x v="4"/>
    <s v="Imposto de Renda"/>
    <x v="2"/>
    <x v="5"/>
    <x v="18"/>
    <m/>
    <n v="-9892.5400000000009"/>
  </r>
  <r>
    <n v="123"/>
    <d v="2025-06-17T00:00:00"/>
    <x v="4"/>
    <s v="Aplicaçao"/>
    <x v="0"/>
    <x v="2"/>
    <x v="2"/>
    <s v="B.B."/>
    <n v="247295.96"/>
  </r>
  <r>
    <n v="124"/>
    <d v="2025-06-23T00:00:00"/>
    <x v="4"/>
    <s v="Resgate"/>
    <x v="0"/>
    <x v="6"/>
    <x v="3"/>
    <s v="B.B."/>
    <n v="-353"/>
  </r>
  <r>
    <n v="125"/>
    <d v="2025-06-30T00:00:00"/>
    <x v="4"/>
    <s v="Rendimento Bruto"/>
    <x v="1"/>
    <x v="8"/>
    <x v="17"/>
    <m/>
    <n v="10247.64"/>
  </r>
  <r>
    <n v="126"/>
    <d v="2025-06-30T00:00:00"/>
    <x v="4"/>
    <s v="Imposto de Renda"/>
    <x v="2"/>
    <x v="5"/>
    <x v="18"/>
    <m/>
    <n v="-0.52"/>
  </r>
  <r>
    <n v="127"/>
    <d v="2025-07-07T00:00:00"/>
    <x v="4"/>
    <s v="Resgate"/>
    <x v="0"/>
    <x v="6"/>
    <x v="3"/>
    <s v="B.B."/>
    <n v="-75.400000000000006"/>
  </r>
  <r>
    <n v="128"/>
    <d v="2025-07-21T00:00:00"/>
    <x v="4"/>
    <s v="Resgate"/>
    <x v="0"/>
    <x v="6"/>
    <x v="3"/>
    <s v="B.B."/>
    <n v="-1006"/>
  </r>
  <r>
    <n v="129"/>
    <d v="2025-07-31T00:00:00"/>
    <x v="4"/>
    <s v="Rendimento Bruto"/>
    <x v="1"/>
    <x v="8"/>
    <x v="17"/>
    <m/>
    <n v="13746.39"/>
  </r>
  <r>
    <n v="130"/>
    <d v="2025-07-31T00:00:00"/>
    <x v="4"/>
    <s v="Imposto de Renda"/>
    <x v="2"/>
    <x v="5"/>
    <x v="18"/>
    <m/>
    <n v="-3.57"/>
  </r>
  <r>
    <n v="131"/>
    <d v="2025-08-05T00:00:00"/>
    <x v="4"/>
    <s v="Resgate"/>
    <x v="0"/>
    <x v="6"/>
    <x v="3"/>
    <s v="B.B."/>
    <n v="-728.4"/>
  </r>
  <r>
    <n v="132"/>
    <d v="2025-08-21T00:00:00"/>
    <x v="4"/>
    <s v="Resgate"/>
    <x v="0"/>
    <x v="6"/>
    <x v="3"/>
    <s v="B.B."/>
    <n v="-353"/>
  </r>
  <r>
    <n v="133"/>
    <d v="2025-08-22T00:00:00"/>
    <x v="4"/>
    <s v="Resgate"/>
    <x v="0"/>
    <x v="6"/>
    <x v="3"/>
    <s v="B.B."/>
    <n v="-600"/>
  </r>
  <r>
    <n v="134"/>
    <d v="2025-08-31T00:00:00"/>
    <x v="4"/>
    <s v="Rendimento Bruto"/>
    <x v="1"/>
    <x v="8"/>
    <x v="17"/>
    <m/>
    <n v="12573.89"/>
  </r>
  <r>
    <n v="135"/>
    <d v="2025-08-31T00:00:00"/>
    <x v="4"/>
    <s v="Imposto de Renda"/>
    <x v="2"/>
    <x v="5"/>
    <x v="18"/>
    <m/>
    <n v="-8.5299999999999994"/>
  </r>
  <r>
    <n v="136"/>
    <d v="2025-09-05T00:00:00"/>
    <x v="4"/>
    <s v="Resgate"/>
    <x v="0"/>
    <x v="6"/>
    <x v="3"/>
    <s v="B.B."/>
    <n v="-734.4"/>
  </r>
  <r>
    <n v="137"/>
    <d v="2025-09-10T00:00:00"/>
    <x v="4"/>
    <s v="Resgate"/>
    <x v="0"/>
    <x v="6"/>
    <x v="3"/>
    <s v="B.B."/>
    <n v="-353"/>
  </r>
  <r>
    <n v="138"/>
    <d v="2025-09-30T00:00:00"/>
    <x v="4"/>
    <s v="Rendimento Bruto"/>
    <x v="1"/>
    <x v="8"/>
    <x v="17"/>
    <m/>
    <n v="13347.57"/>
  </r>
  <r>
    <n v="139"/>
    <d v="2025-09-30T00:00:00"/>
    <x v="4"/>
    <s v="Imposto de Renda"/>
    <x v="2"/>
    <x v="5"/>
    <x v="18"/>
    <m/>
    <n v="-7.22"/>
  </r>
  <r>
    <n v="140"/>
    <d v="2025-10-02T00:00:00"/>
    <x v="4"/>
    <s v="Resgate"/>
    <x v="0"/>
    <x v="6"/>
    <x v="3"/>
    <s v="B.B."/>
    <n v="-1871"/>
  </r>
  <r>
    <n v="141"/>
    <d v="2025-10-06T00:00:00"/>
    <x v="4"/>
    <s v="Resgate"/>
    <x v="0"/>
    <x v="6"/>
    <x v="3"/>
    <s v="B.B."/>
    <n v="-81.400000000000006"/>
  </r>
  <r>
    <n v="142"/>
    <d v="2025-10-10T00:00:00"/>
    <x v="4"/>
    <s v="Resgate"/>
    <x v="0"/>
    <x v="6"/>
    <x v="3"/>
    <s v="B.B."/>
    <n v="-353"/>
  </r>
  <r>
    <n v="143"/>
    <d v="2025-10-20T00:00:00"/>
    <x v="4"/>
    <s v="Aplicaçao"/>
    <x v="0"/>
    <x v="2"/>
    <x v="2"/>
    <s v="B.B."/>
    <n v="150000"/>
  </r>
  <r>
    <n v="144"/>
    <d v="2025-10-24T00:00:00"/>
    <x v="4"/>
    <s v="Resgate"/>
    <x v="0"/>
    <x v="6"/>
    <x v="3"/>
    <s v="B.B."/>
    <n v="-184"/>
  </r>
  <r>
    <n v="145"/>
    <d v="2025-10-31T00:00:00"/>
    <x v="4"/>
    <s v="Rendimento Bruto"/>
    <x v="1"/>
    <x v="8"/>
    <x v="17"/>
    <m/>
    <n v="14703.11"/>
  </r>
  <r>
    <n v="146"/>
    <d v="2025-10-31T00:00:00"/>
    <x v="4"/>
    <s v="Imposto de Renda"/>
    <x v="2"/>
    <x v="5"/>
    <x v="18"/>
    <m/>
    <n v="-21.17"/>
  </r>
  <r>
    <n v="147"/>
    <d v="2025-11-05T00:00:00"/>
    <x v="4"/>
    <s v="Resgate"/>
    <x v="0"/>
    <x v="6"/>
    <x v="3"/>
    <s v="B.B."/>
    <n v="-1952.4"/>
  </r>
  <r>
    <n v="148"/>
    <d v="2025-11-10T00:00:00"/>
    <x v="4"/>
    <s v="Resgate"/>
    <x v="0"/>
    <x v="6"/>
    <x v="3"/>
    <s v="B.B."/>
    <n v="-353"/>
  </r>
  <r>
    <n v="149"/>
    <d v="2025-11-14T00:00:00"/>
    <x v="4"/>
    <s v="Resgate"/>
    <x v="0"/>
    <x v="6"/>
    <x v="3"/>
    <s v="B.B."/>
    <n v="-353"/>
  </r>
  <r>
    <n v="150"/>
    <d v="2025-11-30T00:00:00"/>
    <x v="4"/>
    <s v="Rendimento Bruto"/>
    <x v="1"/>
    <x v="8"/>
    <x v="17"/>
    <m/>
    <n v="13050.28"/>
  </r>
  <r>
    <n v="151"/>
    <d v="2025-11-30T00:00:00"/>
    <x v="4"/>
    <s v="Imposto de Renda"/>
    <x v="2"/>
    <x v="5"/>
    <x v="18"/>
    <m/>
    <n v="-15443.77"/>
  </r>
  <r>
    <n v="152"/>
    <d v="2025-12-03T00:00:00"/>
    <x v="4"/>
    <s v="Resgate"/>
    <x v="0"/>
    <x v="6"/>
    <x v="3"/>
    <s v="B.B."/>
    <n v="-25000"/>
  </r>
  <r>
    <n v="153"/>
    <d v="2025-12-04T00:00:00"/>
    <x v="4"/>
    <s v="Resgate"/>
    <x v="0"/>
    <x v="6"/>
    <x v="3"/>
    <s v="B.B."/>
    <n v="-25000"/>
  </r>
  <r>
    <n v="154"/>
    <d v="2025-12-05T00:00:00"/>
    <x v="4"/>
    <s v="Resgate"/>
    <x v="0"/>
    <x v="6"/>
    <x v="3"/>
    <s v="B.B."/>
    <n v="-13952.4"/>
  </r>
  <r>
    <n v="155"/>
    <d v="2025-12-10T00:00:00"/>
    <x v="4"/>
    <s v="Resgate"/>
    <x v="0"/>
    <x v="6"/>
    <x v="3"/>
    <s v="B.B."/>
    <n v="-353"/>
  </r>
  <r>
    <n v="156"/>
    <d v="2025-12-15T00:00:00"/>
    <x v="4"/>
    <s v="Aplicaçao"/>
    <x v="0"/>
    <x v="2"/>
    <x v="2"/>
    <s v="B.B."/>
    <n v="200000"/>
  </r>
  <r>
    <n v="157"/>
    <d v="2025-12-31T00:00:00"/>
    <x v="4"/>
    <s v="Rendimento Bruto"/>
    <x v="1"/>
    <x v="8"/>
    <x v="17"/>
    <m/>
    <n v="15590.85"/>
  </r>
  <r>
    <n v="158"/>
    <d v="2025-12-31T00:00:00"/>
    <x v="4"/>
    <s v="Imposto de Renda"/>
    <x v="2"/>
    <x v="5"/>
    <x v="18"/>
    <m/>
    <n v="-29.1"/>
  </r>
  <r>
    <n v="159"/>
    <d v="2026-01-31T00:00:00"/>
    <x v="5"/>
    <s v="Rendimento Bruto"/>
    <x v="1"/>
    <x v="8"/>
    <x v="17"/>
    <m/>
    <n v="16022.22"/>
  </r>
  <r>
    <n v="160"/>
    <d v="2026-02-27T00:00:00"/>
    <x v="5"/>
    <s v="Rendimento Bruto"/>
    <x v="1"/>
    <x v="8"/>
    <x v="17"/>
    <m/>
    <n v="13803.51"/>
  </r>
  <r>
    <n v="161"/>
    <d v="2026-03-31T00:00:00"/>
    <x v="5"/>
    <s v="Rendimento Bruto"/>
    <x v="1"/>
    <x v="8"/>
    <x v="17"/>
    <m/>
    <n v="17189.88"/>
  </r>
  <r>
    <n v="162"/>
    <d v="2026-04-02T00:00:00"/>
    <x v="5"/>
    <s v="Resgate"/>
    <x v="0"/>
    <x v="10"/>
    <x v="20"/>
    <s v="B.B."/>
    <n v="-758.56"/>
  </r>
  <r>
    <n v="163"/>
    <d v="2026-04-06T00:00:00"/>
    <x v="5"/>
    <s v="Resgate"/>
    <x v="0"/>
    <x v="10"/>
    <x v="20"/>
    <s v="B.B."/>
    <n v="-81.400000000000006"/>
  </r>
  <r>
    <n v="164"/>
    <d v="2026-04-10T00:00:00"/>
    <x v="5"/>
    <s v="Resgate"/>
    <x v="0"/>
    <x v="10"/>
    <x v="20"/>
    <s v="B.B."/>
    <n v="-377"/>
  </r>
  <r>
    <n v="165"/>
    <d v="2026-04-30T00:00:00"/>
    <x v="5"/>
    <s v="Rendimento Bruto"/>
    <x v="1"/>
    <x v="8"/>
    <x v="17"/>
    <m/>
    <n v="15246.12"/>
  </r>
  <r>
    <n v="166"/>
    <d v="2026-04-30T00:00:00"/>
    <x v="5"/>
    <s v="Imposto de Renda"/>
    <x v="2"/>
    <x v="5"/>
    <x v="18"/>
    <m/>
    <n v="-10.01"/>
  </r>
  <r>
    <n v="167"/>
    <d v="2026-05-05T00:00:00"/>
    <x v="5"/>
    <s v="Resgate"/>
    <x v="0"/>
    <x v="10"/>
    <x v="20"/>
    <s v="B.B."/>
    <n v="-1998"/>
  </r>
  <r>
    <n v="168"/>
    <d v="2026-05-06T00:00:00"/>
    <x v="5"/>
    <s v="Resgate"/>
    <x v="0"/>
    <x v="10"/>
    <x v="20"/>
    <s v="B.B."/>
    <n v="-93.1"/>
  </r>
  <r>
    <n v="169"/>
    <d v="2026-05-11T00:00:00"/>
    <x v="5"/>
    <s v="Resgate"/>
    <x v="0"/>
    <x v="10"/>
    <x v="20"/>
    <s v="B.B."/>
    <n v="-377"/>
  </r>
  <r>
    <n v="170"/>
    <d v="2026-05-31T00:00:00"/>
    <x v="5"/>
    <s v="Rendimento Bruto"/>
    <x v="1"/>
    <x v="8"/>
    <x v="17"/>
    <m/>
    <n v="15241.93"/>
  </r>
  <r>
    <n v="171"/>
    <d v="2026-05-31T00:00:00"/>
    <x v="5"/>
    <s v="Imposto de Renda"/>
    <x v="2"/>
    <x v="5"/>
    <x v="18"/>
    <m/>
    <n v="-18558.849999999999"/>
  </r>
  <r>
    <n v="172"/>
    <d v="2026-06-05T00:00:00"/>
    <x v="5"/>
    <s v="Resgate"/>
    <x v="0"/>
    <x v="10"/>
    <x v="20"/>
    <s v="B.B."/>
    <n v="-2091.1"/>
  </r>
  <r>
    <n v="173"/>
    <d v="2026-06-10T00:00:00"/>
    <x v="5"/>
    <s v="Resgate"/>
    <x v="0"/>
    <x v="10"/>
    <x v="20"/>
    <s v="B.B."/>
    <n v="-377"/>
  </r>
  <r>
    <n v="174"/>
    <d v="2026-06-17T00:00:00"/>
    <x v="5"/>
    <s v="Resgate"/>
    <x v="0"/>
    <x v="10"/>
    <x v="20"/>
    <s v="B.B."/>
    <n v="-935.39"/>
  </r>
  <r>
    <n v="175"/>
    <d v="2026-06-30T00:00:00"/>
    <x v="5"/>
    <s v="Rendimento Bruto"/>
    <x v="1"/>
    <x v="8"/>
    <x v="17"/>
    <m/>
    <n v="15694.11"/>
  </r>
  <r>
    <n v="176"/>
    <d v="2026-06-30T00:00:00"/>
    <x v="5"/>
    <s v="Imposto de Renda"/>
    <x v="2"/>
    <x v="5"/>
    <x v="18"/>
    <m/>
    <n v="-2.33"/>
  </r>
  <r>
    <n v="177"/>
    <d v="2026-07-06T00:00:00"/>
    <x v="5"/>
    <s v="Resgate"/>
    <x v="0"/>
    <x v="10"/>
    <x v="20"/>
    <s v="B.B."/>
    <n v="-93.1"/>
  </r>
  <r>
    <n v="178"/>
    <d v="2026-07-10T00:00:00"/>
    <x v="5"/>
    <s v="Resgate"/>
    <x v="0"/>
    <x v="10"/>
    <x v="20"/>
    <s v="B.B."/>
    <n v="-2375"/>
  </r>
  <r>
    <n v="179"/>
    <d v="2026-07-31T00:00:00"/>
    <x v="5"/>
    <s v="Rendimento Bruto"/>
    <x v="1"/>
    <x v="8"/>
    <x v="17"/>
    <m/>
    <n v="17203.96"/>
  </r>
  <r>
    <n v="180"/>
    <d v="2026-07-31T00:00:00"/>
    <x v="5"/>
    <s v="Imposto de Renda"/>
    <x v="2"/>
    <x v="5"/>
    <x v="18"/>
    <m/>
    <n v="-6.63"/>
  </r>
  <r>
    <n v="181"/>
    <d v="2026-08-05T00:00:00"/>
    <x v="5"/>
    <s v="Resgate"/>
    <x v="0"/>
    <x v="10"/>
    <x v="20"/>
    <s v="B.B."/>
    <n v="-2091.1"/>
  </r>
  <r>
    <n v="182"/>
    <d v="2026-08-10T00:00:00"/>
    <x v="5"/>
    <s v="Resgate"/>
    <x v="0"/>
    <x v="10"/>
    <x v="20"/>
    <s v="B.B."/>
    <n v="-377"/>
  </r>
  <r>
    <n v="183"/>
    <d v="2026-08-31T00:00:00"/>
    <x v="5"/>
    <s v="Rendimento Bruto"/>
    <x v="1"/>
    <x v="8"/>
    <x v="17"/>
    <m/>
    <n v="15667.56"/>
  </r>
  <r>
    <n v="184"/>
    <d v="2026-08-31T00:00:00"/>
    <x v="5"/>
    <s v="Imposto de Renda"/>
    <x v="2"/>
    <x v="5"/>
    <x v="18"/>
    <m/>
    <n v="-10.71"/>
  </r>
  <r>
    <n v="185"/>
    <d v="2026-09-30T00:00:00"/>
    <x v="5"/>
    <s v="Rendimento Bruto"/>
    <x v="1"/>
    <x v="8"/>
    <x v="17"/>
    <m/>
    <n v="15176.21"/>
  </r>
  <r>
    <m/>
    <m/>
    <x v="6"/>
    <m/>
    <x v="0"/>
    <x v="0"/>
    <x v="0"/>
    <m/>
    <m/>
  </r>
  <r>
    <m/>
    <m/>
    <x v="6"/>
    <m/>
    <x v="0"/>
    <x v="0"/>
    <x v="0"/>
    <m/>
    <m/>
  </r>
  <r>
    <m/>
    <m/>
    <x v="6"/>
    <m/>
    <x v="0"/>
    <x v="0"/>
    <x v="0"/>
    <m/>
    <m/>
  </r>
  <r>
    <m/>
    <m/>
    <x v="6"/>
    <m/>
    <x v="0"/>
    <x v="0"/>
    <x v="0"/>
    <m/>
    <m/>
  </r>
  <r>
    <m/>
    <m/>
    <x v="6"/>
    <m/>
    <x v="0"/>
    <x v="0"/>
    <x v="0"/>
    <m/>
    <m/>
  </r>
  <r>
    <m/>
    <m/>
    <x v="6"/>
    <m/>
    <x v="0"/>
    <x v="0"/>
    <x v="0"/>
    <m/>
    <m/>
  </r>
  <r>
    <m/>
    <m/>
    <x v="6"/>
    <m/>
    <x v="0"/>
    <x v="0"/>
    <x v="0"/>
    <m/>
    <m/>
  </r>
  <r>
    <m/>
    <m/>
    <x v="6"/>
    <m/>
    <x v="0"/>
    <x v="0"/>
    <x v="0"/>
    <m/>
    <m/>
  </r>
  <r>
    <m/>
    <m/>
    <x v="6"/>
    <m/>
    <x v="0"/>
    <x v="0"/>
    <x v="0"/>
    <m/>
    <m/>
  </r>
  <r>
    <m/>
    <m/>
    <x v="6"/>
    <m/>
    <x v="0"/>
    <x v="0"/>
    <x v="0"/>
    <m/>
    <m/>
  </r>
  <r>
    <m/>
    <m/>
    <x v="6"/>
    <m/>
    <x v="0"/>
    <x v="0"/>
    <x v="0"/>
    <m/>
    <m/>
  </r>
  <r>
    <m/>
    <m/>
    <x v="6"/>
    <m/>
    <x v="0"/>
    <x v="0"/>
    <x v="0"/>
    <m/>
    <m/>
  </r>
  <r>
    <m/>
    <m/>
    <x v="6"/>
    <m/>
    <x v="0"/>
    <x v="0"/>
    <x v="0"/>
    <m/>
    <m/>
  </r>
  <r>
    <m/>
    <m/>
    <x v="6"/>
    <m/>
    <x v="0"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eau croisé dynamique1" cacheId="2" autoFormatId="4099" applyNumberFormats="1" applyBorderFormats="1" applyFontFormats="1" applyPatternFormats="1" applyAlignmentFormats="1" applyWidthHeightFormats="1" dataCaption="Données" updatedVersion="8" asteriskTotals="1" showMemberPropertyTips="0" useAutoFormatting="1" itemPrintTitles="1" createdVersion="1" indent="0" compact="0" compactData="0" gridDropZones="1">
  <location ref="A6:J78" firstHeaderRow="1" firstDataRow="2" firstDataCol="3"/>
  <pivotFields count="10">
    <pivotField compact="0" subtotalTop="0" showAll="0" includeNewItemsInFilter="1" defaultSubtotal="0"/>
    <pivotField compact="0" subtotalTop="0" showAll="0" includeNewItemsInFilter="1" defaultSubtotal="0"/>
    <pivotField axis="axisCol" compact="0" showAll="0" includeNewItemsInFilter="1">
      <items count="8">
        <item x="0"/>
        <item x="1"/>
        <item h="1" x="6"/>
        <item x="2"/>
        <item x="3"/>
        <item x="4"/>
        <item x="5"/>
        <item t="default"/>
      </items>
    </pivotField>
    <pivotField compact="0" subtotalTop="0" showAll="0" includeNewItemsInFilter="1" defaultSubtotal="0"/>
    <pivotField compact="0" subtotalTop="0" showAll="0" includeNewItemsInFilter="1" defaultSubtotal="0"/>
    <pivotField axis="axisRow" compact="0" subtotalTop="0" showAll="0" insertBlankRow="1" includeNewItemsInFilter="1" defaultSubtotal="0">
      <items count="19">
        <item h="1" x="0"/>
        <item m="1" x="11"/>
        <item m="1" x="13"/>
        <item x="2"/>
        <item m="1" x="17"/>
        <item x="1"/>
        <item m="1" x="12"/>
        <item m="1" x="18"/>
        <item m="1" x="10"/>
        <item m="1" x="16"/>
        <item m="1" x="15"/>
        <item m="1" x="8"/>
        <item x="3"/>
        <item x="4"/>
        <item x="5"/>
        <item m="1" x="14"/>
        <item x="6"/>
        <item m="1" x="9"/>
        <item x="7"/>
      </items>
    </pivotField>
    <pivotField axis="axisRow" compact="0" subtotalTop="0" showAll="0" insertBlankRow="1" includeNewItemsInFilter="1" defaultSubtotal="0">
      <items count="22">
        <item x="0"/>
        <item m="1" x="21"/>
        <item x="4"/>
        <item x="2"/>
        <item x="3"/>
        <item m="1" x="20"/>
        <item m="1" x="19"/>
        <item x="9"/>
        <item x="1"/>
        <item x="8"/>
        <item x="6"/>
        <item x="7"/>
        <item x="5"/>
        <item x="10"/>
        <item x="11"/>
        <item x="12"/>
        <item m="1" x="18"/>
        <item x="13"/>
        <item m="1" x="17"/>
        <item x="15"/>
        <item x="14"/>
        <item x="16"/>
      </items>
    </pivotField>
    <pivotField axis="axisRow" compact="0" subtotalTop="0" showAll="0" insertBlankRow="1" includeNewItemsInFilter="1" defaultSubtotal="0">
      <items count="39">
        <item m="1" x="38"/>
        <item x="3"/>
        <item x="0"/>
        <item x="2"/>
        <item m="1" x="37"/>
        <item x="6"/>
        <item m="1" x="36"/>
        <item x="5"/>
        <item m="1" x="34"/>
        <item x="7"/>
        <item m="1" x="35"/>
        <item x="8"/>
        <item m="1" x="30"/>
        <item m="1" x="31"/>
        <item m="1" x="24"/>
        <item x="9"/>
        <item x="10"/>
        <item x="11"/>
        <item m="1" x="32"/>
        <item m="1" x="28"/>
        <item m="1" x="29"/>
        <item m="1" x="25"/>
        <item m="1" x="33"/>
        <item x="15"/>
        <item x="14"/>
        <item x="16"/>
        <item x="17"/>
        <item x="1"/>
        <item x="4"/>
        <item x="18"/>
        <item x="13"/>
        <item m="1" x="26"/>
        <item m="1" x="27"/>
        <item x="19"/>
        <item x="12"/>
        <item x="20"/>
        <item x="21"/>
        <item x="22"/>
        <item x="23"/>
      </items>
    </pivotField>
    <pivotField dataField="1" compact="0" subtotalTop="0" showAll="0" includeNewItemsInFilter="1" defaultSubtotal="0"/>
    <pivotField compact="0" subtotalTop="0" showAll="0" includeNewItemsInFilter="1" defaultSubtotal="0"/>
  </pivotFields>
  <rowFields count="3">
    <field x="5"/>
    <field x="6"/>
    <field x="7"/>
  </rowFields>
  <rowItems count="71">
    <i>
      <x v="3"/>
    </i>
    <i r="1">
      <x v="3"/>
    </i>
    <i r="2">
      <x v="3"/>
    </i>
    <i t="blank" r="1">
      <x v="3"/>
    </i>
    <i r="1">
      <x v="4"/>
    </i>
    <i r="2">
      <x v="3"/>
    </i>
    <i t="blank" r="1">
      <x v="4"/>
    </i>
    <i>
      <x v="5"/>
    </i>
    <i r="1">
      <x v="8"/>
    </i>
    <i r="2">
      <x v="27"/>
    </i>
    <i r="2">
      <x v="28"/>
    </i>
    <i t="blank" r="1">
      <x v="8"/>
    </i>
    <i>
      <x v="12"/>
    </i>
    <i r="1">
      <x v="2"/>
    </i>
    <i r="2">
      <x v="1"/>
    </i>
    <i t="blank" r="1">
      <x v="2"/>
    </i>
    <i>
      <x v="13"/>
    </i>
    <i r="1">
      <x v="12"/>
    </i>
    <i r="2">
      <x v="3"/>
    </i>
    <i t="blank" r="1">
      <x v="12"/>
    </i>
    <i>
      <x v="14"/>
    </i>
    <i r="1">
      <x v="9"/>
    </i>
    <i r="2">
      <x v="7"/>
    </i>
    <i t="blank" r="1">
      <x v="9"/>
    </i>
    <i r="1">
      <x v="10"/>
    </i>
    <i r="2">
      <x v="7"/>
    </i>
    <i t="blank" r="1">
      <x v="10"/>
    </i>
    <i r="1">
      <x v="11"/>
    </i>
    <i r="2">
      <x v="7"/>
    </i>
    <i t="blank" r="1">
      <x v="11"/>
    </i>
    <i r="1">
      <x v="13"/>
    </i>
    <i r="2">
      <x v="7"/>
    </i>
    <i t="blank" r="1">
      <x v="13"/>
    </i>
    <i r="1">
      <x v="14"/>
    </i>
    <i r="2">
      <x v="7"/>
    </i>
    <i t="blank" r="1">
      <x v="14"/>
    </i>
    <i r="1">
      <x v="20"/>
    </i>
    <i r="2">
      <x v="7"/>
    </i>
    <i t="blank" r="1">
      <x v="20"/>
    </i>
    <i r="1">
      <x v="21"/>
    </i>
    <i r="2">
      <x v="7"/>
    </i>
    <i t="blank" r="1">
      <x v="21"/>
    </i>
    <i>
      <x v="16"/>
    </i>
    <i r="1">
      <x v="7"/>
    </i>
    <i r="2">
      <x v="5"/>
    </i>
    <i r="2">
      <x v="9"/>
    </i>
    <i r="2">
      <x v="11"/>
    </i>
    <i r="2">
      <x v="15"/>
    </i>
    <i r="2">
      <x v="17"/>
    </i>
    <i r="2">
      <x v="23"/>
    </i>
    <i r="2">
      <x v="24"/>
    </i>
    <i r="2">
      <x v="26"/>
    </i>
    <i r="2">
      <x v="29"/>
    </i>
    <i r="2">
      <x v="30"/>
    </i>
    <i r="2">
      <x v="33"/>
    </i>
    <i r="2">
      <x v="37"/>
    </i>
    <i t="blank" r="1">
      <x v="7"/>
    </i>
    <i r="1">
      <x v="15"/>
    </i>
    <i r="2">
      <x v="16"/>
    </i>
    <i r="2">
      <x v="34"/>
    </i>
    <i r="2">
      <x v="35"/>
    </i>
    <i r="2">
      <x v="38"/>
    </i>
    <i t="blank" r="1">
      <x v="15"/>
    </i>
    <i r="1">
      <x v="17"/>
    </i>
    <i r="2">
      <x v="25"/>
    </i>
    <i t="blank" r="1">
      <x v="17"/>
    </i>
    <i>
      <x v="18"/>
    </i>
    <i r="1">
      <x v="19"/>
    </i>
    <i r="2">
      <x v="36"/>
    </i>
    <i t="blank" r="1">
      <x v="19"/>
    </i>
    <i t="grand">
      <x/>
    </i>
  </rowItems>
  <colFields count="1">
    <field x="2"/>
  </colFields>
  <colItems count="7">
    <i>
      <x/>
    </i>
    <i>
      <x v="1"/>
    </i>
    <i>
      <x v="3"/>
    </i>
    <i>
      <x v="4"/>
    </i>
    <i>
      <x v="5"/>
    </i>
    <i>
      <x v="6"/>
    </i>
    <i t="grand">
      <x/>
    </i>
  </colItems>
  <dataFields count="1">
    <dataField name="Sum of Total" fld="8" baseField="1" baseItem="64"/>
  </dataFields>
  <formats count="6">
    <format dxfId="19">
      <pivotArea outline="0" fieldPosition="0"/>
    </format>
    <format dxfId="18">
      <pivotArea field="5" type="button" dataOnly="0" labelOnly="1" outline="0" axis="axisRow" fieldPosition="0"/>
    </format>
    <format dxfId="17">
      <pivotArea field="6" type="button" dataOnly="0" labelOnly="1" outline="0" axis="axisRow" fieldPosition="1"/>
    </format>
    <format dxfId="16">
      <pivotArea field="7" type="button" dataOnly="0" labelOnly="1" outline="0" axis="axisRow" fieldPosition="2"/>
    </format>
    <format dxfId="15">
      <pivotArea dataOnly="0" labelOnly="1" outline="0" fieldPosition="0">
        <references count="1">
          <reference field="2" count="0"/>
        </references>
      </pivotArea>
    </format>
    <format dxfId="14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leau croisé dynamique1" cacheId="3" autoFormatId="4099" applyNumberFormats="1" applyBorderFormats="1" applyFontFormats="1" applyPatternFormats="1" applyAlignmentFormats="1" applyWidthHeightFormats="1" dataCaption="Données" updatedVersion="8" asteriskTotals="1" showMemberPropertyTips="0" useAutoFormatting="1" itemPrintTitles="1" createdVersion="1" indent="0" compact="0" compactData="0" gridDropZones="1">
  <location ref="A3:I21" firstHeaderRow="1" firstDataRow="2" firstDataCol="2"/>
  <pivotFields count="10">
    <pivotField compact="0" subtotalTop="0" showAll="0" includeNewItemsInFilter="1" defaultSubtotal="0"/>
    <pivotField compact="0" subtotalTop="0" showAll="0" includeNewItemsInFilter="1" defaultSubtotal="0"/>
    <pivotField axis="axisCol" compact="0" showAll="0" includeNewItemsInFilter="1">
      <items count="8">
        <item x="0"/>
        <item x="1"/>
        <item h="1" x="6"/>
        <item x="2"/>
        <item x="3"/>
        <item x="4"/>
        <item x="5"/>
        <item t="default"/>
      </items>
    </pivotField>
    <pivotField compact="0" subtotalTop="0" showAll="0" includeNewItemsInFilter="1" defaultSubtotal="0"/>
    <pivotField compact="0" subtotalTop="0" showAll="0" includeNewItemsInFilter="1" defaultSubtotal="0"/>
    <pivotField axis="axisRow" compact="0" subtotalTop="0" showAll="0" insertBlankRow="1" includeNewItemsInFilter="1" defaultSubtotal="0">
      <items count="15">
        <item h="1" x="0"/>
        <item m="1" x="13"/>
        <item m="1" x="8"/>
        <item m="1" x="9"/>
        <item x="1"/>
        <item x="2"/>
        <item m="1" x="11"/>
        <item m="1" x="14"/>
        <item m="1" x="12"/>
        <item x="3"/>
        <item m="1" x="10"/>
        <item m="1" x="5"/>
        <item m="1" x="7"/>
        <item m="1" x="6"/>
        <item x="4"/>
      </items>
    </pivotField>
    <pivotField axis="axisRow" compact="0" subtotalTop="0" showAll="0" insertBlankRow="1" includeNewItemsInFilter="1" defaultSubtotal="0">
      <items count="13">
        <item x="0"/>
        <item m="1" x="12"/>
        <item m="1" x="10"/>
        <item m="1" x="11"/>
        <item x="1"/>
        <item x="2"/>
        <item m="1" x="9"/>
        <item x="5"/>
        <item x="4"/>
        <item x="7"/>
        <item x="8"/>
        <item x="6"/>
        <item x="3"/>
      </items>
    </pivotField>
    <pivotField compact="0" subtotalTop="0" showAll="0" includeNewItemsInFilter="1" defaultSubtotal="0"/>
    <pivotField dataField="1" compact="0" subtotalTop="0" showAll="0" includeNewItemsInFilter="1" defaultSubtotal="0"/>
    <pivotField compact="0" subtotalTop="0" showAll="0" includeNewItemsInFilter="1" defaultSubtotal="0"/>
  </pivotFields>
  <rowFields count="2">
    <field x="5"/>
    <field x="6"/>
  </rowFields>
  <rowItems count="17">
    <i>
      <x v="4"/>
    </i>
    <i r="1">
      <x v="4"/>
    </i>
    <i r="1">
      <x v="5"/>
    </i>
    <i t="blank">
      <x v="4"/>
    </i>
    <i>
      <x v="5"/>
    </i>
    <i r="1">
      <x v="12"/>
    </i>
    <i t="blank">
      <x v="5"/>
    </i>
    <i>
      <x v="9"/>
    </i>
    <i r="1">
      <x v="7"/>
    </i>
    <i r="1">
      <x v="8"/>
    </i>
    <i t="blank">
      <x v="9"/>
    </i>
    <i>
      <x v="14"/>
    </i>
    <i r="1">
      <x v="9"/>
    </i>
    <i r="1">
      <x v="10"/>
    </i>
    <i r="1">
      <x v="11"/>
    </i>
    <i t="blank">
      <x v="14"/>
    </i>
    <i t="grand">
      <x/>
    </i>
  </rowItems>
  <colFields count="1">
    <field x="2"/>
  </colFields>
  <colItems count="7">
    <i>
      <x/>
    </i>
    <i>
      <x v="1"/>
    </i>
    <i>
      <x v="3"/>
    </i>
    <i>
      <x v="4"/>
    </i>
    <i>
      <x v="5"/>
    </i>
    <i>
      <x v="6"/>
    </i>
    <i t="grand">
      <x/>
    </i>
  </colItems>
  <dataFields count="1">
    <dataField name="Sum of Total" fld="8" baseField="1" baseItem="64"/>
  </dataFields>
  <formats count="11">
    <format dxfId="13">
      <pivotArea outline="0" fieldPosition="0"/>
    </format>
    <format dxfId="12">
      <pivotArea field="5" type="button" dataOnly="0" labelOnly="1" outline="0" axis="axisRow" fieldPosition="0"/>
    </format>
    <format dxfId="11">
      <pivotArea field="6" type="button" dataOnly="0" labelOnly="1" outline="0" axis="axisRow" fieldPosition="1"/>
    </format>
    <format dxfId="10">
      <pivotArea dataOnly="0" labelOnly="1" outline="0" fieldPosition="0">
        <references count="1">
          <reference field="2" count="0"/>
        </references>
      </pivotArea>
    </format>
    <format dxfId="9">
      <pivotArea dataOnly="0" labelOnly="1" grandCol="1" outline="0" fieldPosition="0"/>
    </format>
    <format dxfId="8">
      <pivotArea grandCol="1" outline="0" fieldPosition="0"/>
    </format>
    <format dxfId="7">
      <pivotArea type="topRight" dataOnly="0" labelOnly="1" outline="0" offset="D1" fieldPosition="0"/>
    </format>
    <format dxfId="6">
      <pivotArea dataOnly="0" labelOnly="1" grandCol="1" outline="0" fieldPosition="0"/>
    </format>
    <format dxfId="5">
      <pivotArea grandCol="1" outline="0" fieldPosition="0"/>
    </format>
    <format dxfId="4">
      <pivotArea type="topRight" dataOnly="0" labelOnly="1" outline="0" offset="D1" fieldPosition="0"/>
    </format>
    <format dxfId="3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E6B33-6F58-4861-81D1-0CE044DA52D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A3:H40" firstHeaderRow="1" firstDataRow="2" firstDataCol="1"/>
  <pivotFields count="9">
    <pivotField subtotalTop="0" showAll="0"/>
    <pivotField subtotalTop="0" showAll="0"/>
    <pivotField axis="axisCol" subtotalTop="0" showAll="0">
      <items count="8">
        <item x="0"/>
        <item x="1"/>
        <item x="2"/>
        <item x="3"/>
        <item x="4"/>
        <item x="5"/>
        <item h="1" x="6"/>
        <item t="default"/>
      </items>
    </pivotField>
    <pivotField subtotalTop="0" showAll="0"/>
    <pivotField axis="axisRow" subtotalTop="0" showAll="0">
      <items count="4">
        <item x="1"/>
        <item x="2"/>
        <item h="1" x="0"/>
        <item t="default"/>
      </items>
    </pivotField>
    <pivotField axis="axisRow" subtotalTop="0" showAll="0">
      <items count="12">
        <item x="1"/>
        <item x="3"/>
        <item x="2"/>
        <item h="1" x="0"/>
        <item x="4"/>
        <item x="5"/>
        <item x="9"/>
        <item x="8"/>
        <item x="6"/>
        <item x="7"/>
        <item h="1" x="10"/>
        <item t="default"/>
      </items>
    </pivotField>
    <pivotField axis="axisRow" subtotalTop="0" showAll="0">
      <items count="24">
        <item h="1" x="2"/>
        <item x="8"/>
        <item x="1"/>
        <item x="3"/>
        <item x="6"/>
        <item x="7"/>
        <item x="4"/>
        <item x="9"/>
        <item x="0"/>
        <item x="5"/>
        <item x="10"/>
        <item x="11"/>
        <item x="14"/>
        <item x="16"/>
        <item x="19"/>
        <item h="1" m="1" x="22"/>
        <item x="18"/>
        <item x="13"/>
        <item x="12"/>
        <item x="15"/>
        <item x="20"/>
        <item x="17"/>
        <item m="1" x="21"/>
        <item t="default"/>
      </items>
    </pivotField>
    <pivotField subtotalTop="0" showAll="0"/>
    <pivotField dataField="1" subtotalTop="0" showAll="0"/>
  </pivotFields>
  <rowFields count="3">
    <field x="4"/>
    <field x="5"/>
    <field x="6"/>
  </rowFields>
  <rowItems count="36">
    <i>
      <x/>
    </i>
    <i r="1">
      <x/>
    </i>
    <i r="2">
      <x v="2"/>
    </i>
    <i t="default" r="1">
      <x/>
    </i>
    <i r="1">
      <x v="7"/>
    </i>
    <i r="2">
      <x v="21"/>
    </i>
    <i t="default" r="1">
      <x v="7"/>
    </i>
    <i t="default">
      <x/>
    </i>
    <i>
      <x v="1"/>
    </i>
    <i r="1">
      <x v="1"/>
    </i>
    <i r="2">
      <x v="6"/>
    </i>
    <i t="default" r="1">
      <x v="1"/>
    </i>
    <i r="1">
      <x v="4"/>
    </i>
    <i r="2">
      <x v="9"/>
    </i>
    <i t="default" r="1">
      <x v="4"/>
    </i>
    <i r="1">
      <x v="5"/>
    </i>
    <i r="2">
      <x v="1"/>
    </i>
    <i r="2">
      <x v="4"/>
    </i>
    <i r="2">
      <x v="5"/>
    </i>
    <i r="2">
      <x v="10"/>
    </i>
    <i r="2">
      <x v="11"/>
    </i>
    <i r="2">
      <x v="12"/>
    </i>
    <i r="2">
      <x v="13"/>
    </i>
    <i r="2">
      <x v="14"/>
    </i>
    <i r="2">
      <x v="16"/>
    </i>
    <i t="default" r="1">
      <x v="5"/>
    </i>
    <i r="1">
      <x v="8"/>
    </i>
    <i r="2">
      <x v="7"/>
    </i>
    <i r="2">
      <x v="17"/>
    </i>
    <i r="2">
      <x v="18"/>
    </i>
    <i t="default" r="1">
      <x v="8"/>
    </i>
    <i r="1">
      <x v="9"/>
    </i>
    <i r="2">
      <x v="19"/>
    </i>
    <i t="default" r="1">
      <x v="9"/>
    </i>
    <i t="default">
      <x v="1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" fld="8" baseField="4" baseItem="0" numFmtId="171"/>
  </dataFields>
  <formats count="3">
    <format dxfId="2">
      <pivotArea collapsedLevelsAreSubtotals="1" fieldPosition="0">
        <references count="4">
          <reference field="2" count="1" selected="0">
            <x v="1"/>
          </reference>
          <reference field="4" count="1" selected="0">
            <x v="1"/>
          </reference>
          <reference field="5" count="1" selected="0">
            <x v="4"/>
          </reference>
          <reference field="6" count="3">
            <x v="1"/>
            <x v="9"/>
            <x v="14"/>
          </reference>
        </references>
      </pivotArea>
    </format>
    <format dxfId="1">
      <pivotArea collapsedLevelsAreSubtotals="1" fieldPosition="0">
        <references count="4">
          <reference field="2" count="1" selected="0">
            <x v="1"/>
          </reference>
          <reference field="4" count="1" selected="0">
            <x v="1"/>
          </reference>
          <reference field="5" count="1" selected="0">
            <x v="5"/>
          </reference>
          <reference field="6" count="1">
            <x v="5"/>
          </reference>
        </references>
      </pivotArea>
    </format>
    <format dxfId="0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6"/>
  <sheetViews>
    <sheetView workbookViewId="0">
      <pane ySplit="5" topLeftCell="A235" activePane="bottomLeft" state="frozen"/>
      <selection pane="bottomLeft" activeCell="M264" sqref="M264"/>
    </sheetView>
  </sheetViews>
  <sheetFormatPr defaultColWidth="11.42578125" defaultRowHeight="12.75" x14ac:dyDescent="0.2"/>
  <cols>
    <col min="1" max="1" width="6.140625" style="4" customWidth="1"/>
    <col min="2" max="2" width="14.5703125" style="4" customWidth="1"/>
    <col min="3" max="3" width="9.42578125" style="4" customWidth="1"/>
    <col min="4" max="4" width="26" customWidth="1"/>
    <col min="5" max="5" width="12.140625" customWidth="1"/>
    <col min="6" max="6" width="30.42578125" customWidth="1"/>
    <col min="7" max="7" width="24.140625" style="18" customWidth="1"/>
    <col min="8" max="8" width="37.5703125" style="18" customWidth="1"/>
    <col min="9" max="9" width="15.28515625" style="7" customWidth="1"/>
    <col min="10" max="10" width="16.28515625" style="8" customWidth="1"/>
    <col min="11" max="11" width="13" customWidth="1"/>
    <col min="12" max="12" width="12.85546875" customWidth="1"/>
    <col min="13" max="13" width="7.28515625" customWidth="1"/>
  </cols>
  <sheetData>
    <row r="1" spans="1:11" ht="13.5" thickBot="1" x14ac:dyDescent="0.25">
      <c r="B1" s="17"/>
      <c r="J1" s="20"/>
    </row>
    <row r="2" spans="1:11" ht="13.5" thickBot="1" x14ac:dyDescent="0.25">
      <c r="D2" s="9" t="s">
        <v>22</v>
      </c>
      <c r="E2" s="9"/>
      <c r="F2" s="9" t="s">
        <v>21</v>
      </c>
      <c r="G2" s="6"/>
      <c r="H2" s="35" t="s">
        <v>19</v>
      </c>
      <c r="I2" s="6" t="s">
        <v>51</v>
      </c>
    </row>
    <row r="3" spans="1:11" x14ac:dyDescent="0.2">
      <c r="D3" s="4"/>
      <c r="E3" s="4"/>
      <c r="F3" s="4"/>
      <c r="G3" s="4"/>
      <c r="H3" s="4"/>
    </row>
    <row r="4" spans="1:11" x14ac:dyDescent="0.2">
      <c r="B4" s="11"/>
      <c r="C4" s="11" t="s">
        <v>9</v>
      </c>
      <c r="D4" s="11" t="s">
        <v>10</v>
      </c>
      <c r="E4" s="11"/>
      <c r="F4" s="10" t="s">
        <v>11</v>
      </c>
      <c r="G4" s="6"/>
      <c r="H4" s="6"/>
      <c r="I4" s="35" t="s">
        <v>4</v>
      </c>
    </row>
    <row r="5" spans="1:11" s="5" customFormat="1" x14ac:dyDescent="0.2">
      <c r="A5" s="12" t="s">
        <v>12</v>
      </c>
      <c r="B5" s="13" t="s">
        <v>13</v>
      </c>
      <c r="C5" s="52" t="s">
        <v>40</v>
      </c>
      <c r="D5" s="13" t="s">
        <v>14</v>
      </c>
      <c r="E5" s="13" t="s">
        <v>69</v>
      </c>
      <c r="F5" s="13" t="s">
        <v>23</v>
      </c>
      <c r="G5" s="13" t="s">
        <v>24</v>
      </c>
      <c r="H5" s="13" t="s">
        <v>15</v>
      </c>
      <c r="I5" s="14" t="s">
        <v>16</v>
      </c>
      <c r="J5" s="15" t="s">
        <v>17</v>
      </c>
    </row>
    <row r="6" spans="1:11" x14ac:dyDescent="0.2">
      <c r="A6" s="16">
        <v>1</v>
      </c>
      <c r="B6" s="17">
        <v>44538</v>
      </c>
      <c r="C6" s="39">
        <f t="shared" ref="C6:C37" si="0">IF(B6="","",YEAR(B6))</f>
        <v>2021</v>
      </c>
      <c r="D6" s="18" t="s">
        <v>27</v>
      </c>
      <c r="E6" s="18"/>
      <c r="I6" s="21">
        <v>0</v>
      </c>
      <c r="J6" s="19">
        <f>I6</f>
        <v>0</v>
      </c>
    </row>
    <row r="7" spans="1:11" x14ac:dyDescent="0.2">
      <c r="A7" s="16">
        <f t="shared" ref="A7:A38" si="1">A6+1</f>
        <v>2</v>
      </c>
      <c r="B7" s="17">
        <v>44552</v>
      </c>
      <c r="C7" s="39">
        <f t="shared" si="0"/>
        <v>2021</v>
      </c>
      <c r="D7" s="18" t="s">
        <v>120</v>
      </c>
      <c r="E7" s="22" t="s">
        <v>71</v>
      </c>
      <c r="F7" s="37" t="s">
        <v>48</v>
      </c>
      <c r="G7" s="22" t="s">
        <v>49</v>
      </c>
      <c r="H7" s="18" t="s">
        <v>114</v>
      </c>
      <c r="I7" s="21">
        <v>600000</v>
      </c>
      <c r="J7" s="19">
        <f t="shared" ref="J7:J38" si="2">IF(I7="",".",J6+I7)</f>
        <v>600000</v>
      </c>
    </row>
    <row r="8" spans="1:11" x14ac:dyDescent="0.2">
      <c r="A8" s="16">
        <f t="shared" si="1"/>
        <v>3</v>
      </c>
      <c r="B8" s="17">
        <v>44553</v>
      </c>
      <c r="C8" s="39">
        <f t="shared" si="0"/>
        <v>2021</v>
      </c>
      <c r="D8" s="18" t="s">
        <v>33</v>
      </c>
      <c r="E8" s="18"/>
      <c r="F8" s="37" t="s">
        <v>38</v>
      </c>
      <c r="G8" s="18" t="s">
        <v>33</v>
      </c>
      <c r="H8" s="22" t="s">
        <v>41</v>
      </c>
      <c r="I8" s="21">
        <v>-600000</v>
      </c>
      <c r="J8" s="19">
        <f t="shared" si="2"/>
        <v>0</v>
      </c>
    </row>
    <row r="9" spans="1:11" x14ac:dyDescent="0.2">
      <c r="A9" s="16">
        <f t="shared" si="1"/>
        <v>4</v>
      </c>
      <c r="B9" s="17">
        <v>44558</v>
      </c>
      <c r="C9" s="39">
        <f t="shared" si="0"/>
        <v>2021</v>
      </c>
      <c r="D9" s="18" t="s">
        <v>34</v>
      </c>
      <c r="E9" s="18"/>
      <c r="F9" s="37" t="s">
        <v>38</v>
      </c>
      <c r="G9" s="18" t="s">
        <v>34</v>
      </c>
      <c r="H9" s="22" t="s">
        <v>41</v>
      </c>
      <c r="I9" s="21">
        <v>600000</v>
      </c>
      <c r="J9" s="19">
        <f t="shared" si="2"/>
        <v>600000</v>
      </c>
    </row>
    <row r="10" spans="1:11" x14ac:dyDescent="0.2">
      <c r="A10" s="40">
        <f t="shared" si="1"/>
        <v>5</v>
      </c>
      <c r="B10" s="41">
        <v>44558</v>
      </c>
      <c r="C10" s="42">
        <f t="shared" si="0"/>
        <v>2021</v>
      </c>
      <c r="D10" s="43" t="s">
        <v>29</v>
      </c>
      <c r="E10" s="47" t="s">
        <v>70</v>
      </c>
      <c r="F10" s="46" t="s">
        <v>72</v>
      </c>
      <c r="G10" s="47" t="s">
        <v>39</v>
      </c>
      <c r="H10" s="43" t="s">
        <v>30</v>
      </c>
      <c r="I10" s="44">
        <v>-600000</v>
      </c>
      <c r="J10" s="45">
        <f t="shared" si="2"/>
        <v>0</v>
      </c>
      <c r="K10" s="67"/>
    </row>
    <row r="11" spans="1:11" x14ac:dyDescent="0.2">
      <c r="A11" s="16">
        <f t="shared" si="1"/>
        <v>6</v>
      </c>
      <c r="B11" s="17">
        <v>44566</v>
      </c>
      <c r="C11" s="39">
        <f t="shared" si="0"/>
        <v>2022</v>
      </c>
      <c r="D11" s="18" t="s">
        <v>34</v>
      </c>
      <c r="E11" s="18"/>
      <c r="F11" t="s">
        <v>38</v>
      </c>
      <c r="G11" s="22" t="s">
        <v>34</v>
      </c>
      <c r="H11" s="22" t="s">
        <v>41</v>
      </c>
      <c r="I11" s="21">
        <v>60</v>
      </c>
      <c r="J11" s="19">
        <f t="shared" si="2"/>
        <v>60</v>
      </c>
    </row>
    <row r="12" spans="1:11" x14ac:dyDescent="0.2">
      <c r="A12" s="16">
        <f t="shared" si="1"/>
        <v>7</v>
      </c>
      <c r="B12" s="17">
        <v>44566</v>
      </c>
      <c r="C12" s="39">
        <f t="shared" si="0"/>
        <v>2022</v>
      </c>
      <c r="D12" s="18" t="s">
        <v>31</v>
      </c>
      <c r="E12" s="22" t="s">
        <v>70</v>
      </c>
      <c r="F12" s="37" t="s">
        <v>92</v>
      </c>
      <c r="G12" s="22" t="s">
        <v>77</v>
      </c>
      <c r="H12" s="22" t="s">
        <v>41</v>
      </c>
      <c r="I12" s="21">
        <v>-60</v>
      </c>
      <c r="J12" s="19">
        <f t="shared" si="2"/>
        <v>0</v>
      </c>
    </row>
    <row r="13" spans="1:11" x14ac:dyDescent="0.2">
      <c r="A13" s="16">
        <f t="shared" si="1"/>
        <v>8</v>
      </c>
      <c r="B13" s="17">
        <v>44599</v>
      </c>
      <c r="C13" s="39">
        <f t="shared" si="0"/>
        <v>2022</v>
      </c>
      <c r="D13" s="18" t="s">
        <v>31</v>
      </c>
      <c r="E13" s="22" t="s">
        <v>70</v>
      </c>
      <c r="F13" s="37" t="s">
        <v>92</v>
      </c>
      <c r="G13" s="22" t="s">
        <v>77</v>
      </c>
      <c r="H13" s="22" t="s">
        <v>41</v>
      </c>
      <c r="I13" s="21">
        <v>-10.82</v>
      </c>
      <c r="J13" s="19">
        <f t="shared" si="2"/>
        <v>-10.82</v>
      </c>
    </row>
    <row r="14" spans="1:11" x14ac:dyDescent="0.2">
      <c r="A14" s="16">
        <f t="shared" si="1"/>
        <v>9</v>
      </c>
      <c r="B14" s="17">
        <v>44599</v>
      </c>
      <c r="C14" s="39">
        <f t="shared" si="0"/>
        <v>2022</v>
      </c>
      <c r="D14" s="18" t="s">
        <v>34</v>
      </c>
      <c r="E14" s="18"/>
      <c r="F14" t="s">
        <v>38</v>
      </c>
      <c r="G14" s="22" t="s">
        <v>34</v>
      </c>
      <c r="H14" s="22" t="s">
        <v>41</v>
      </c>
      <c r="I14" s="21">
        <v>10.82</v>
      </c>
      <c r="J14" s="19">
        <f t="shared" si="2"/>
        <v>0</v>
      </c>
    </row>
    <row r="15" spans="1:11" x14ac:dyDescent="0.2">
      <c r="A15" s="16">
        <f t="shared" si="1"/>
        <v>10</v>
      </c>
      <c r="B15" s="17">
        <v>44607</v>
      </c>
      <c r="C15" s="39">
        <f t="shared" si="0"/>
        <v>2022</v>
      </c>
      <c r="D15" s="18" t="s">
        <v>120</v>
      </c>
      <c r="E15" s="22" t="s">
        <v>71</v>
      </c>
      <c r="F15" s="37" t="s">
        <v>48</v>
      </c>
      <c r="G15" s="22" t="s">
        <v>49</v>
      </c>
      <c r="H15" s="18" t="s">
        <v>115</v>
      </c>
      <c r="I15" s="21">
        <v>183947.11</v>
      </c>
      <c r="J15" s="19">
        <f t="shared" si="2"/>
        <v>183947.11</v>
      </c>
    </row>
    <row r="16" spans="1:11" x14ac:dyDescent="0.2">
      <c r="A16" s="16">
        <f t="shared" si="1"/>
        <v>11</v>
      </c>
      <c r="B16" s="17">
        <v>44607</v>
      </c>
      <c r="C16" s="39">
        <f t="shared" si="0"/>
        <v>2022</v>
      </c>
      <c r="D16" s="18" t="s">
        <v>31</v>
      </c>
      <c r="E16" s="22" t="s">
        <v>70</v>
      </c>
      <c r="F16" s="37" t="s">
        <v>92</v>
      </c>
      <c r="G16" s="22" t="s">
        <v>77</v>
      </c>
      <c r="H16" s="22" t="s">
        <v>41</v>
      </c>
      <c r="I16" s="21">
        <v>-55.18</v>
      </c>
      <c r="J16" s="19">
        <f t="shared" si="2"/>
        <v>183891.93</v>
      </c>
    </row>
    <row r="17" spans="1:12" x14ac:dyDescent="0.2">
      <c r="A17" s="16">
        <f t="shared" si="1"/>
        <v>12</v>
      </c>
      <c r="B17" s="17">
        <v>44608</v>
      </c>
      <c r="C17" s="39">
        <f t="shared" si="0"/>
        <v>2022</v>
      </c>
      <c r="D17" s="18" t="s">
        <v>120</v>
      </c>
      <c r="E17" s="22" t="s">
        <v>71</v>
      </c>
      <c r="F17" s="37" t="s">
        <v>48</v>
      </c>
      <c r="G17" s="22" t="s">
        <v>49</v>
      </c>
      <c r="H17" s="18" t="s">
        <v>115</v>
      </c>
      <c r="I17" s="21">
        <v>200000</v>
      </c>
      <c r="J17" s="19">
        <f t="shared" si="2"/>
        <v>383891.93</v>
      </c>
    </row>
    <row r="18" spans="1:12" x14ac:dyDescent="0.2">
      <c r="A18" s="16">
        <f t="shared" si="1"/>
        <v>13</v>
      </c>
      <c r="B18" s="17">
        <v>44609</v>
      </c>
      <c r="C18" s="39">
        <f t="shared" si="0"/>
        <v>2022</v>
      </c>
      <c r="D18" s="18" t="s">
        <v>120</v>
      </c>
      <c r="E18" s="22" t="s">
        <v>71</v>
      </c>
      <c r="F18" s="37" t="s">
        <v>48</v>
      </c>
      <c r="G18" s="22" t="s">
        <v>49</v>
      </c>
      <c r="H18" s="18" t="s">
        <v>115</v>
      </c>
      <c r="I18" s="21">
        <v>200000</v>
      </c>
      <c r="J18" s="19">
        <f t="shared" si="2"/>
        <v>583891.92999999993</v>
      </c>
      <c r="K18" s="7">
        <v>-72.87</v>
      </c>
      <c r="L18" t="s">
        <v>62</v>
      </c>
    </row>
    <row r="19" spans="1:12" x14ac:dyDescent="0.2">
      <c r="A19" s="16">
        <f t="shared" si="1"/>
        <v>14</v>
      </c>
      <c r="B19" s="17">
        <v>44627</v>
      </c>
      <c r="C19" s="39">
        <f t="shared" si="0"/>
        <v>2022</v>
      </c>
      <c r="D19" s="18" t="s">
        <v>31</v>
      </c>
      <c r="E19" s="22" t="s">
        <v>70</v>
      </c>
      <c r="F19" s="37" t="s">
        <v>92</v>
      </c>
      <c r="G19" s="22" t="s">
        <v>77</v>
      </c>
      <c r="H19" s="22" t="s">
        <v>41</v>
      </c>
      <c r="I19" s="21">
        <v>-66</v>
      </c>
      <c r="J19" s="19">
        <f t="shared" si="2"/>
        <v>583825.92999999993</v>
      </c>
      <c r="K19" s="60">
        <v>-320.77999999999997</v>
      </c>
      <c r="L19" t="s">
        <v>63</v>
      </c>
    </row>
    <row r="20" spans="1:12" x14ac:dyDescent="0.2">
      <c r="A20" s="16">
        <f t="shared" si="1"/>
        <v>15</v>
      </c>
      <c r="B20" s="17">
        <v>44630</v>
      </c>
      <c r="C20" s="39">
        <f t="shared" si="0"/>
        <v>2022</v>
      </c>
      <c r="D20" s="18" t="s">
        <v>89</v>
      </c>
      <c r="E20" s="22" t="s">
        <v>70</v>
      </c>
      <c r="F20" s="37" t="s">
        <v>79</v>
      </c>
      <c r="G20" s="22" t="s">
        <v>147</v>
      </c>
      <c r="H20" s="22" t="s">
        <v>52</v>
      </c>
      <c r="I20" s="21">
        <v>-72.87</v>
      </c>
      <c r="J20" s="19">
        <f t="shared" si="2"/>
        <v>583753.05999999994</v>
      </c>
      <c r="K20" s="7">
        <f>SUM(K18:K19)</f>
        <v>-393.65</v>
      </c>
    </row>
    <row r="21" spans="1:12" x14ac:dyDescent="0.2">
      <c r="A21" s="16">
        <f t="shared" si="1"/>
        <v>16</v>
      </c>
      <c r="B21" s="17">
        <v>44631</v>
      </c>
      <c r="C21" s="39">
        <f t="shared" si="0"/>
        <v>2022</v>
      </c>
      <c r="D21" s="18" t="s">
        <v>89</v>
      </c>
      <c r="E21" s="22" t="s">
        <v>70</v>
      </c>
      <c r="F21" s="37" t="s">
        <v>79</v>
      </c>
      <c r="G21" s="22" t="s">
        <v>148</v>
      </c>
      <c r="H21" s="22" t="s">
        <v>52</v>
      </c>
      <c r="I21" s="21">
        <v>-320.77999999999997</v>
      </c>
      <c r="J21" s="19">
        <f t="shared" si="2"/>
        <v>583432.27999999991</v>
      </c>
      <c r="K21" s="60">
        <v>-23.37</v>
      </c>
      <c r="L21" t="s">
        <v>64</v>
      </c>
    </row>
    <row r="22" spans="1:12" x14ac:dyDescent="0.2">
      <c r="A22" s="16">
        <f t="shared" si="1"/>
        <v>17</v>
      </c>
      <c r="B22" s="17">
        <v>44632</v>
      </c>
      <c r="C22" s="39">
        <f t="shared" si="0"/>
        <v>2022</v>
      </c>
      <c r="D22" s="18" t="s">
        <v>89</v>
      </c>
      <c r="E22" s="22" t="s">
        <v>70</v>
      </c>
      <c r="F22" s="37" t="s">
        <v>79</v>
      </c>
      <c r="G22" s="22" t="s">
        <v>65</v>
      </c>
      <c r="H22" s="22" t="s">
        <v>52</v>
      </c>
      <c r="I22" s="21">
        <v>-23.37</v>
      </c>
      <c r="J22" s="19">
        <f t="shared" si="2"/>
        <v>583408.90999999992</v>
      </c>
      <c r="K22" s="7">
        <f>SUM(K20:K21)</f>
        <v>-417.02</v>
      </c>
    </row>
    <row r="23" spans="1:12" x14ac:dyDescent="0.2">
      <c r="A23" s="16">
        <f t="shared" si="1"/>
        <v>18</v>
      </c>
      <c r="B23" s="17">
        <v>44656</v>
      </c>
      <c r="C23" s="39">
        <f t="shared" si="0"/>
        <v>2022</v>
      </c>
      <c r="D23" s="18" t="s">
        <v>31</v>
      </c>
      <c r="E23" s="22" t="s">
        <v>70</v>
      </c>
      <c r="F23" s="37" t="s">
        <v>92</v>
      </c>
      <c r="G23" s="22" t="s">
        <v>77</v>
      </c>
      <c r="H23" s="22" t="s">
        <v>41</v>
      </c>
      <c r="I23" s="21">
        <v>-66</v>
      </c>
      <c r="J23" s="19">
        <f t="shared" si="2"/>
        <v>583342.90999999992</v>
      </c>
    </row>
    <row r="24" spans="1:12" x14ac:dyDescent="0.2">
      <c r="A24" s="16">
        <f t="shared" si="1"/>
        <v>19</v>
      </c>
      <c r="B24" s="17">
        <v>44686</v>
      </c>
      <c r="C24" s="39">
        <f t="shared" si="0"/>
        <v>2022</v>
      </c>
      <c r="D24" s="18" t="s">
        <v>31</v>
      </c>
      <c r="E24" s="22" t="s">
        <v>70</v>
      </c>
      <c r="F24" s="37" t="s">
        <v>92</v>
      </c>
      <c r="G24" s="22" t="s">
        <v>77</v>
      </c>
      <c r="H24" s="22" t="s">
        <v>41</v>
      </c>
      <c r="I24" s="21">
        <v>-66</v>
      </c>
      <c r="J24" s="19">
        <f t="shared" si="2"/>
        <v>583276.90999999992</v>
      </c>
    </row>
    <row r="25" spans="1:12" x14ac:dyDescent="0.2">
      <c r="A25" s="16">
        <f t="shared" si="1"/>
        <v>20</v>
      </c>
      <c r="B25" s="17">
        <v>44718</v>
      </c>
      <c r="C25" s="39">
        <f t="shared" si="0"/>
        <v>2022</v>
      </c>
      <c r="D25" s="18" t="s">
        <v>31</v>
      </c>
      <c r="E25" s="22" t="s">
        <v>70</v>
      </c>
      <c r="F25" s="37" t="s">
        <v>92</v>
      </c>
      <c r="G25" s="22" t="s">
        <v>77</v>
      </c>
      <c r="H25" s="22" t="s">
        <v>41</v>
      </c>
      <c r="I25" s="21">
        <v>-66</v>
      </c>
      <c r="J25" s="19">
        <f t="shared" si="2"/>
        <v>583210.90999999992</v>
      </c>
    </row>
    <row r="26" spans="1:12" x14ac:dyDescent="0.2">
      <c r="A26" s="16">
        <f t="shared" si="1"/>
        <v>21</v>
      </c>
      <c r="B26" s="17">
        <v>44735</v>
      </c>
      <c r="C26" s="39">
        <f t="shared" si="0"/>
        <v>2022</v>
      </c>
      <c r="D26" s="18" t="s">
        <v>33</v>
      </c>
      <c r="E26" s="18"/>
      <c r="F26" s="37" t="s">
        <v>38</v>
      </c>
      <c r="G26" s="18" t="s">
        <v>33</v>
      </c>
      <c r="H26" s="22" t="s">
        <v>41</v>
      </c>
      <c r="I26" s="21">
        <v>-583210.91</v>
      </c>
      <c r="J26" s="19">
        <f t="shared" si="2"/>
        <v>-1.1641532182693481E-10</v>
      </c>
    </row>
    <row r="27" spans="1:12" x14ac:dyDescent="0.2">
      <c r="A27" s="16">
        <f t="shared" si="1"/>
        <v>22</v>
      </c>
      <c r="B27" s="17">
        <v>44748</v>
      </c>
      <c r="C27" s="39">
        <f t="shared" si="0"/>
        <v>2022</v>
      </c>
      <c r="D27" s="18" t="s">
        <v>31</v>
      </c>
      <c r="E27" s="22" t="s">
        <v>70</v>
      </c>
      <c r="F27" s="37" t="s">
        <v>92</v>
      </c>
      <c r="G27" s="22" t="s">
        <v>77</v>
      </c>
      <c r="H27" s="22" t="s">
        <v>41</v>
      </c>
      <c r="I27" s="21">
        <v>-66</v>
      </c>
      <c r="J27" s="19">
        <f t="shared" si="2"/>
        <v>-66.000000000116415</v>
      </c>
    </row>
    <row r="28" spans="1:12" x14ac:dyDescent="0.2">
      <c r="A28" s="16">
        <f t="shared" si="1"/>
        <v>23</v>
      </c>
      <c r="B28" s="17">
        <v>44748</v>
      </c>
      <c r="C28" s="39">
        <f t="shared" si="0"/>
        <v>2022</v>
      </c>
      <c r="D28" s="18" t="s">
        <v>34</v>
      </c>
      <c r="E28" s="18"/>
      <c r="F28" t="s">
        <v>38</v>
      </c>
      <c r="G28" s="22" t="s">
        <v>34</v>
      </c>
      <c r="H28" s="22" t="s">
        <v>41</v>
      </c>
      <c r="I28" s="21">
        <v>66</v>
      </c>
      <c r="J28" s="19">
        <f t="shared" si="2"/>
        <v>-1.1641532182693481E-10</v>
      </c>
    </row>
    <row r="29" spans="1:12" x14ac:dyDescent="0.2">
      <c r="A29" s="16">
        <f t="shared" si="1"/>
        <v>24</v>
      </c>
      <c r="B29" s="17">
        <v>44778</v>
      </c>
      <c r="C29" s="39">
        <f t="shared" si="0"/>
        <v>2022</v>
      </c>
      <c r="D29" s="18" t="s">
        <v>31</v>
      </c>
      <c r="E29" s="22" t="s">
        <v>70</v>
      </c>
      <c r="F29" s="37" t="s">
        <v>92</v>
      </c>
      <c r="G29" s="22" t="s">
        <v>77</v>
      </c>
      <c r="H29" s="22" t="s">
        <v>41</v>
      </c>
      <c r="I29" s="21">
        <v>-66</v>
      </c>
      <c r="J29" s="19">
        <f t="shared" si="2"/>
        <v>-66.000000000116415</v>
      </c>
    </row>
    <row r="30" spans="1:12" x14ac:dyDescent="0.2">
      <c r="A30" s="16">
        <f t="shared" si="1"/>
        <v>25</v>
      </c>
      <c r="B30" s="17">
        <v>44778</v>
      </c>
      <c r="C30" s="39">
        <f t="shared" si="0"/>
        <v>2022</v>
      </c>
      <c r="D30" s="18" t="s">
        <v>34</v>
      </c>
      <c r="E30" s="18"/>
      <c r="F30" t="s">
        <v>38</v>
      </c>
      <c r="G30" s="22" t="s">
        <v>34</v>
      </c>
      <c r="H30" s="22" t="s">
        <v>41</v>
      </c>
      <c r="I30" s="21">
        <v>66</v>
      </c>
      <c r="J30" s="19">
        <f t="shared" si="2"/>
        <v>-1.1641532182693481E-10</v>
      </c>
    </row>
    <row r="31" spans="1:12" x14ac:dyDescent="0.2">
      <c r="A31" s="16">
        <f t="shared" si="1"/>
        <v>26</v>
      </c>
      <c r="B31" s="17">
        <v>44809</v>
      </c>
      <c r="C31" s="39">
        <f t="shared" si="0"/>
        <v>2022</v>
      </c>
      <c r="D31" s="18" t="s">
        <v>31</v>
      </c>
      <c r="E31" s="22" t="s">
        <v>70</v>
      </c>
      <c r="F31" s="37" t="s">
        <v>92</v>
      </c>
      <c r="G31" s="22" t="s">
        <v>77</v>
      </c>
      <c r="H31" s="22" t="s">
        <v>41</v>
      </c>
      <c r="I31" s="21">
        <v>-66</v>
      </c>
      <c r="J31" s="19">
        <f t="shared" si="2"/>
        <v>-66.000000000116415</v>
      </c>
    </row>
    <row r="32" spans="1:12" x14ac:dyDescent="0.2">
      <c r="A32" s="16">
        <f t="shared" si="1"/>
        <v>27</v>
      </c>
      <c r="B32" s="17">
        <v>44809</v>
      </c>
      <c r="C32" s="39">
        <f t="shared" si="0"/>
        <v>2022</v>
      </c>
      <c r="D32" s="18" t="s">
        <v>34</v>
      </c>
      <c r="E32" s="18"/>
      <c r="F32" t="s">
        <v>38</v>
      </c>
      <c r="G32" s="22" t="s">
        <v>34</v>
      </c>
      <c r="H32" s="22" t="s">
        <v>41</v>
      </c>
      <c r="I32" s="21">
        <v>66</v>
      </c>
      <c r="J32" s="19">
        <f t="shared" si="2"/>
        <v>-1.1641532182693481E-10</v>
      </c>
    </row>
    <row r="33" spans="1:11" x14ac:dyDescent="0.2">
      <c r="A33" s="16">
        <f t="shared" si="1"/>
        <v>28</v>
      </c>
      <c r="B33" s="17">
        <v>44839</v>
      </c>
      <c r="C33" s="39">
        <f t="shared" si="0"/>
        <v>2022</v>
      </c>
      <c r="D33" s="18" t="s">
        <v>31</v>
      </c>
      <c r="E33" s="22" t="s">
        <v>70</v>
      </c>
      <c r="F33" s="37" t="s">
        <v>92</v>
      </c>
      <c r="G33" s="22" t="s">
        <v>77</v>
      </c>
      <c r="H33" s="22" t="s">
        <v>41</v>
      </c>
      <c r="I33" s="21">
        <v>-66</v>
      </c>
      <c r="J33" s="19">
        <f t="shared" si="2"/>
        <v>-66.000000000116415</v>
      </c>
    </row>
    <row r="34" spans="1:11" x14ac:dyDescent="0.2">
      <c r="A34" s="16">
        <f t="shared" si="1"/>
        <v>29</v>
      </c>
      <c r="B34" s="17">
        <v>44839</v>
      </c>
      <c r="C34" s="39">
        <f t="shared" si="0"/>
        <v>2022</v>
      </c>
      <c r="D34" s="18" t="s">
        <v>34</v>
      </c>
      <c r="E34" s="18"/>
      <c r="F34" t="s">
        <v>38</v>
      </c>
      <c r="G34" s="22" t="s">
        <v>34</v>
      </c>
      <c r="H34" s="22" t="s">
        <v>41</v>
      </c>
      <c r="I34" s="21">
        <v>66</v>
      </c>
      <c r="J34" s="19">
        <f t="shared" si="2"/>
        <v>-1.1641532182693481E-10</v>
      </c>
    </row>
    <row r="35" spans="1:11" x14ac:dyDescent="0.2">
      <c r="A35" s="16">
        <f t="shared" si="1"/>
        <v>30</v>
      </c>
      <c r="B35" s="17">
        <v>44872</v>
      </c>
      <c r="C35" s="39">
        <f t="shared" si="0"/>
        <v>2022</v>
      </c>
      <c r="D35" s="18" t="s">
        <v>31</v>
      </c>
      <c r="E35" s="22" t="s">
        <v>70</v>
      </c>
      <c r="F35" s="37" t="s">
        <v>92</v>
      </c>
      <c r="G35" s="22" t="s">
        <v>77</v>
      </c>
      <c r="H35" s="22" t="s">
        <v>41</v>
      </c>
      <c r="I35" s="21">
        <v>-66</v>
      </c>
      <c r="J35" s="19">
        <f t="shared" si="2"/>
        <v>-66.000000000116415</v>
      </c>
    </row>
    <row r="36" spans="1:11" x14ac:dyDescent="0.2">
      <c r="A36" s="16">
        <f t="shared" si="1"/>
        <v>31</v>
      </c>
      <c r="B36" s="17">
        <v>44872</v>
      </c>
      <c r="C36" s="39">
        <f t="shared" si="0"/>
        <v>2022</v>
      </c>
      <c r="D36" s="18" t="s">
        <v>34</v>
      </c>
      <c r="E36" s="18"/>
      <c r="F36" t="s">
        <v>38</v>
      </c>
      <c r="G36" s="22" t="s">
        <v>34</v>
      </c>
      <c r="H36" s="22" t="s">
        <v>41</v>
      </c>
      <c r="I36" s="21">
        <v>66</v>
      </c>
      <c r="J36" s="19">
        <f t="shared" si="2"/>
        <v>-1.1641532182693481E-10</v>
      </c>
    </row>
    <row r="37" spans="1:11" x14ac:dyDescent="0.2">
      <c r="A37" s="16">
        <f t="shared" si="1"/>
        <v>32</v>
      </c>
      <c r="B37" s="17">
        <v>44900</v>
      </c>
      <c r="C37" s="39">
        <f t="shared" si="0"/>
        <v>2022</v>
      </c>
      <c r="D37" s="18" t="s">
        <v>31</v>
      </c>
      <c r="E37" s="22" t="s">
        <v>70</v>
      </c>
      <c r="F37" s="37" t="s">
        <v>92</v>
      </c>
      <c r="G37" s="22" t="s">
        <v>77</v>
      </c>
      <c r="H37" s="22" t="s">
        <v>41</v>
      </c>
      <c r="I37" s="21">
        <v>-66</v>
      </c>
      <c r="J37" s="19">
        <f t="shared" si="2"/>
        <v>-66.000000000116415</v>
      </c>
    </row>
    <row r="38" spans="1:11" x14ac:dyDescent="0.2">
      <c r="A38" s="16">
        <f t="shared" si="1"/>
        <v>33</v>
      </c>
      <c r="B38" s="17">
        <v>44900</v>
      </c>
      <c r="C38" s="39">
        <f t="shared" ref="C38:C69" si="3">IF(B38="","",YEAR(B38))</f>
        <v>2022</v>
      </c>
      <c r="D38" s="18" t="s">
        <v>34</v>
      </c>
      <c r="E38" s="18"/>
      <c r="F38" t="s">
        <v>38</v>
      </c>
      <c r="G38" s="22" t="s">
        <v>34</v>
      </c>
      <c r="H38" s="22" t="s">
        <v>41</v>
      </c>
      <c r="I38" s="21">
        <v>66</v>
      </c>
      <c r="J38" s="19">
        <f t="shared" si="2"/>
        <v>-1.1641532182693481E-10</v>
      </c>
    </row>
    <row r="39" spans="1:11" x14ac:dyDescent="0.2">
      <c r="A39" s="16">
        <f t="shared" ref="A39:A113" si="4">A38+1</f>
        <v>34</v>
      </c>
      <c r="B39" s="17">
        <v>44918</v>
      </c>
      <c r="C39" s="4">
        <f t="shared" si="3"/>
        <v>2022</v>
      </c>
      <c r="D39" s="18" t="s">
        <v>50</v>
      </c>
      <c r="E39" s="22" t="s">
        <v>70</v>
      </c>
      <c r="F39" t="s">
        <v>91</v>
      </c>
      <c r="G39" s="22" t="s">
        <v>47</v>
      </c>
      <c r="H39" s="18" t="s">
        <v>46</v>
      </c>
      <c r="I39" s="21">
        <v>-1050</v>
      </c>
      <c r="J39" s="19">
        <f t="shared" ref="J39:J70" si="5">IF(I39="",".",J38+I39)</f>
        <v>-1050.0000000001164</v>
      </c>
    </row>
    <row r="40" spans="1:11" x14ac:dyDescent="0.2">
      <c r="A40" s="16">
        <f t="shared" si="4"/>
        <v>35</v>
      </c>
      <c r="B40" s="17">
        <v>44918</v>
      </c>
      <c r="C40" s="39">
        <f t="shared" si="3"/>
        <v>2022</v>
      </c>
      <c r="D40" s="18" t="s">
        <v>34</v>
      </c>
      <c r="E40" s="18"/>
      <c r="F40" t="s">
        <v>38</v>
      </c>
      <c r="G40" s="22" t="s">
        <v>34</v>
      </c>
      <c r="H40" s="22" t="s">
        <v>41</v>
      </c>
      <c r="I40" s="21">
        <v>1050</v>
      </c>
      <c r="J40" s="19">
        <f t="shared" si="5"/>
        <v>-1.1641532182693481E-10</v>
      </c>
    </row>
    <row r="41" spans="1:11" x14ac:dyDescent="0.2">
      <c r="A41" s="40">
        <f t="shared" si="4"/>
        <v>36</v>
      </c>
      <c r="B41" s="41">
        <v>44924</v>
      </c>
      <c r="C41" s="42">
        <f t="shared" si="3"/>
        <v>2022</v>
      </c>
      <c r="D41" s="43" t="s">
        <v>120</v>
      </c>
      <c r="E41" s="47" t="s">
        <v>71</v>
      </c>
      <c r="F41" s="46" t="s">
        <v>48</v>
      </c>
      <c r="G41" s="47" t="s">
        <v>49</v>
      </c>
      <c r="H41" s="43" t="s">
        <v>114</v>
      </c>
      <c r="I41" s="44">
        <v>255109.77</v>
      </c>
      <c r="J41" s="45">
        <f t="shared" si="5"/>
        <v>255109.76999999987</v>
      </c>
      <c r="K41" s="67"/>
    </row>
    <row r="42" spans="1:11" x14ac:dyDescent="0.2">
      <c r="A42" s="16">
        <f t="shared" si="4"/>
        <v>37</v>
      </c>
      <c r="B42" s="17">
        <v>44931</v>
      </c>
      <c r="C42" s="39">
        <f t="shared" si="3"/>
        <v>2023</v>
      </c>
      <c r="D42" s="18" t="s">
        <v>31</v>
      </c>
      <c r="E42" s="22" t="s">
        <v>70</v>
      </c>
      <c r="F42" s="37" t="s">
        <v>92</v>
      </c>
      <c r="G42" s="22" t="s">
        <v>77</v>
      </c>
      <c r="H42" s="22" t="s">
        <v>41</v>
      </c>
      <c r="I42" s="21">
        <v>-69</v>
      </c>
      <c r="J42" s="19">
        <f t="shared" si="5"/>
        <v>255040.76999999987</v>
      </c>
    </row>
    <row r="43" spans="1:11" x14ac:dyDescent="0.2">
      <c r="A43" s="16">
        <f t="shared" si="4"/>
        <v>38</v>
      </c>
      <c r="B43" s="17">
        <v>44958</v>
      </c>
      <c r="C43" s="39">
        <f t="shared" si="3"/>
        <v>2023</v>
      </c>
      <c r="D43" s="18" t="s">
        <v>33</v>
      </c>
      <c r="E43" s="18"/>
      <c r="F43" s="37" t="s">
        <v>38</v>
      </c>
      <c r="G43" s="18" t="s">
        <v>33</v>
      </c>
      <c r="H43" s="22" t="s">
        <v>41</v>
      </c>
      <c r="I43" s="21">
        <v>-255040.77</v>
      </c>
      <c r="J43" s="19">
        <f t="shared" si="5"/>
        <v>-1.1641532182693481E-10</v>
      </c>
    </row>
    <row r="44" spans="1:11" x14ac:dyDescent="0.2">
      <c r="A44" s="16">
        <f t="shared" si="4"/>
        <v>39</v>
      </c>
      <c r="B44" s="17">
        <v>44963</v>
      </c>
      <c r="C44" s="39">
        <f t="shared" si="3"/>
        <v>2023</v>
      </c>
      <c r="D44" s="18" t="s">
        <v>31</v>
      </c>
      <c r="E44" s="22" t="s">
        <v>70</v>
      </c>
      <c r="F44" s="37" t="s">
        <v>92</v>
      </c>
      <c r="G44" s="22" t="s">
        <v>77</v>
      </c>
      <c r="H44" s="22" t="s">
        <v>41</v>
      </c>
      <c r="I44" s="21">
        <v>-69</v>
      </c>
      <c r="J44" s="19">
        <f t="shared" si="5"/>
        <v>-69.000000000116415</v>
      </c>
    </row>
    <row r="45" spans="1:11" x14ac:dyDescent="0.2">
      <c r="A45" s="16">
        <f t="shared" si="4"/>
        <v>40</v>
      </c>
      <c r="B45" s="17">
        <v>44963</v>
      </c>
      <c r="C45" s="39">
        <f t="shared" si="3"/>
        <v>2023</v>
      </c>
      <c r="D45" s="18" t="s">
        <v>34</v>
      </c>
      <c r="E45" s="18"/>
      <c r="F45" t="s">
        <v>38</v>
      </c>
      <c r="G45" s="22" t="s">
        <v>34</v>
      </c>
      <c r="H45" s="22" t="s">
        <v>41</v>
      </c>
      <c r="I45" s="21">
        <v>69</v>
      </c>
      <c r="J45" s="19">
        <f t="shared" si="5"/>
        <v>-1.1641532182693481E-10</v>
      </c>
    </row>
    <row r="46" spans="1:11" x14ac:dyDescent="0.2">
      <c r="A46" s="16">
        <f t="shared" si="4"/>
        <v>41</v>
      </c>
      <c r="B46" s="17">
        <v>44991</v>
      </c>
      <c r="C46" s="39">
        <f t="shared" si="3"/>
        <v>2023</v>
      </c>
      <c r="D46" s="18" t="s">
        <v>31</v>
      </c>
      <c r="E46" s="22" t="s">
        <v>70</v>
      </c>
      <c r="F46" s="37" t="s">
        <v>92</v>
      </c>
      <c r="G46" s="22" t="s">
        <v>77</v>
      </c>
      <c r="H46" s="22" t="s">
        <v>41</v>
      </c>
      <c r="I46" s="21">
        <v>-69</v>
      </c>
      <c r="J46" s="19">
        <f t="shared" si="5"/>
        <v>-69.000000000116415</v>
      </c>
    </row>
    <row r="47" spans="1:11" x14ac:dyDescent="0.2">
      <c r="A47" s="16">
        <f t="shared" si="4"/>
        <v>42</v>
      </c>
      <c r="B47" s="17">
        <v>44991</v>
      </c>
      <c r="C47" s="39">
        <f t="shared" si="3"/>
        <v>2023</v>
      </c>
      <c r="D47" s="18" t="s">
        <v>34</v>
      </c>
      <c r="E47" s="18"/>
      <c r="F47" t="s">
        <v>38</v>
      </c>
      <c r="G47" s="22" t="s">
        <v>34</v>
      </c>
      <c r="H47" s="22" t="s">
        <v>41</v>
      </c>
      <c r="I47" s="21">
        <v>69</v>
      </c>
      <c r="J47" s="19">
        <f t="shared" si="5"/>
        <v>-1.1641532182693481E-10</v>
      </c>
    </row>
    <row r="48" spans="1:11" x14ac:dyDescent="0.2">
      <c r="A48" s="16">
        <f t="shared" si="4"/>
        <v>43</v>
      </c>
      <c r="B48" s="17">
        <v>45022</v>
      </c>
      <c r="C48" s="39">
        <f t="shared" si="3"/>
        <v>2023</v>
      </c>
      <c r="D48" s="18" t="s">
        <v>31</v>
      </c>
      <c r="E48" s="22" t="s">
        <v>70</v>
      </c>
      <c r="F48" s="37" t="s">
        <v>92</v>
      </c>
      <c r="G48" s="22" t="s">
        <v>77</v>
      </c>
      <c r="H48" s="22" t="s">
        <v>41</v>
      </c>
      <c r="I48" s="21">
        <v>-69</v>
      </c>
      <c r="J48" s="19">
        <f t="shared" si="5"/>
        <v>-69.000000000116415</v>
      </c>
    </row>
    <row r="49" spans="1:10" x14ac:dyDescent="0.2">
      <c r="A49" s="16">
        <f t="shared" si="4"/>
        <v>44</v>
      </c>
      <c r="B49" s="17">
        <v>45022</v>
      </c>
      <c r="C49" s="39">
        <f t="shared" si="3"/>
        <v>2023</v>
      </c>
      <c r="D49" s="18" t="s">
        <v>34</v>
      </c>
      <c r="E49" s="18"/>
      <c r="F49" t="s">
        <v>38</v>
      </c>
      <c r="G49" s="22" t="s">
        <v>34</v>
      </c>
      <c r="H49" s="22" t="s">
        <v>41</v>
      </c>
      <c r="I49" s="21">
        <v>69</v>
      </c>
      <c r="J49" s="19">
        <f t="shared" si="5"/>
        <v>-1.1641532182693481E-10</v>
      </c>
    </row>
    <row r="50" spans="1:10" x14ac:dyDescent="0.2">
      <c r="A50" s="16">
        <f t="shared" si="4"/>
        <v>45</v>
      </c>
      <c r="B50" s="17">
        <v>45051</v>
      </c>
      <c r="C50" s="39">
        <f t="shared" si="3"/>
        <v>2023</v>
      </c>
      <c r="D50" s="18" t="s">
        <v>31</v>
      </c>
      <c r="E50" s="22" t="s">
        <v>70</v>
      </c>
      <c r="F50" s="37" t="s">
        <v>92</v>
      </c>
      <c r="G50" s="22" t="s">
        <v>77</v>
      </c>
      <c r="H50" s="22" t="s">
        <v>41</v>
      </c>
      <c r="I50" s="21">
        <v>-69</v>
      </c>
      <c r="J50" s="19">
        <f t="shared" si="5"/>
        <v>-69.000000000116415</v>
      </c>
    </row>
    <row r="51" spans="1:10" x14ac:dyDescent="0.2">
      <c r="A51" s="16">
        <f t="shared" si="4"/>
        <v>46</v>
      </c>
      <c r="B51" s="17">
        <v>45051</v>
      </c>
      <c r="C51" s="39">
        <f t="shared" si="3"/>
        <v>2023</v>
      </c>
      <c r="D51" s="18" t="s">
        <v>34</v>
      </c>
      <c r="E51" s="18"/>
      <c r="F51" t="s">
        <v>38</v>
      </c>
      <c r="G51" s="22" t="s">
        <v>34</v>
      </c>
      <c r="H51" s="22" t="s">
        <v>41</v>
      </c>
      <c r="I51" s="21">
        <v>69</v>
      </c>
      <c r="J51" s="19">
        <f t="shared" si="5"/>
        <v>-1.1641532182693481E-10</v>
      </c>
    </row>
    <row r="52" spans="1:10" x14ac:dyDescent="0.2">
      <c r="A52" s="16">
        <f t="shared" si="4"/>
        <v>47</v>
      </c>
      <c r="B52" s="17">
        <v>45077</v>
      </c>
      <c r="C52" s="4">
        <f t="shared" si="3"/>
        <v>2023</v>
      </c>
      <c r="D52" s="18" t="s">
        <v>73</v>
      </c>
      <c r="E52" s="22" t="s">
        <v>70</v>
      </c>
      <c r="F52" t="s">
        <v>91</v>
      </c>
      <c r="G52" s="22" t="s">
        <v>47</v>
      </c>
      <c r="H52" s="22" t="s">
        <v>75</v>
      </c>
      <c r="I52" s="21">
        <v>-850</v>
      </c>
      <c r="J52" s="19">
        <f t="shared" si="5"/>
        <v>-850.00000000011642</v>
      </c>
    </row>
    <row r="53" spans="1:10" x14ac:dyDescent="0.2">
      <c r="A53" s="16">
        <f t="shared" si="4"/>
        <v>48</v>
      </c>
      <c r="B53" s="17">
        <v>45077</v>
      </c>
      <c r="C53" s="39">
        <f t="shared" si="3"/>
        <v>2023</v>
      </c>
      <c r="D53" s="18" t="s">
        <v>34</v>
      </c>
      <c r="E53" s="18"/>
      <c r="F53" t="s">
        <v>38</v>
      </c>
      <c r="G53" s="22" t="s">
        <v>34</v>
      </c>
      <c r="H53" s="22" t="s">
        <v>41</v>
      </c>
      <c r="I53" s="21">
        <v>850</v>
      </c>
      <c r="J53" s="19">
        <f t="shared" si="5"/>
        <v>-1.1641532182693481E-10</v>
      </c>
    </row>
    <row r="54" spans="1:10" x14ac:dyDescent="0.2">
      <c r="A54" s="16">
        <f t="shared" si="4"/>
        <v>49</v>
      </c>
      <c r="B54" s="17">
        <v>45082</v>
      </c>
      <c r="C54" s="39">
        <f t="shared" si="3"/>
        <v>2023</v>
      </c>
      <c r="D54" s="18" t="s">
        <v>31</v>
      </c>
      <c r="E54" s="22" t="s">
        <v>70</v>
      </c>
      <c r="F54" s="37" t="s">
        <v>92</v>
      </c>
      <c r="G54" s="22" t="s">
        <v>77</v>
      </c>
      <c r="H54" s="22" t="s">
        <v>41</v>
      </c>
      <c r="I54" s="21">
        <v>-69</v>
      </c>
      <c r="J54" s="19">
        <f t="shared" si="5"/>
        <v>-69.000000000116415</v>
      </c>
    </row>
    <row r="55" spans="1:10" x14ac:dyDescent="0.2">
      <c r="A55" s="16">
        <f t="shared" si="4"/>
        <v>50</v>
      </c>
      <c r="B55" s="17">
        <v>45082</v>
      </c>
      <c r="C55" s="39">
        <f t="shared" si="3"/>
        <v>2023</v>
      </c>
      <c r="D55" s="18" t="s">
        <v>34</v>
      </c>
      <c r="E55" s="18"/>
      <c r="F55" t="s">
        <v>38</v>
      </c>
      <c r="G55" s="22" t="s">
        <v>34</v>
      </c>
      <c r="H55" s="22" t="s">
        <v>41</v>
      </c>
      <c r="I55" s="21">
        <v>69</v>
      </c>
      <c r="J55" s="19">
        <f t="shared" si="5"/>
        <v>-1.1641532182693481E-10</v>
      </c>
    </row>
    <row r="56" spans="1:10" x14ac:dyDescent="0.2">
      <c r="A56" s="16">
        <f t="shared" si="4"/>
        <v>51</v>
      </c>
      <c r="B56" s="17">
        <v>45112</v>
      </c>
      <c r="C56" s="39">
        <f t="shared" si="3"/>
        <v>2023</v>
      </c>
      <c r="D56" s="18" t="s">
        <v>31</v>
      </c>
      <c r="E56" s="22" t="s">
        <v>70</v>
      </c>
      <c r="F56" s="37" t="s">
        <v>92</v>
      </c>
      <c r="G56" s="22" t="s">
        <v>77</v>
      </c>
      <c r="H56" s="22" t="s">
        <v>41</v>
      </c>
      <c r="I56" s="21">
        <v>-69</v>
      </c>
      <c r="J56" s="19">
        <f t="shared" si="5"/>
        <v>-69.000000000116415</v>
      </c>
    </row>
    <row r="57" spans="1:10" x14ac:dyDescent="0.2">
      <c r="A57" s="16">
        <f t="shared" si="4"/>
        <v>52</v>
      </c>
      <c r="B57" s="17">
        <v>45112</v>
      </c>
      <c r="C57" s="39">
        <f t="shared" si="3"/>
        <v>2023</v>
      </c>
      <c r="D57" s="18" t="s">
        <v>34</v>
      </c>
      <c r="E57" s="18"/>
      <c r="F57" t="s">
        <v>38</v>
      </c>
      <c r="G57" s="22" t="s">
        <v>34</v>
      </c>
      <c r="H57" s="22" t="s">
        <v>41</v>
      </c>
      <c r="I57" s="21">
        <v>69</v>
      </c>
      <c r="J57" s="19">
        <f t="shared" si="5"/>
        <v>-1.1641532182693481E-10</v>
      </c>
    </row>
    <row r="58" spans="1:10" x14ac:dyDescent="0.2">
      <c r="A58" s="16">
        <f t="shared" si="4"/>
        <v>53</v>
      </c>
      <c r="B58" s="17">
        <v>45124</v>
      </c>
      <c r="C58" s="4">
        <f t="shared" si="3"/>
        <v>2023</v>
      </c>
      <c r="D58" s="18" t="s">
        <v>81</v>
      </c>
      <c r="E58" s="22" t="s">
        <v>70</v>
      </c>
      <c r="F58" t="s">
        <v>91</v>
      </c>
      <c r="G58" s="22" t="s">
        <v>47</v>
      </c>
      <c r="H58" s="22" t="s">
        <v>82</v>
      </c>
      <c r="I58" s="21">
        <v>-1200</v>
      </c>
      <c r="J58" s="19">
        <f t="shared" si="5"/>
        <v>-1200.0000000001164</v>
      </c>
    </row>
    <row r="59" spans="1:10" x14ac:dyDescent="0.2">
      <c r="A59" s="16">
        <f t="shared" si="4"/>
        <v>54</v>
      </c>
      <c r="B59" s="17">
        <v>45124</v>
      </c>
      <c r="C59" s="39">
        <f t="shared" si="3"/>
        <v>2023</v>
      </c>
      <c r="D59" s="18" t="s">
        <v>34</v>
      </c>
      <c r="E59" s="18"/>
      <c r="F59" t="s">
        <v>38</v>
      </c>
      <c r="G59" s="22" t="s">
        <v>34</v>
      </c>
      <c r="H59" s="22" t="s">
        <v>41</v>
      </c>
      <c r="I59" s="21">
        <v>1200</v>
      </c>
      <c r="J59" s="19">
        <f t="shared" si="5"/>
        <v>-1.1641532182693481E-10</v>
      </c>
    </row>
    <row r="60" spans="1:10" x14ac:dyDescent="0.2">
      <c r="A60" s="16">
        <f t="shared" si="4"/>
        <v>55</v>
      </c>
      <c r="B60" s="17">
        <v>45145</v>
      </c>
      <c r="C60" s="39">
        <f t="shared" si="3"/>
        <v>2023</v>
      </c>
      <c r="D60" s="18" t="s">
        <v>31</v>
      </c>
      <c r="E60" s="22" t="s">
        <v>70</v>
      </c>
      <c r="F60" s="37" t="s">
        <v>92</v>
      </c>
      <c r="G60" s="22" t="s">
        <v>77</v>
      </c>
      <c r="H60" s="22" t="s">
        <v>41</v>
      </c>
      <c r="I60" s="21">
        <v>-69</v>
      </c>
      <c r="J60" s="19">
        <f t="shared" si="5"/>
        <v>-69.000000000116415</v>
      </c>
    </row>
    <row r="61" spans="1:10" x14ac:dyDescent="0.2">
      <c r="A61" s="16">
        <f t="shared" si="4"/>
        <v>56</v>
      </c>
      <c r="B61" s="17">
        <v>45145</v>
      </c>
      <c r="C61" s="39">
        <f t="shared" si="3"/>
        <v>2023</v>
      </c>
      <c r="D61" s="18" t="s">
        <v>34</v>
      </c>
      <c r="E61" s="18"/>
      <c r="F61" t="s">
        <v>38</v>
      </c>
      <c r="G61" s="22" t="s">
        <v>34</v>
      </c>
      <c r="H61" s="22" t="s">
        <v>41</v>
      </c>
      <c r="I61" s="21">
        <v>69</v>
      </c>
      <c r="J61" s="19">
        <f t="shared" si="5"/>
        <v>-1.1641532182693481E-10</v>
      </c>
    </row>
    <row r="62" spans="1:10" x14ac:dyDescent="0.2">
      <c r="A62" s="16">
        <f t="shared" si="4"/>
        <v>57</v>
      </c>
      <c r="B62" s="17">
        <v>45174</v>
      </c>
      <c r="C62" s="39">
        <f t="shared" si="3"/>
        <v>2023</v>
      </c>
      <c r="D62" s="18" t="s">
        <v>31</v>
      </c>
      <c r="E62" s="22" t="s">
        <v>70</v>
      </c>
      <c r="F62" s="37" t="s">
        <v>92</v>
      </c>
      <c r="G62" s="22" t="s">
        <v>77</v>
      </c>
      <c r="H62" s="22" t="s">
        <v>41</v>
      </c>
      <c r="I62" s="21">
        <v>-69</v>
      </c>
      <c r="J62" s="19">
        <f t="shared" si="5"/>
        <v>-69.000000000116415</v>
      </c>
    </row>
    <row r="63" spans="1:10" x14ac:dyDescent="0.2">
      <c r="A63" s="16">
        <f t="shared" si="4"/>
        <v>58</v>
      </c>
      <c r="B63" s="17">
        <v>45174</v>
      </c>
      <c r="C63" s="39">
        <f t="shared" si="3"/>
        <v>2023</v>
      </c>
      <c r="D63" s="18" t="s">
        <v>34</v>
      </c>
      <c r="E63" s="18"/>
      <c r="F63" t="s">
        <v>38</v>
      </c>
      <c r="G63" s="22" t="s">
        <v>34</v>
      </c>
      <c r="H63" s="22" t="s">
        <v>41</v>
      </c>
      <c r="I63" s="21">
        <v>69</v>
      </c>
      <c r="J63" s="19">
        <f t="shared" si="5"/>
        <v>-1.1641532182693481E-10</v>
      </c>
    </row>
    <row r="64" spans="1:10" x14ac:dyDescent="0.2">
      <c r="A64" s="16">
        <f t="shared" si="4"/>
        <v>59</v>
      </c>
      <c r="B64" s="17">
        <v>45204</v>
      </c>
      <c r="C64" s="39">
        <f t="shared" si="3"/>
        <v>2023</v>
      </c>
      <c r="D64" s="18" t="s">
        <v>31</v>
      </c>
      <c r="E64" s="22" t="s">
        <v>70</v>
      </c>
      <c r="F64" s="37" t="s">
        <v>92</v>
      </c>
      <c r="G64" s="22" t="s">
        <v>77</v>
      </c>
      <c r="H64" s="22" t="s">
        <v>41</v>
      </c>
      <c r="I64" s="21">
        <v>-69</v>
      </c>
      <c r="J64" s="19">
        <f t="shared" si="5"/>
        <v>-69.000000000116415</v>
      </c>
    </row>
    <row r="65" spans="1:11" x14ac:dyDescent="0.2">
      <c r="A65" s="16">
        <f t="shared" si="4"/>
        <v>60</v>
      </c>
      <c r="B65" s="17">
        <v>45204</v>
      </c>
      <c r="C65" s="39">
        <f t="shared" si="3"/>
        <v>2023</v>
      </c>
      <c r="D65" s="18" t="s">
        <v>34</v>
      </c>
      <c r="E65" s="18"/>
      <c r="F65" t="s">
        <v>38</v>
      </c>
      <c r="G65" s="22" t="s">
        <v>34</v>
      </c>
      <c r="H65" s="22" t="s">
        <v>41</v>
      </c>
      <c r="I65" s="21">
        <v>69</v>
      </c>
      <c r="J65" s="19">
        <f t="shared" si="5"/>
        <v>-1.1641532182693481E-10</v>
      </c>
    </row>
    <row r="66" spans="1:11" x14ac:dyDescent="0.2">
      <c r="A66" s="16">
        <f t="shared" si="4"/>
        <v>61</v>
      </c>
      <c r="B66" s="17">
        <v>45236</v>
      </c>
      <c r="C66" s="39">
        <f t="shared" si="3"/>
        <v>2023</v>
      </c>
      <c r="D66" s="18" t="s">
        <v>31</v>
      </c>
      <c r="E66" s="22" t="s">
        <v>70</v>
      </c>
      <c r="F66" s="37" t="s">
        <v>92</v>
      </c>
      <c r="G66" s="22" t="s">
        <v>77</v>
      </c>
      <c r="H66" s="22" t="s">
        <v>41</v>
      </c>
      <c r="I66" s="21">
        <v>-69</v>
      </c>
      <c r="J66" s="19">
        <f t="shared" si="5"/>
        <v>-69.000000000116415</v>
      </c>
    </row>
    <row r="67" spans="1:11" x14ac:dyDescent="0.2">
      <c r="A67" s="16">
        <f t="shared" si="4"/>
        <v>62</v>
      </c>
      <c r="B67" s="17">
        <v>45236</v>
      </c>
      <c r="C67" s="39">
        <f t="shared" si="3"/>
        <v>2023</v>
      </c>
      <c r="D67" s="18" t="s">
        <v>34</v>
      </c>
      <c r="E67" s="18"/>
      <c r="F67" t="s">
        <v>38</v>
      </c>
      <c r="G67" s="22" t="s">
        <v>34</v>
      </c>
      <c r="H67" s="22" t="s">
        <v>41</v>
      </c>
      <c r="I67" s="21">
        <v>69</v>
      </c>
      <c r="J67" s="19">
        <f t="shared" si="5"/>
        <v>-1.1641532182693481E-10</v>
      </c>
    </row>
    <row r="68" spans="1:11" x14ac:dyDescent="0.2">
      <c r="A68" s="16">
        <f t="shared" si="4"/>
        <v>63</v>
      </c>
      <c r="B68" s="17">
        <v>45265</v>
      </c>
      <c r="C68" s="39">
        <f t="shared" si="3"/>
        <v>2023</v>
      </c>
      <c r="D68" s="18" t="s">
        <v>31</v>
      </c>
      <c r="E68" s="22" t="s">
        <v>70</v>
      </c>
      <c r="F68" s="37" t="s">
        <v>92</v>
      </c>
      <c r="G68" s="22" t="s">
        <v>77</v>
      </c>
      <c r="H68" s="22" t="s">
        <v>41</v>
      </c>
      <c r="I68" s="21">
        <v>-72</v>
      </c>
      <c r="J68" s="19">
        <f t="shared" si="5"/>
        <v>-72.000000000116415</v>
      </c>
    </row>
    <row r="69" spans="1:11" x14ac:dyDescent="0.2">
      <c r="A69" s="40">
        <f t="shared" si="4"/>
        <v>64</v>
      </c>
      <c r="B69" s="41">
        <v>45265</v>
      </c>
      <c r="C69" s="42">
        <f t="shared" si="3"/>
        <v>2023</v>
      </c>
      <c r="D69" s="43" t="s">
        <v>34</v>
      </c>
      <c r="E69" s="43"/>
      <c r="F69" s="65" t="s">
        <v>38</v>
      </c>
      <c r="G69" s="47" t="s">
        <v>34</v>
      </c>
      <c r="H69" s="47" t="s">
        <v>41</v>
      </c>
      <c r="I69" s="44">
        <v>72</v>
      </c>
      <c r="J69" s="45">
        <f t="shared" si="5"/>
        <v>-1.1641532182693481E-10</v>
      </c>
      <c r="K69" s="67"/>
    </row>
    <row r="70" spans="1:11" x14ac:dyDescent="0.2">
      <c r="A70" s="16">
        <f t="shared" si="4"/>
        <v>65</v>
      </c>
      <c r="B70" s="17">
        <v>45296</v>
      </c>
      <c r="C70" s="39">
        <f t="shared" ref="C70:C74" si="6">IF(B70="","",YEAR(B70))</f>
        <v>2024</v>
      </c>
      <c r="D70" s="18" t="s">
        <v>31</v>
      </c>
      <c r="E70" s="22" t="s">
        <v>70</v>
      </c>
      <c r="F70" s="37" t="s">
        <v>92</v>
      </c>
      <c r="G70" s="22" t="s">
        <v>77</v>
      </c>
      <c r="H70" s="22" t="s">
        <v>41</v>
      </c>
      <c r="I70" s="21">
        <v>-72</v>
      </c>
      <c r="J70" s="19">
        <f t="shared" si="5"/>
        <v>-72.000000000116415</v>
      </c>
    </row>
    <row r="71" spans="1:11" x14ac:dyDescent="0.2">
      <c r="A71" s="16">
        <f t="shared" si="4"/>
        <v>66</v>
      </c>
      <c r="B71" s="17">
        <v>45296</v>
      </c>
      <c r="C71" s="39">
        <f t="shared" si="6"/>
        <v>2024</v>
      </c>
      <c r="D71" s="18" t="s">
        <v>34</v>
      </c>
      <c r="E71" s="18"/>
      <c r="F71" t="s">
        <v>38</v>
      </c>
      <c r="G71" s="22" t="s">
        <v>34</v>
      </c>
      <c r="H71" s="22" t="s">
        <v>41</v>
      </c>
      <c r="I71" s="21">
        <v>72</v>
      </c>
      <c r="J71" s="19">
        <f t="shared" ref="J71:J82" si="7">IF(I71="",".",J70+I71)</f>
        <v>-1.1641532182693481E-10</v>
      </c>
    </row>
    <row r="72" spans="1:11" x14ac:dyDescent="0.2">
      <c r="A72" s="16">
        <f t="shared" si="4"/>
        <v>67</v>
      </c>
      <c r="B72" s="17">
        <v>45385</v>
      </c>
      <c r="C72" s="4">
        <f t="shared" ref="C72" si="8">IF(B72="","",YEAR(B72))</f>
        <v>2024</v>
      </c>
      <c r="D72" s="18" t="s">
        <v>89</v>
      </c>
      <c r="E72" s="22" t="s">
        <v>70</v>
      </c>
      <c r="F72" t="s">
        <v>79</v>
      </c>
      <c r="G72" s="22" t="s">
        <v>95</v>
      </c>
      <c r="H72" s="22" t="s">
        <v>52</v>
      </c>
      <c r="I72" s="21">
        <v>-408.82</v>
      </c>
      <c r="J72" s="19">
        <f t="shared" si="7"/>
        <v>-408.82000000011641</v>
      </c>
    </row>
    <row r="73" spans="1:11" x14ac:dyDescent="0.2">
      <c r="A73" s="16">
        <f t="shared" si="4"/>
        <v>68</v>
      </c>
      <c r="B73" s="17">
        <v>45385</v>
      </c>
      <c r="C73" s="4">
        <f t="shared" si="6"/>
        <v>2024</v>
      </c>
      <c r="D73" s="18" t="s">
        <v>90</v>
      </c>
      <c r="E73" s="22" t="s">
        <v>70</v>
      </c>
      <c r="F73" t="s">
        <v>79</v>
      </c>
      <c r="G73" s="18" t="s">
        <v>94</v>
      </c>
      <c r="H73" s="22" t="s">
        <v>52</v>
      </c>
      <c r="I73" s="21">
        <v>-408.78</v>
      </c>
      <c r="J73" s="19">
        <f t="shared" si="7"/>
        <v>-817.60000000011632</v>
      </c>
    </row>
    <row r="74" spans="1:11" x14ac:dyDescent="0.2">
      <c r="A74" s="16">
        <f t="shared" si="4"/>
        <v>69</v>
      </c>
      <c r="B74" s="17">
        <v>45385</v>
      </c>
      <c r="C74" s="39">
        <f t="shared" si="6"/>
        <v>2024</v>
      </c>
      <c r="D74" s="18" t="s">
        <v>34</v>
      </c>
      <c r="E74" s="18"/>
      <c r="F74" t="s">
        <v>38</v>
      </c>
      <c r="G74" s="22" t="s">
        <v>34</v>
      </c>
      <c r="H74" s="22" t="s">
        <v>41</v>
      </c>
      <c r="I74" s="21">
        <v>817.6</v>
      </c>
      <c r="J74" s="19">
        <f t="shared" si="7"/>
        <v>-1.163016349892132E-10</v>
      </c>
    </row>
    <row r="75" spans="1:11" x14ac:dyDescent="0.2">
      <c r="A75" s="16">
        <f t="shared" si="4"/>
        <v>70</v>
      </c>
      <c r="B75" s="17">
        <v>45387</v>
      </c>
      <c r="C75" s="39">
        <f t="shared" ref="C75:C76" si="9">IF(B75="","",YEAR(B75))</f>
        <v>2024</v>
      </c>
      <c r="D75" s="18" t="s">
        <v>31</v>
      </c>
      <c r="E75" s="22" t="s">
        <v>70</v>
      </c>
      <c r="F75" s="37" t="s">
        <v>92</v>
      </c>
      <c r="G75" s="22" t="s">
        <v>77</v>
      </c>
      <c r="H75" s="22" t="s">
        <v>41</v>
      </c>
      <c r="I75" s="21">
        <v>-72</v>
      </c>
      <c r="J75" s="19">
        <f t="shared" si="7"/>
        <v>-72.000000000116302</v>
      </c>
    </row>
    <row r="76" spans="1:11" x14ac:dyDescent="0.2">
      <c r="A76" s="16">
        <f t="shared" si="4"/>
        <v>71</v>
      </c>
      <c r="B76" s="17">
        <v>45387</v>
      </c>
      <c r="C76" s="39">
        <f t="shared" si="9"/>
        <v>2024</v>
      </c>
      <c r="D76" s="18" t="s">
        <v>34</v>
      </c>
      <c r="E76" s="18"/>
      <c r="F76" t="s">
        <v>38</v>
      </c>
      <c r="G76" s="22" t="s">
        <v>34</v>
      </c>
      <c r="H76" s="22" t="s">
        <v>41</v>
      </c>
      <c r="I76" s="21">
        <v>72</v>
      </c>
      <c r="J76" s="19">
        <f t="shared" si="7"/>
        <v>-1.163016349892132E-10</v>
      </c>
    </row>
    <row r="77" spans="1:11" x14ac:dyDescent="0.2">
      <c r="A77" s="16">
        <f t="shared" si="4"/>
        <v>72</v>
      </c>
      <c r="B77" s="17">
        <v>45418</v>
      </c>
      <c r="C77" s="39">
        <f t="shared" ref="C77:C79" si="10">IF(B77="","",YEAR(B77))</f>
        <v>2024</v>
      </c>
      <c r="D77" s="18" t="s">
        <v>31</v>
      </c>
      <c r="E77" s="22" t="s">
        <v>70</v>
      </c>
      <c r="F77" s="37" t="s">
        <v>92</v>
      </c>
      <c r="G77" s="22" t="s">
        <v>77</v>
      </c>
      <c r="H77" s="22" t="s">
        <v>41</v>
      </c>
      <c r="I77" s="21">
        <v>-72</v>
      </c>
      <c r="J77" s="19">
        <f t="shared" si="7"/>
        <v>-72.000000000116302</v>
      </c>
    </row>
    <row r="78" spans="1:11" x14ac:dyDescent="0.2">
      <c r="A78" s="16">
        <f t="shared" si="4"/>
        <v>73</v>
      </c>
      <c r="B78" s="17">
        <v>45418</v>
      </c>
      <c r="C78" s="39">
        <f t="shared" si="10"/>
        <v>2024</v>
      </c>
      <c r="D78" s="18" t="s">
        <v>34</v>
      </c>
      <c r="E78" s="18"/>
      <c r="F78" t="s">
        <v>38</v>
      </c>
      <c r="G78" s="22" t="s">
        <v>34</v>
      </c>
      <c r="H78" s="22" t="s">
        <v>41</v>
      </c>
      <c r="I78" s="21">
        <v>72</v>
      </c>
      <c r="J78" s="19">
        <f t="shared" si="7"/>
        <v>-1.163016349892132E-10</v>
      </c>
    </row>
    <row r="79" spans="1:11" x14ac:dyDescent="0.2">
      <c r="A79" s="16">
        <f t="shared" si="4"/>
        <v>74</v>
      </c>
      <c r="B79" s="17">
        <v>45441</v>
      </c>
      <c r="C79" s="4">
        <f t="shared" si="10"/>
        <v>2024</v>
      </c>
      <c r="D79" s="18" t="s">
        <v>88</v>
      </c>
      <c r="E79" s="22" t="s">
        <v>70</v>
      </c>
      <c r="F79" t="s">
        <v>91</v>
      </c>
      <c r="G79" s="22" t="s">
        <v>47</v>
      </c>
      <c r="H79" s="22" t="s">
        <v>87</v>
      </c>
      <c r="I79" s="21">
        <v>-1049.08</v>
      </c>
      <c r="J79" s="19">
        <f t="shared" si="7"/>
        <v>-1049.0800000001163</v>
      </c>
    </row>
    <row r="80" spans="1:11" x14ac:dyDescent="0.2">
      <c r="A80" s="16">
        <f t="shared" si="4"/>
        <v>75</v>
      </c>
      <c r="B80" s="17">
        <v>45441</v>
      </c>
      <c r="C80" s="39">
        <f t="shared" ref="C80:C83" si="11">IF(B80="","",YEAR(B80))</f>
        <v>2024</v>
      </c>
      <c r="D80" s="18" t="s">
        <v>34</v>
      </c>
      <c r="E80" s="18"/>
      <c r="F80" t="s">
        <v>38</v>
      </c>
      <c r="G80" s="22" t="s">
        <v>34</v>
      </c>
      <c r="H80" s="22" t="s">
        <v>41</v>
      </c>
      <c r="I80" s="21">
        <v>1049.08</v>
      </c>
      <c r="J80" s="19">
        <f t="shared" si="7"/>
        <v>-1.1641532182693481E-10</v>
      </c>
    </row>
    <row r="81" spans="1:10" x14ac:dyDescent="0.2">
      <c r="A81" s="16">
        <f t="shared" si="4"/>
        <v>76</v>
      </c>
      <c r="B81" s="17">
        <v>45448</v>
      </c>
      <c r="C81" s="39">
        <f t="shared" si="11"/>
        <v>2024</v>
      </c>
      <c r="D81" s="18" t="s">
        <v>31</v>
      </c>
      <c r="E81" s="22" t="s">
        <v>70</v>
      </c>
      <c r="F81" s="37" t="s">
        <v>92</v>
      </c>
      <c r="G81" s="22" t="s">
        <v>77</v>
      </c>
      <c r="H81" s="22" t="s">
        <v>41</v>
      </c>
      <c r="I81" s="21">
        <v>-72</v>
      </c>
      <c r="J81" s="19">
        <f t="shared" si="7"/>
        <v>-72.000000000116415</v>
      </c>
    </row>
    <row r="82" spans="1:10" x14ac:dyDescent="0.2">
      <c r="A82" s="16">
        <f t="shared" si="4"/>
        <v>77</v>
      </c>
      <c r="B82" s="17">
        <v>45448</v>
      </c>
      <c r="C82" s="39">
        <f t="shared" si="11"/>
        <v>2024</v>
      </c>
      <c r="D82" s="18" t="s">
        <v>34</v>
      </c>
      <c r="E82" s="18"/>
      <c r="F82" t="s">
        <v>38</v>
      </c>
      <c r="G82" s="22" t="s">
        <v>34</v>
      </c>
      <c r="H82" s="22" t="s">
        <v>41</v>
      </c>
      <c r="I82" s="21">
        <v>72</v>
      </c>
      <c r="J82" s="19">
        <f t="shared" si="7"/>
        <v>-1.1641532182693481E-10</v>
      </c>
    </row>
    <row r="83" spans="1:10" x14ac:dyDescent="0.2">
      <c r="A83" s="16">
        <f t="shared" si="4"/>
        <v>78</v>
      </c>
      <c r="B83" s="17">
        <v>45478</v>
      </c>
      <c r="C83" s="4">
        <f t="shared" si="11"/>
        <v>2024</v>
      </c>
      <c r="D83" s="18" t="s">
        <v>73</v>
      </c>
      <c r="E83" s="22" t="s">
        <v>70</v>
      </c>
      <c r="F83" t="s">
        <v>91</v>
      </c>
      <c r="G83" s="22" t="s">
        <v>47</v>
      </c>
      <c r="H83" s="22" t="s">
        <v>75</v>
      </c>
      <c r="I83" s="21">
        <v>-850</v>
      </c>
      <c r="J83" s="19">
        <f t="shared" ref="J83:J87" si="12">IF(I83="",".",J82+I83)</f>
        <v>-850.00000000011642</v>
      </c>
    </row>
    <row r="84" spans="1:10" x14ac:dyDescent="0.2">
      <c r="A84" s="16">
        <f t="shared" si="4"/>
        <v>79</v>
      </c>
      <c r="B84" s="17">
        <v>45478</v>
      </c>
      <c r="C84" s="39">
        <f t="shared" ref="C84:C87" si="13">IF(B84="","",YEAR(B84))</f>
        <v>2024</v>
      </c>
      <c r="D84" s="18" t="s">
        <v>31</v>
      </c>
      <c r="E84" s="22" t="s">
        <v>70</v>
      </c>
      <c r="F84" s="37" t="s">
        <v>92</v>
      </c>
      <c r="G84" s="22" t="s">
        <v>77</v>
      </c>
      <c r="H84" s="22" t="s">
        <v>41</v>
      </c>
      <c r="I84" s="21">
        <v>-72</v>
      </c>
      <c r="J84" s="19">
        <f t="shared" si="12"/>
        <v>-922.00000000011642</v>
      </c>
    </row>
    <row r="85" spans="1:10" x14ac:dyDescent="0.2">
      <c r="A85" s="16">
        <f t="shared" si="4"/>
        <v>80</v>
      </c>
      <c r="B85" s="17">
        <v>45478</v>
      </c>
      <c r="C85" s="39">
        <f t="shared" si="13"/>
        <v>2024</v>
      </c>
      <c r="D85" s="18" t="s">
        <v>34</v>
      </c>
      <c r="E85" s="18"/>
      <c r="F85" t="s">
        <v>38</v>
      </c>
      <c r="G85" s="22" t="s">
        <v>34</v>
      </c>
      <c r="H85" s="22" t="s">
        <v>41</v>
      </c>
      <c r="I85" s="21">
        <v>922</v>
      </c>
      <c r="J85" s="19">
        <f t="shared" si="12"/>
        <v>-1.1641532182693481E-10</v>
      </c>
    </row>
    <row r="86" spans="1:10" x14ac:dyDescent="0.2">
      <c r="A86" s="16">
        <f t="shared" si="4"/>
        <v>81</v>
      </c>
      <c r="B86" s="17">
        <v>45509</v>
      </c>
      <c r="C86" s="39">
        <f t="shared" si="13"/>
        <v>2024</v>
      </c>
      <c r="D86" s="18" t="s">
        <v>31</v>
      </c>
      <c r="E86" s="22" t="s">
        <v>70</v>
      </c>
      <c r="F86" s="37" t="s">
        <v>92</v>
      </c>
      <c r="G86" s="22" t="s">
        <v>77</v>
      </c>
      <c r="H86" s="22" t="s">
        <v>41</v>
      </c>
      <c r="I86" s="21">
        <v>-73.8</v>
      </c>
      <c r="J86" s="19">
        <f t="shared" si="12"/>
        <v>-73.800000000116412</v>
      </c>
    </row>
    <row r="87" spans="1:10" x14ac:dyDescent="0.2">
      <c r="A87" s="16">
        <f t="shared" si="4"/>
        <v>82</v>
      </c>
      <c r="B87" s="17">
        <v>45509</v>
      </c>
      <c r="C87" s="39">
        <f t="shared" si="13"/>
        <v>2024</v>
      </c>
      <c r="D87" s="18" t="s">
        <v>34</v>
      </c>
      <c r="E87" s="18"/>
      <c r="F87" t="s">
        <v>38</v>
      </c>
      <c r="G87" s="22" t="s">
        <v>34</v>
      </c>
      <c r="H87" s="22" t="s">
        <v>41</v>
      </c>
      <c r="I87" s="21">
        <v>73.8</v>
      </c>
      <c r="J87" s="19">
        <f t="shared" si="12"/>
        <v>-1.1641532182693481E-10</v>
      </c>
    </row>
    <row r="88" spans="1:10" x14ac:dyDescent="0.2">
      <c r="A88" s="16">
        <f t="shared" si="4"/>
        <v>83</v>
      </c>
      <c r="B88" s="17">
        <v>45540</v>
      </c>
      <c r="C88" s="39">
        <f t="shared" ref="C88:C89" si="14">IF(B88="","",YEAR(B88))</f>
        <v>2024</v>
      </c>
      <c r="D88" s="18" t="s">
        <v>31</v>
      </c>
      <c r="E88" s="22" t="s">
        <v>70</v>
      </c>
      <c r="F88" s="37" t="s">
        <v>92</v>
      </c>
      <c r="G88" s="22" t="s">
        <v>77</v>
      </c>
      <c r="H88" s="22" t="s">
        <v>41</v>
      </c>
      <c r="I88" s="21">
        <v>-73.8</v>
      </c>
      <c r="J88" s="19">
        <f t="shared" ref="J88:J89" si="15">IF(I88="",".",J87+I88)</f>
        <v>-73.800000000116412</v>
      </c>
    </row>
    <row r="89" spans="1:10" x14ac:dyDescent="0.2">
      <c r="A89" s="16">
        <f t="shared" si="4"/>
        <v>84</v>
      </c>
      <c r="B89" s="17">
        <v>45540</v>
      </c>
      <c r="C89" s="39">
        <f t="shared" si="14"/>
        <v>2024</v>
      </c>
      <c r="D89" s="18" t="s">
        <v>34</v>
      </c>
      <c r="E89" s="18"/>
      <c r="F89" t="s">
        <v>38</v>
      </c>
      <c r="G89" s="22" t="s">
        <v>34</v>
      </c>
      <c r="H89" s="22" t="s">
        <v>41</v>
      </c>
      <c r="I89" s="21">
        <v>73.8</v>
      </c>
      <c r="J89" s="19">
        <f t="shared" si="15"/>
        <v>-1.1641532182693481E-10</v>
      </c>
    </row>
    <row r="90" spans="1:10" x14ac:dyDescent="0.2">
      <c r="A90" s="16">
        <f t="shared" si="4"/>
        <v>85</v>
      </c>
      <c r="B90" s="17">
        <v>45572</v>
      </c>
      <c r="C90" s="39">
        <f t="shared" ref="C90:C93" si="16">IF(B90="","",YEAR(B90))</f>
        <v>2024</v>
      </c>
      <c r="D90" s="18" t="s">
        <v>31</v>
      </c>
      <c r="E90" s="22" t="s">
        <v>70</v>
      </c>
      <c r="F90" s="37" t="s">
        <v>92</v>
      </c>
      <c r="G90" s="22" t="s">
        <v>77</v>
      </c>
      <c r="H90" s="22" t="s">
        <v>41</v>
      </c>
      <c r="I90" s="21">
        <v>-73.8</v>
      </c>
      <c r="J90" s="19">
        <f t="shared" ref="J90:J100" si="17">IF(I90="",".",J89+I90)</f>
        <v>-73.800000000116412</v>
      </c>
    </row>
    <row r="91" spans="1:10" x14ac:dyDescent="0.2">
      <c r="A91" s="16">
        <f t="shared" si="4"/>
        <v>86</v>
      </c>
      <c r="B91" s="17">
        <v>45572</v>
      </c>
      <c r="C91" s="39">
        <f t="shared" si="16"/>
        <v>2024</v>
      </c>
      <c r="D91" s="18" t="s">
        <v>34</v>
      </c>
      <c r="E91" s="18"/>
      <c r="F91" t="s">
        <v>38</v>
      </c>
      <c r="G91" s="22" t="s">
        <v>34</v>
      </c>
      <c r="H91" s="22" t="s">
        <v>41</v>
      </c>
      <c r="I91" s="21">
        <v>73.8</v>
      </c>
      <c r="J91" s="19">
        <f t="shared" si="17"/>
        <v>-1.1641532182693481E-10</v>
      </c>
    </row>
    <row r="92" spans="1:10" x14ac:dyDescent="0.2">
      <c r="A92" s="16">
        <f t="shared" si="4"/>
        <v>87</v>
      </c>
      <c r="B92" s="17">
        <v>45596</v>
      </c>
      <c r="C92" s="4">
        <f t="shared" si="16"/>
        <v>2024</v>
      </c>
      <c r="D92" s="18" t="s">
        <v>88</v>
      </c>
      <c r="E92" s="22" t="s">
        <v>70</v>
      </c>
      <c r="F92" t="s">
        <v>91</v>
      </c>
      <c r="G92" s="22" t="s">
        <v>118</v>
      </c>
      <c r="H92" s="22" t="s">
        <v>96</v>
      </c>
      <c r="I92" s="21">
        <v>-184</v>
      </c>
      <c r="J92" s="19">
        <f t="shared" si="17"/>
        <v>-184.00000000011642</v>
      </c>
    </row>
    <row r="93" spans="1:10" x14ac:dyDescent="0.2">
      <c r="A93" s="16">
        <f t="shared" si="4"/>
        <v>88</v>
      </c>
      <c r="B93" s="17">
        <v>45596</v>
      </c>
      <c r="C93" s="39">
        <f t="shared" si="16"/>
        <v>2024</v>
      </c>
      <c r="D93" s="18" t="s">
        <v>34</v>
      </c>
      <c r="E93" s="18"/>
      <c r="F93" t="s">
        <v>38</v>
      </c>
      <c r="G93" s="22" t="s">
        <v>34</v>
      </c>
      <c r="H93" s="22" t="s">
        <v>41</v>
      </c>
      <c r="I93" s="21">
        <v>184</v>
      </c>
      <c r="J93" s="19">
        <f t="shared" si="17"/>
        <v>-1.1641532182693481E-10</v>
      </c>
    </row>
    <row r="94" spans="1:10" x14ac:dyDescent="0.2">
      <c r="A94" s="16">
        <f t="shared" si="4"/>
        <v>89</v>
      </c>
      <c r="B94" s="17">
        <v>45601</v>
      </c>
      <c r="C94" s="39">
        <f t="shared" ref="C94:C98" si="18">IF(B94="","",YEAR(B94))</f>
        <v>2024</v>
      </c>
      <c r="D94" s="18" t="s">
        <v>31</v>
      </c>
      <c r="E94" s="22" t="s">
        <v>70</v>
      </c>
      <c r="F94" s="37" t="s">
        <v>92</v>
      </c>
      <c r="G94" s="22" t="s">
        <v>77</v>
      </c>
      <c r="H94" s="22" t="s">
        <v>41</v>
      </c>
      <c r="I94" s="21">
        <v>-73.8</v>
      </c>
      <c r="J94" s="19">
        <f t="shared" si="17"/>
        <v>-73.800000000116412</v>
      </c>
    </row>
    <row r="95" spans="1:10" x14ac:dyDescent="0.2">
      <c r="A95" s="16">
        <f t="shared" si="4"/>
        <v>90</v>
      </c>
      <c r="B95" s="17">
        <v>45601</v>
      </c>
      <c r="C95" s="39">
        <f t="shared" si="18"/>
        <v>2024</v>
      </c>
      <c r="D95" s="18" t="s">
        <v>34</v>
      </c>
      <c r="E95" s="18"/>
      <c r="F95" t="s">
        <v>38</v>
      </c>
      <c r="G95" s="22" t="s">
        <v>34</v>
      </c>
      <c r="H95" s="22" t="s">
        <v>41</v>
      </c>
      <c r="I95" s="21">
        <v>73.8</v>
      </c>
      <c r="J95" s="19">
        <f t="shared" si="17"/>
        <v>-1.1641532182693481E-10</v>
      </c>
    </row>
    <row r="96" spans="1:10" x14ac:dyDescent="0.2">
      <c r="A96" s="16">
        <f t="shared" si="4"/>
        <v>91</v>
      </c>
      <c r="B96" s="17">
        <v>45603</v>
      </c>
      <c r="C96" s="4">
        <f t="shared" si="18"/>
        <v>2024</v>
      </c>
      <c r="D96" s="103" t="s">
        <v>98</v>
      </c>
      <c r="E96" s="22" t="s">
        <v>70</v>
      </c>
      <c r="F96" t="s">
        <v>91</v>
      </c>
      <c r="G96" s="22" t="s">
        <v>47</v>
      </c>
      <c r="H96" s="22" t="s">
        <v>97</v>
      </c>
      <c r="I96" s="21">
        <v>-421.6</v>
      </c>
      <c r="J96" s="19">
        <f t="shared" si="17"/>
        <v>-421.60000000011644</v>
      </c>
    </row>
    <row r="97" spans="1:11" x14ac:dyDescent="0.2">
      <c r="A97" s="16">
        <f t="shared" si="4"/>
        <v>92</v>
      </c>
      <c r="B97" s="17">
        <v>45603</v>
      </c>
      <c r="C97" s="39">
        <f t="shared" si="18"/>
        <v>2024</v>
      </c>
      <c r="D97" s="18" t="s">
        <v>34</v>
      </c>
      <c r="E97" s="18"/>
      <c r="F97" t="s">
        <v>38</v>
      </c>
      <c r="G97" s="22" t="s">
        <v>34</v>
      </c>
      <c r="H97" s="22" t="s">
        <v>41</v>
      </c>
      <c r="I97" s="21">
        <v>421.6</v>
      </c>
      <c r="J97" s="19">
        <f t="shared" si="17"/>
        <v>-1.1641532182693481E-10</v>
      </c>
    </row>
    <row r="98" spans="1:11" x14ac:dyDescent="0.2">
      <c r="A98" s="16">
        <f t="shared" si="4"/>
        <v>93</v>
      </c>
      <c r="B98" s="17">
        <v>45625</v>
      </c>
      <c r="C98" s="4">
        <f t="shared" si="18"/>
        <v>2024</v>
      </c>
      <c r="D98" s="18" t="s">
        <v>101</v>
      </c>
      <c r="E98" s="22" t="s">
        <v>70</v>
      </c>
      <c r="F98" t="s">
        <v>91</v>
      </c>
      <c r="G98" s="22" t="s">
        <v>118</v>
      </c>
      <c r="H98" s="22" t="s">
        <v>124</v>
      </c>
      <c r="I98" s="21">
        <v>-300</v>
      </c>
      <c r="J98" s="19">
        <f t="shared" si="17"/>
        <v>-300.00000000011642</v>
      </c>
      <c r="K98" t="s">
        <v>106</v>
      </c>
    </row>
    <row r="99" spans="1:11" x14ac:dyDescent="0.2">
      <c r="A99" s="16">
        <f t="shared" si="4"/>
        <v>94</v>
      </c>
      <c r="B99" s="17">
        <v>45625</v>
      </c>
      <c r="C99" s="4">
        <f t="shared" ref="C99:C103" si="19">IF(B99="","",YEAR(B99))</f>
        <v>2024</v>
      </c>
      <c r="D99" s="18" t="s">
        <v>101</v>
      </c>
      <c r="E99" s="22" t="s">
        <v>70</v>
      </c>
      <c r="F99" t="s">
        <v>91</v>
      </c>
      <c r="G99" s="22" t="s">
        <v>118</v>
      </c>
      <c r="H99" s="22" t="s">
        <v>123</v>
      </c>
      <c r="I99" s="21">
        <v>-353</v>
      </c>
      <c r="J99" s="19">
        <f t="shared" si="17"/>
        <v>-653.00000000011642</v>
      </c>
      <c r="K99" t="s">
        <v>105</v>
      </c>
    </row>
    <row r="100" spans="1:11" x14ac:dyDescent="0.2">
      <c r="A100" s="16">
        <f t="shared" si="4"/>
        <v>95</v>
      </c>
      <c r="B100" s="17">
        <v>45625</v>
      </c>
      <c r="C100" s="39">
        <f t="shared" si="19"/>
        <v>2024</v>
      </c>
      <c r="D100" s="18" t="s">
        <v>34</v>
      </c>
      <c r="E100" s="18"/>
      <c r="F100" t="s">
        <v>38</v>
      </c>
      <c r="G100" s="22" t="s">
        <v>34</v>
      </c>
      <c r="H100" s="22" t="s">
        <v>41</v>
      </c>
      <c r="I100" s="21">
        <v>653</v>
      </c>
      <c r="J100" s="19">
        <f t="shared" si="17"/>
        <v>-1.1641532182693481E-10</v>
      </c>
    </row>
    <row r="101" spans="1:11" x14ac:dyDescent="0.2">
      <c r="A101" s="16">
        <f t="shared" si="4"/>
        <v>96</v>
      </c>
      <c r="B101" s="17">
        <v>45631</v>
      </c>
      <c r="C101" s="39">
        <f t="shared" si="19"/>
        <v>2024</v>
      </c>
      <c r="D101" s="18" t="s">
        <v>31</v>
      </c>
      <c r="E101" s="22" t="s">
        <v>70</v>
      </c>
      <c r="F101" s="37" t="s">
        <v>92</v>
      </c>
      <c r="G101" s="22" t="s">
        <v>77</v>
      </c>
      <c r="H101" s="22" t="s">
        <v>41</v>
      </c>
      <c r="I101" s="21">
        <v>-73.8</v>
      </c>
      <c r="J101" s="19">
        <f t="shared" ref="J101:J104" si="20">IF(I101="",".",J100+I101)</f>
        <v>-73.800000000116412</v>
      </c>
    </row>
    <row r="102" spans="1:11" x14ac:dyDescent="0.2">
      <c r="A102" s="16">
        <f t="shared" si="4"/>
        <v>97</v>
      </c>
      <c r="B102" s="17">
        <v>45631</v>
      </c>
      <c r="C102" s="39">
        <f t="shared" si="19"/>
        <v>2024</v>
      </c>
      <c r="D102" s="18" t="s">
        <v>34</v>
      </c>
      <c r="E102" s="18"/>
      <c r="F102" t="s">
        <v>38</v>
      </c>
      <c r="G102" s="22" t="s">
        <v>34</v>
      </c>
      <c r="H102" s="22" t="s">
        <v>41</v>
      </c>
      <c r="I102" s="21">
        <v>73.8</v>
      </c>
      <c r="J102" s="19">
        <f t="shared" si="20"/>
        <v>-1.1641532182693481E-10</v>
      </c>
    </row>
    <row r="103" spans="1:11" x14ac:dyDescent="0.2">
      <c r="A103" s="16">
        <f t="shared" si="4"/>
        <v>98</v>
      </c>
      <c r="B103" s="17">
        <v>45632</v>
      </c>
      <c r="C103" s="4">
        <f t="shared" si="19"/>
        <v>2024</v>
      </c>
      <c r="D103" s="18" t="s">
        <v>101</v>
      </c>
      <c r="E103" s="22" t="s">
        <v>70</v>
      </c>
      <c r="F103" t="s">
        <v>91</v>
      </c>
      <c r="G103" s="22" t="s">
        <v>118</v>
      </c>
      <c r="H103" s="22" t="s">
        <v>96</v>
      </c>
      <c r="I103" s="21">
        <v>-653</v>
      </c>
      <c r="J103" s="19">
        <f t="shared" si="20"/>
        <v>-653.00000000011642</v>
      </c>
    </row>
    <row r="104" spans="1:11" x14ac:dyDescent="0.2">
      <c r="A104" s="16">
        <f t="shared" si="4"/>
        <v>99</v>
      </c>
      <c r="B104" s="17">
        <v>45632</v>
      </c>
      <c r="C104" s="39">
        <f t="shared" ref="C104:C105" si="21">IF(B104="","",YEAR(B104))</f>
        <v>2024</v>
      </c>
      <c r="D104" s="18" t="s">
        <v>34</v>
      </c>
      <c r="E104" s="18"/>
      <c r="F104" t="s">
        <v>38</v>
      </c>
      <c r="G104" s="22" t="s">
        <v>34</v>
      </c>
      <c r="H104" s="22" t="s">
        <v>41</v>
      </c>
      <c r="I104" s="21">
        <v>653</v>
      </c>
      <c r="J104" s="19">
        <f t="shared" si="20"/>
        <v>-1.1641532182693481E-10</v>
      </c>
    </row>
    <row r="105" spans="1:11" x14ac:dyDescent="0.2">
      <c r="A105" s="16">
        <f t="shared" si="4"/>
        <v>100</v>
      </c>
      <c r="B105" s="17">
        <v>45635</v>
      </c>
      <c r="C105" s="4">
        <f t="shared" si="21"/>
        <v>2024</v>
      </c>
      <c r="D105" s="104" t="s">
        <v>47</v>
      </c>
      <c r="E105" s="22" t="s">
        <v>70</v>
      </c>
      <c r="F105" t="s">
        <v>91</v>
      </c>
      <c r="G105" s="22" t="s">
        <v>47</v>
      </c>
      <c r="H105" s="103" t="s">
        <v>117</v>
      </c>
      <c r="I105" s="21">
        <v>-6764.79</v>
      </c>
      <c r="J105" s="19">
        <f t="shared" ref="J105:J106" si="22">IF(I105="",".",J104+I105)</f>
        <v>-6764.7900000001164</v>
      </c>
      <c r="K105" t="s">
        <v>152</v>
      </c>
    </row>
    <row r="106" spans="1:11" x14ac:dyDescent="0.2">
      <c r="A106" s="16">
        <f t="shared" ref="A106:A110" si="23">A105+1</f>
        <v>101</v>
      </c>
      <c r="B106" s="17">
        <v>45635</v>
      </c>
      <c r="C106" s="39">
        <f t="shared" ref="C106:C107" si="24">IF(B106="","",YEAR(B106))</f>
        <v>2024</v>
      </c>
      <c r="D106" s="18" t="s">
        <v>34</v>
      </c>
      <c r="E106" s="18"/>
      <c r="F106" t="s">
        <v>38</v>
      </c>
      <c r="G106" s="22" t="s">
        <v>34</v>
      </c>
      <c r="H106" s="22" t="s">
        <v>41</v>
      </c>
      <c r="I106" s="21">
        <v>6764.79</v>
      </c>
      <c r="J106" s="19">
        <f t="shared" si="22"/>
        <v>-1.1641532182693481E-10</v>
      </c>
    </row>
    <row r="107" spans="1:11" x14ac:dyDescent="0.2">
      <c r="A107" s="16">
        <f t="shared" si="4"/>
        <v>102</v>
      </c>
      <c r="B107" s="17">
        <v>45636</v>
      </c>
      <c r="C107" s="4">
        <f t="shared" si="24"/>
        <v>2024</v>
      </c>
      <c r="D107" s="103" t="s">
        <v>110</v>
      </c>
      <c r="E107" s="22" t="s">
        <v>70</v>
      </c>
      <c r="F107" t="s">
        <v>91</v>
      </c>
      <c r="G107" s="22" t="s">
        <v>47</v>
      </c>
      <c r="H107" s="22" t="s">
        <v>109</v>
      </c>
      <c r="I107" s="21">
        <v>-7200</v>
      </c>
      <c r="J107" s="19">
        <f t="shared" ref="J107:J108" si="25">IF(I107="",".",J106+I107)</f>
        <v>-7200.0000000001164</v>
      </c>
      <c r="K107" t="s">
        <v>107</v>
      </c>
    </row>
    <row r="108" spans="1:11" x14ac:dyDescent="0.2">
      <c r="A108" s="16">
        <f t="shared" si="23"/>
        <v>103</v>
      </c>
      <c r="B108" s="17">
        <v>45636</v>
      </c>
      <c r="C108" s="39">
        <f t="shared" ref="C108:C109" si="26">IF(B108="","",YEAR(B108))</f>
        <v>2024</v>
      </c>
      <c r="D108" s="18" t="s">
        <v>34</v>
      </c>
      <c r="E108" s="18"/>
      <c r="F108" t="s">
        <v>38</v>
      </c>
      <c r="G108" s="22" t="s">
        <v>34</v>
      </c>
      <c r="H108" s="22" t="s">
        <v>41</v>
      </c>
      <c r="I108" s="21">
        <v>7200</v>
      </c>
      <c r="J108" s="19">
        <f t="shared" si="25"/>
        <v>-1.1641532182693481E-10</v>
      </c>
    </row>
    <row r="109" spans="1:11" x14ac:dyDescent="0.2">
      <c r="A109" s="16">
        <f t="shared" si="4"/>
        <v>104</v>
      </c>
      <c r="B109" s="17">
        <v>45649</v>
      </c>
      <c r="C109" s="4">
        <f t="shared" si="26"/>
        <v>2024</v>
      </c>
      <c r="D109" s="18" t="s">
        <v>108</v>
      </c>
      <c r="E109" s="22" t="s">
        <v>70</v>
      </c>
      <c r="F109" t="s">
        <v>91</v>
      </c>
      <c r="G109" s="22" t="s">
        <v>47</v>
      </c>
      <c r="H109" s="22" t="s">
        <v>103</v>
      </c>
      <c r="I109" s="21">
        <v>-3700</v>
      </c>
      <c r="J109" s="19">
        <f t="shared" ref="J109:J138" si="27">IF(I109="",".",J108+I109)</f>
        <v>-3700.0000000001164</v>
      </c>
      <c r="K109" t="s">
        <v>111</v>
      </c>
    </row>
    <row r="110" spans="1:11" x14ac:dyDescent="0.2">
      <c r="A110" s="40">
        <f t="shared" si="23"/>
        <v>105</v>
      </c>
      <c r="B110" s="41">
        <v>45649</v>
      </c>
      <c r="C110" s="42">
        <f t="shared" ref="C110:C117" si="28">IF(B110="","",YEAR(B110))</f>
        <v>2024</v>
      </c>
      <c r="D110" s="43" t="s">
        <v>34</v>
      </c>
      <c r="E110" s="43"/>
      <c r="F110" s="65" t="s">
        <v>38</v>
      </c>
      <c r="G110" s="47" t="s">
        <v>34</v>
      </c>
      <c r="H110" s="47" t="s">
        <v>41</v>
      </c>
      <c r="I110" s="44">
        <v>3700</v>
      </c>
      <c r="J110" s="45">
        <f t="shared" si="27"/>
        <v>-1.1641532182693481E-10</v>
      </c>
      <c r="K110" s="67"/>
    </row>
    <row r="111" spans="1:11" x14ac:dyDescent="0.2">
      <c r="A111" s="16">
        <f t="shared" si="4"/>
        <v>106</v>
      </c>
      <c r="B111" s="17">
        <v>45664</v>
      </c>
      <c r="C111" s="39">
        <f t="shared" si="28"/>
        <v>2025</v>
      </c>
      <c r="D111" s="18" t="s">
        <v>31</v>
      </c>
      <c r="E111" s="22" t="s">
        <v>70</v>
      </c>
      <c r="F111" s="37" t="s">
        <v>92</v>
      </c>
      <c r="G111" s="22" t="s">
        <v>77</v>
      </c>
      <c r="H111" s="22" t="s">
        <v>41</v>
      </c>
      <c r="I111" s="21">
        <v>-73.8</v>
      </c>
      <c r="J111" s="19">
        <f t="shared" si="27"/>
        <v>-73.800000000116412</v>
      </c>
    </row>
    <row r="112" spans="1:11" x14ac:dyDescent="0.2">
      <c r="A112" s="16">
        <f t="shared" ref="A112" si="29">A111+1</f>
        <v>107</v>
      </c>
      <c r="B112" s="17">
        <v>45664</v>
      </c>
      <c r="C112" s="39">
        <f t="shared" si="28"/>
        <v>2025</v>
      </c>
      <c r="D112" s="18" t="s">
        <v>34</v>
      </c>
      <c r="E112" s="18"/>
      <c r="F112" t="s">
        <v>38</v>
      </c>
      <c r="G112" s="22" t="s">
        <v>34</v>
      </c>
      <c r="H112" s="22" t="s">
        <v>41</v>
      </c>
      <c r="I112" s="21">
        <v>73.8</v>
      </c>
      <c r="J112" s="19">
        <f t="shared" si="27"/>
        <v>-1.1641532182693481E-10</v>
      </c>
    </row>
    <row r="113" spans="1:12" x14ac:dyDescent="0.2">
      <c r="A113" s="16">
        <f t="shared" si="4"/>
        <v>108</v>
      </c>
      <c r="B113" s="17">
        <v>45667</v>
      </c>
      <c r="C113" s="4">
        <f t="shared" si="28"/>
        <v>2025</v>
      </c>
      <c r="D113" s="18" t="s">
        <v>101</v>
      </c>
      <c r="E113" s="22" t="s">
        <v>70</v>
      </c>
      <c r="F113" t="s">
        <v>91</v>
      </c>
      <c r="G113" s="22" t="s">
        <v>118</v>
      </c>
      <c r="H113" s="22" t="s">
        <v>124</v>
      </c>
      <c r="I113" s="21">
        <v>-300</v>
      </c>
      <c r="J113" s="19">
        <f t="shared" si="27"/>
        <v>-300.00000000011642</v>
      </c>
    </row>
    <row r="114" spans="1:12" x14ac:dyDescent="0.2">
      <c r="A114" s="16">
        <f t="shared" ref="A114:A178" si="30">A113+1</f>
        <v>109</v>
      </c>
      <c r="B114" s="17">
        <v>45667</v>
      </c>
      <c r="C114" s="4">
        <f t="shared" si="28"/>
        <v>2025</v>
      </c>
      <c r="D114" s="18" t="s">
        <v>101</v>
      </c>
      <c r="E114" s="22" t="s">
        <v>70</v>
      </c>
      <c r="F114" t="s">
        <v>91</v>
      </c>
      <c r="G114" s="22" t="s">
        <v>118</v>
      </c>
      <c r="H114" s="22" t="s">
        <v>123</v>
      </c>
      <c r="I114" s="21">
        <v>-353</v>
      </c>
      <c r="J114" s="19">
        <f t="shared" si="27"/>
        <v>-653.00000000011642</v>
      </c>
    </row>
    <row r="115" spans="1:12" x14ac:dyDescent="0.2">
      <c r="A115" s="16">
        <f t="shared" si="30"/>
        <v>110</v>
      </c>
      <c r="B115" s="17">
        <v>45667</v>
      </c>
      <c r="C115" s="39">
        <f t="shared" si="28"/>
        <v>2025</v>
      </c>
      <c r="D115" s="18" t="s">
        <v>34</v>
      </c>
      <c r="E115" s="18"/>
      <c r="F115" t="s">
        <v>38</v>
      </c>
      <c r="G115" s="22" t="s">
        <v>34</v>
      </c>
      <c r="H115" s="22" t="s">
        <v>41</v>
      </c>
      <c r="I115" s="21">
        <v>653</v>
      </c>
      <c r="J115" s="19">
        <f t="shared" si="27"/>
        <v>-1.1641532182693481E-10</v>
      </c>
    </row>
    <row r="116" spans="1:12" x14ac:dyDescent="0.2">
      <c r="A116" s="16">
        <f t="shared" si="30"/>
        <v>111</v>
      </c>
      <c r="B116" s="17">
        <v>45671</v>
      </c>
      <c r="C116" s="4">
        <f t="shared" si="28"/>
        <v>2025</v>
      </c>
      <c r="D116" s="107" t="s">
        <v>125</v>
      </c>
      <c r="E116" s="22" t="s">
        <v>70</v>
      </c>
      <c r="F116" t="s">
        <v>91</v>
      </c>
      <c r="G116" s="22" t="s">
        <v>127</v>
      </c>
      <c r="H116" s="22" t="s">
        <v>112</v>
      </c>
      <c r="I116" s="21">
        <v>-2498.14</v>
      </c>
      <c r="J116" s="19">
        <f t="shared" si="27"/>
        <v>-2498.1400000001163</v>
      </c>
    </row>
    <row r="117" spans="1:12" x14ac:dyDescent="0.2">
      <c r="A117" s="16">
        <f t="shared" si="30"/>
        <v>112</v>
      </c>
      <c r="B117" s="17">
        <v>45671</v>
      </c>
      <c r="C117" s="39">
        <f t="shared" si="28"/>
        <v>2025</v>
      </c>
      <c r="D117" s="18" t="s">
        <v>34</v>
      </c>
      <c r="E117" s="18"/>
      <c r="F117" t="s">
        <v>38</v>
      </c>
      <c r="G117" s="22" t="s">
        <v>34</v>
      </c>
      <c r="H117" s="22" t="s">
        <v>41</v>
      </c>
      <c r="I117" s="21">
        <v>2498.14</v>
      </c>
      <c r="J117" s="19">
        <f t="shared" si="27"/>
        <v>-1.1641532182693481E-10</v>
      </c>
    </row>
    <row r="118" spans="1:12" x14ac:dyDescent="0.2">
      <c r="A118" s="16">
        <f t="shared" si="30"/>
        <v>113</v>
      </c>
      <c r="B118" s="17">
        <v>45673</v>
      </c>
      <c r="C118" s="4">
        <f t="shared" ref="C118:C124" si="31">IF(B118="","",YEAR(B118))</f>
        <v>2025</v>
      </c>
      <c r="D118" s="104" t="s">
        <v>47</v>
      </c>
      <c r="E118" s="22" t="s">
        <v>70</v>
      </c>
      <c r="F118" t="s">
        <v>91</v>
      </c>
      <c r="G118" s="22" t="s">
        <v>47</v>
      </c>
      <c r="H118" s="22" t="s">
        <v>113</v>
      </c>
      <c r="I118" s="21">
        <v>-88.25</v>
      </c>
      <c r="J118" s="19">
        <f t="shared" si="27"/>
        <v>-88.250000000116415</v>
      </c>
    </row>
    <row r="119" spans="1:12" x14ac:dyDescent="0.2">
      <c r="A119" s="16">
        <f t="shared" si="30"/>
        <v>114</v>
      </c>
      <c r="B119" s="17">
        <v>45673</v>
      </c>
      <c r="C119" s="39">
        <f t="shared" si="31"/>
        <v>2025</v>
      </c>
      <c r="D119" s="18" t="s">
        <v>34</v>
      </c>
      <c r="E119" s="18"/>
      <c r="F119" t="s">
        <v>38</v>
      </c>
      <c r="G119" s="22" t="s">
        <v>34</v>
      </c>
      <c r="H119" s="22" t="s">
        <v>41</v>
      </c>
      <c r="I119" s="21">
        <v>88.25</v>
      </c>
      <c r="J119" s="19">
        <f t="shared" si="27"/>
        <v>-1.1641532182693481E-10</v>
      </c>
    </row>
    <row r="120" spans="1:12" x14ac:dyDescent="0.2">
      <c r="A120" s="16">
        <f t="shared" si="30"/>
        <v>115</v>
      </c>
      <c r="B120" s="17">
        <v>45693</v>
      </c>
      <c r="C120" s="4">
        <f t="shared" si="31"/>
        <v>2025</v>
      </c>
      <c r="D120" s="103"/>
      <c r="E120" s="22" t="s">
        <v>70</v>
      </c>
      <c r="F120" t="s">
        <v>91</v>
      </c>
      <c r="G120" s="22" t="s">
        <v>47</v>
      </c>
      <c r="H120" s="104" t="s">
        <v>116</v>
      </c>
      <c r="I120" s="21">
        <v>-13337.99</v>
      </c>
      <c r="J120" s="19">
        <f t="shared" si="27"/>
        <v>-13337.990000000116</v>
      </c>
      <c r="K120" t="s">
        <v>121</v>
      </c>
      <c r="L120" t="s">
        <v>153</v>
      </c>
    </row>
    <row r="121" spans="1:12" x14ac:dyDescent="0.2">
      <c r="A121" s="16">
        <f t="shared" si="30"/>
        <v>116</v>
      </c>
      <c r="B121" s="17">
        <v>45693</v>
      </c>
      <c r="C121" s="4">
        <f t="shared" si="31"/>
        <v>2025</v>
      </c>
      <c r="D121" s="107" t="s">
        <v>125</v>
      </c>
      <c r="E121" s="22" t="s">
        <v>70</v>
      </c>
      <c r="F121" t="s">
        <v>91</v>
      </c>
      <c r="G121" s="22" t="s">
        <v>127</v>
      </c>
      <c r="H121" s="22" t="s">
        <v>112</v>
      </c>
      <c r="I121" s="21">
        <v>-2480.79</v>
      </c>
      <c r="J121" s="19">
        <f t="shared" si="27"/>
        <v>-15818.780000000115</v>
      </c>
    </row>
    <row r="122" spans="1:12" x14ac:dyDescent="0.2">
      <c r="A122" s="16">
        <f t="shared" si="30"/>
        <v>117</v>
      </c>
      <c r="B122" s="17">
        <v>45693</v>
      </c>
      <c r="C122" s="39">
        <f t="shared" si="31"/>
        <v>2025</v>
      </c>
      <c r="D122" s="18" t="s">
        <v>31</v>
      </c>
      <c r="E122" s="22" t="s">
        <v>70</v>
      </c>
      <c r="F122" s="37" t="s">
        <v>92</v>
      </c>
      <c r="G122" s="22" t="s">
        <v>77</v>
      </c>
      <c r="H122" s="22" t="s">
        <v>41</v>
      </c>
      <c r="I122" s="21">
        <v>-73.8</v>
      </c>
      <c r="J122" s="19">
        <f t="shared" si="27"/>
        <v>-15892.580000000115</v>
      </c>
    </row>
    <row r="123" spans="1:12" x14ac:dyDescent="0.2">
      <c r="A123" s="16">
        <f t="shared" si="30"/>
        <v>118</v>
      </c>
      <c r="B123" s="17">
        <v>45693</v>
      </c>
      <c r="C123" s="39">
        <f t="shared" si="31"/>
        <v>2025</v>
      </c>
      <c r="D123" s="18" t="s">
        <v>34</v>
      </c>
      <c r="E123" s="18"/>
      <c r="F123" t="s">
        <v>38</v>
      </c>
      <c r="G123" s="22" t="s">
        <v>34</v>
      </c>
      <c r="H123" s="22" t="s">
        <v>41</v>
      </c>
      <c r="I123" s="21">
        <v>15892.58</v>
      </c>
      <c r="J123" s="19">
        <f t="shared" si="27"/>
        <v>-1.1459633242338896E-10</v>
      </c>
    </row>
    <row r="124" spans="1:12" x14ac:dyDescent="0.2">
      <c r="A124" s="16">
        <f t="shared" si="30"/>
        <v>119</v>
      </c>
      <c r="B124" s="17">
        <v>45695</v>
      </c>
      <c r="C124" s="4">
        <f t="shared" si="31"/>
        <v>2025</v>
      </c>
      <c r="D124" s="18" t="s">
        <v>120</v>
      </c>
      <c r="E124" s="22" t="s">
        <v>71</v>
      </c>
      <c r="F124" t="s">
        <v>48</v>
      </c>
      <c r="G124" s="22" t="s">
        <v>49</v>
      </c>
      <c r="H124" s="18" t="s">
        <v>114</v>
      </c>
      <c r="I124" s="21">
        <v>258299.87</v>
      </c>
      <c r="J124" s="19">
        <f t="shared" si="27"/>
        <v>258299.86999999988</v>
      </c>
    </row>
    <row r="125" spans="1:12" x14ac:dyDescent="0.2">
      <c r="A125" s="16">
        <f t="shared" si="30"/>
        <v>120</v>
      </c>
      <c r="B125" s="17">
        <v>45702</v>
      </c>
      <c r="C125" s="4">
        <f t="shared" ref="C125:C126" si="32">IF(B125="","",YEAR(B125))</f>
        <v>2025</v>
      </c>
      <c r="D125" s="104" t="s">
        <v>47</v>
      </c>
      <c r="E125" s="22" t="s">
        <v>70</v>
      </c>
      <c r="F125" t="s">
        <v>91</v>
      </c>
      <c r="G125" s="22" t="s">
        <v>47</v>
      </c>
      <c r="H125" s="103" t="s">
        <v>117</v>
      </c>
      <c r="I125" s="21">
        <v>6764.79</v>
      </c>
      <c r="J125" s="19">
        <f t="shared" si="27"/>
        <v>265064.65999999986</v>
      </c>
      <c r="K125" t="s">
        <v>151</v>
      </c>
    </row>
    <row r="126" spans="1:12" x14ac:dyDescent="0.2">
      <c r="A126" s="16">
        <f t="shared" si="30"/>
        <v>121</v>
      </c>
      <c r="B126" s="17">
        <v>45705</v>
      </c>
      <c r="C126" s="4">
        <f t="shared" si="32"/>
        <v>2025</v>
      </c>
      <c r="D126" s="18" t="s">
        <v>101</v>
      </c>
      <c r="E126" s="22" t="s">
        <v>70</v>
      </c>
      <c r="F126" t="s">
        <v>91</v>
      </c>
      <c r="G126" s="22" t="s">
        <v>118</v>
      </c>
      <c r="H126" s="22" t="s">
        <v>96</v>
      </c>
      <c r="I126" s="21">
        <v>-653</v>
      </c>
      <c r="J126" s="19">
        <f t="shared" si="27"/>
        <v>264411.65999999986</v>
      </c>
    </row>
    <row r="127" spans="1:12" x14ac:dyDescent="0.2">
      <c r="A127" s="16">
        <f t="shared" si="30"/>
        <v>122</v>
      </c>
      <c r="B127" s="17">
        <v>45713</v>
      </c>
      <c r="C127" s="4">
        <f t="shared" ref="C127:C128" si="33">IF(B127="","",YEAR(B127))</f>
        <v>2025</v>
      </c>
      <c r="D127" s="18" t="s">
        <v>101</v>
      </c>
      <c r="E127" s="22" t="s">
        <v>70</v>
      </c>
      <c r="F127" t="s">
        <v>91</v>
      </c>
      <c r="G127" s="22" t="s">
        <v>118</v>
      </c>
      <c r="H127" s="22" t="s">
        <v>123</v>
      </c>
      <c r="I127" s="21">
        <v>-353</v>
      </c>
      <c r="J127" s="19">
        <f t="shared" si="27"/>
        <v>264058.65999999986</v>
      </c>
    </row>
    <row r="128" spans="1:12" x14ac:dyDescent="0.2">
      <c r="A128" s="16">
        <f t="shared" si="30"/>
        <v>123</v>
      </c>
      <c r="B128" s="17">
        <v>45723</v>
      </c>
      <c r="C128" s="39">
        <f t="shared" si="33"/>
        <v>2025</v>
      </c>
      <c r="D128" s="18" t="s">
        <v>31</v>
      </c>
      <c r="E128" s="22" t="s">
        <v>70</v>
      </c>
      <c r="F128" s="37" t="s">
        <v>92</v>
      </c>
      <c r="G128" s="22" t="s">
        <v>77</v>
      </c>
      <c r="H128" s="22" t="s">
        <v>41</v>
      </c>
      <c r="I128" s="21">
        <v>-75.400000000000006</v>
      </c>
      <c r="J128" s="19">
        <f t="shared" si="27"/>
        <v>263983.25999999983</v>
      </c>
    </row>
    <row r="129" spans="1:10" x14ac:dyDescent="0.2">
      <c r="A129" s="16">
        <f t="shared" si="30"/>
        <v>124</v>
      </c>
      <c r="B129" s="17">
        <v>45726</v>
      </c>
      <c r="C129" s="4">
        <f t="shared" ref="C129:C131" si="34">IF(B129="","",YEAR(B129))</f>
        <v>2025</v>
      </c>
      <c r="D129" s="18" t="s">
        <v>89</v>
      </c>
      <c r="E129" s="22" t="s">
        <v>70</v>
      </c>
      <c r="F129" t="s">
        <v>79</v>
      </c>
      <c r="G129" s="22" t="s">
        <v>145</v>
      </c>
      <c r="H129" s="22" t="s">
        <v>52</v>
      </c>
      <c r="I129" s="21">
        <v>-378.61</v>
      </c>
      <c r="J129" s="19">
        <f t="shared" si="27"/>
        <v>263604.64999999985</v>
      </c>
    </row>
    <row r="130" spans="1:10" x14ac:dyDescent="0.2">
      <c r="A130" s="16">
        <f t="shared" si="30"/>
        <v>125</v>
      </c>
      <c r="B130" s="17">
        <v>45729</v>
      </c>
      <c r="C130" s="4">
        <f t="shared" si="34"/>
        <v>2025</v>
      </c>
      <c r="D130" s="107" t="s">
        <v>125</v>
      </c>
      <c r="E130" s="22" t="s">
        <v>70</v>
      </c>
      <c r="F130" t="s">
        <v>91</v>
      </c>
      <c r="G130" s="22" t="s">
        <v>127</v>
      </c>
      <c r="H130" s="22" t="s">
        <v>112</v>
      </c>
      <c r="I130" s="21">
        <v>-2503.91</v>
      </c>
      <c r="J130" s="19">
        <f t="shared" si="27"/>
        <v>261100.73999999985</v>
      </c>
    </row>
    <row r="131" spans="1:10" x14ac:dyDescent="0.2">
      <c r="A131" s="16">
        <f t="shared" si="30"/>
        <v>126</v>
      </c>
      <c r="B131" s="17">
        <v>45735</v>
      </c>
      <c r="C131" s="4">
        <f t="shared" si="34"/>
        <v>2025</v>
      </c>
      <c r="D131" s="104" t="s">
        <v>47</v>
      </c>
      <c r="E131" s="22" t="s">
        <v>70</v>
      </c>
      <c r="F131" t="s">
        <v>91</v>
      </c>
      <c r="G131" s="22" t="s">
        <v>47</v>
      </c>
      <c r="H131" s="22" t="s">
        <v>122</v>
      </c>
      <c r="I131" s="21">
        <v>-3917.52</v>
      </c>
      <c r="J131" s="19">
        <f t="shared" si="27"/>
        <v>257183.21999999986</v>
      </c>
    </row>
    <row r="132" spans="1:10" x14ac:dyDescent="0.2">
      <c r="A132" s="16">
        <f t="shared" si="30"/>
        <v>127</v>
      </c>
      <c r="B132" s="17">
        <v>45740</v>
      </c>
      <c r="C132" s="4">
        <f t="shared" ref="C132:C133" si="35">IF(B132="","",YEAR(B132))</f>
        <v>2025</v>
      </c>
      <c r="D132" s="18" t="s">
        <v>108</v>
      </c>
      <c r="E132" s="22" t="s">
        <v>70</v>
      </c>
      <c r="F132" t="s">
        <v>91</v>
      </c>
      <c r="G132" s="22" t="s">
        <v>47</v>
      </c>
      <c r="H132" s="22" t="s">
        <v>103</v>
      </c>
      <c r="I132" s="21">
        <v>-900</v>
      </c>
      <c r="J132" s="19">
        <f t="shared" si="27"/>
        <v>256283.21999999986</v>
      </c>
    </row>
    <row r="133" spans="1:10" x14ac:dyDescent="0.2">
      <c r="A133" s="16">
        <f t="shared" si="30"/>
        <v>128</v>
      </c>
      <c r="B133" s="17">
        <v>45744</v>
      </c>
      <c r="C133" s="4">
        <f t="shared" si="35"/>
        <v>2025</v>
      </c>
      <c r="D133" s="18" t="s">
        <v>101</v>
      </c>
      <c r="E133" s="22" t="s">
        <v>70</v>
      </c>
      <c r="F133" t="s">
        <v>91</v>
      </c>
      <c r="G133" s="22" t="s">
        <v>118</v>
      </c>
      <c r="H133" s="22" t="s">
        <v>123</v>
      </c>
      <c r="I133" s="21">
        <v>-353</v>
      </c>
      <c r="J133" s="19">
        <f t="shared" si="27"/>
        <v>255930.21999999986</v>
      </c>
    </row>
    <row r="134" spans="1:10" x14ac:dyDescent="0.2">
      <c r="A134" s="16">
        <f t="shared" si="30"/>
        <v>129</v>
      </c>
      <c r="B134" s="17">
        <v>45744</v>
      </c>
      <c r="C134" s="4">
        <f t="shared" ref="C134:C136" si="36">IF(B134="","",YEAR(B134))</f>
        <v>2025</v>
      </c>
      <c r="D134" s="18" t="s">
        <v>101</v>
      </c>
      <c r="E134" s="22" t="s">
        <v>70</v>
      </c>
      <c r="F134" t="s">
        <v>91</v>
      </c>
      <c r="G134" s="22" t="s">
        <v>118</v>
      </c>
      <c r="H134" s="22" t="s">
        <v>124</v>
      </c>
      <c r="I134" s="21">
        <v>-300</v>
      </c>
      <c r="J134" s="19">
        <f t="shared" si="27"/>
        <v>255630.21999999986</v>
      </c>
    </row>
    <row r="135" spans="1:10" x14ac:dyDescent="0.2">
      <c r="A135" s="16">
        <f t="shared" si="30"/>
        <v>130</v>
      </c>
      <c r="B135" s="17">
        <v>45754</v>
      </c>
      <c r="C135" s="39">
        <f t="shared" si="36"/>
        <v>2025</v>
      </c>
      <c r="D135" s="18" t="s">
        <v>31</v>
      </c>
      <c r="E135" s="22" t="s">
        <v>70</v>
      </c>
      <c r="F135" s="37" t="s">
        <v>92</v>
      </c>
      <c r="G135" s="22" t="s">
        <v>77</v>
      </c>
      <c r="H135" s="22" t="s">
        <v>41</v>
      </c>
      <c r="I135" s="21">
        <v>-75.400000000000006</v>
      </c>
      <c r="J135" s="19">
        <f t="shared" si="27"/>
        <v>255554.81999999986</v>
      </c>
    </row>
    <row r="136" spans="1:10" x14ac:dyDescent="0.2">
      <c r="A136" s="16">
        <f t="shared" si="30"/>
        <v>131</v>
      </c>
      <c r="B136" s="17">
        <v>45762</v>
      </c>
      <c r="C136" s="4">
        <f t="shared" si="36"/>
        <v>2025</v>
      </c>
      <c r="D136" s="18" t="s">
        <v>101</v>
      </c>
      <c r="E136" s="22" t="s">
        <v>70</v>
      </c>
      <c r="F136" t="s">
        <v>91</v>
      </c>
      <c r="G136" s="22" t="s">
        <v>118</v>
      </c>
      <c r="H136" s="22" t="s">
        <v>126</v>
      </c>
      <c r="I136" s="21">
        <v>-706</v>
      </c>
      <c r="J136" s="19">
        <f t="shared" si="27"/>
        <v>254848.81999999986</v>
      </c>
    </row>
    <row r="137" spans="1:10" x14ac:dyDescent="0.2">
      <c r="A137" s="16">
        <f t="shared" si="30"/>
        <v>132</v>
      </c>
      <c r="B137" s="17">
        <v>45762</v>
      </c>
      <c r="C137" s="4">
        <f t="shared" ref="C137:C139" si="37">IF(B137="","",YEAR(B137))</f>
        <v>2025</v>
      </c>
      <c r="D137" s="18" t="s">
        <v>101</v>
      </c>
      <c r="E137" s="22" t="s">
        <v>70</v>
      </c>
      <c r="F137" t="s">
        <v>91</v>
      </c>
      <c r="G137" s="22" t="s">
        <v>118</v>
      </c>
      <c r="H137" s="22" t="s">
        <v>123</v>
      </c>
      <c r="I137" s="21">
        <v>-353</v>
      </c>
      <c r="J137" s="19">
        <f t="shared" si="27"/>
        <v>254495.81999999986</v>
      </c>
    </row>
    <row r="138" spans="1:10" x14ac:dyDescent="0.2">
      <c r="A138" s="16">
        <f t="shared" si="30"/>
        <v>133</v>
      </c>
      <c r="B138" s="17">
        <v>45762</v>
      </c>
      <c r="C138" s="4">
        <f t="shared" si="37"/>
        <v>2025</v>
      </c>
      <c r="D138" s="18" t="s">
        <v>101</v>
      </c>
      <c r="E138" s="22" t="s">
        <v>70</v>
      </c>
      <c r="F138" t="s">
        <v>91</v>
      </c>
      <c r="G138" s="22" t="s">
        <v>118</v>
      </c>
      <c r="H138" s="22" t="s">
        <v>124</v>
      </c>
      <c r="I138" s="21">
        <v>-300</v>
      </c>
      <c r="J138" s="19">
        <f t="shared" si="27"/>
        <v>254195.81999999986</v>
      </c>
    </row>
    <row r="139" spans="1:10" x14ac:dyDescent="0.2">
      <c r="A139" s="16">
        <f t="shared" si="30"/>
        <v>134</v>
      </c>
      <c r="B139" s="17">
        <v>45782</v>
      </c>
      <c r="C139" s="4">
        <f t="shared" si="37"/>
        <v>2025</v>
      </c>
      <c r="D139" s="18" t="s">
        <v>101</v>
      </c>
      <c r="E139" s="22" t="s">
        <v>70</v>
      </c>
      <c r="F139" t="s">
        <v>91</v>
      </c>
      <c r="G139" s="22" t="s">
        <v>118</v>
      </c>
      <c r="H139" s="22" t="s">
        <v>124</v>
      </c>
      <c r="I139" s="21">
        <v>-300</v>
      </c>
      <c r="J139" s="19">
        <f t="shared" ref="J139:J152" si="38">IF(I139="",".",J138+I139)</f>
        <v>253895.81999999986</v>
      </c>
    </row>
    <row r="140" spans="1:10" x14ac:dyDescent="0.2">
      <c r="A140" s="16">
        <f t="shared" si="30"/>
        <v>135</v>
      </c>
      <c r="B140" s="17">
        <v>45782</v>
      </c>
      <c r="C140" s="4">
        <f t="shared" ref="C140:C142" si="39">IF(B140="","",YEAR(B140))</f>
        <v>2025</v>
      </c>
      <c r="D140" s="18" t="s">
        <v>101</v>
      </c>
      <c r="E140" s="22" t="s">
        <v>70</v>
      </c>
      <c r="F140" t="s">
        <v>91</v>
      </c>
      <c r="G140" s="22" t="s">
        <v>118</v>
      </c>
      <c r="H140" s="22" t="s">
        <v>123</v>
      </c>
      <c r="I140" s="21">
        <v>-353</v>
      </c>
      <c r="J140" s="19">
        <f t="shared" si="38"/>
        <v>253542.81999999986</v>
      </c>
    </row>
    <row r="141" spans="1:10" x14ac:dyDescent="0.2">
      <c r="A141" s="16">
        <f t="shared" si="30"/>
        <v>136</v>
      </c>
      <c r="B141" s="17">
        <v>45783</v>
      </c>
      <c r="C141" s="39">
        <f t="shared" si="39"/>
        <v>2025</v>
      </c>
      <c r="D141" s="18" t="s">
        <v>31</v>
      </c>
      <c r="E141" s="22" t="s">
        <v>70</v>
      </c>
      <c r="F141" s="37" t="s">
        <v>92</v>
      </c>
      <c r="G141" s="22" t="s">
        <v>77</v>
      </c>
      <c r="H141" s="22" t="s">
        <v>41</v>
      </c>
      <c r="I141" s="21">
        <v>-75.400000000000006</v>
      </c>
      <c r="J141" s="19">
        <f t="shared" si="38"/>
        <v>253467.41999999987</v>
      </c>
    </row>
    <row r="142" spans="1:10" x14ac:dyDescent="0.2">
      <c r="A142" s="16">
        <f t="shared" si="30"/>
        <v>137</v>
      </c>
      <c r="B142" s="17">
        <v>45786</v>
      </c>
      <c r="C142" s="4">
        <f t="shared" si="39"/>
        <v>2025</v>
      </c>
      <c r="D142" s="104" t="s">
        <v>47</v>
      </c>
      <c r="E142" s="22" t="s">
        <v>70</v>
      </c>
      <c r="F142" t="s">
        <v>91</v>
      </c>
      <c r="G142" s="22" t="s">
        <v>47</v>
      </c>
      <c r="H142" s="22" t="s">
        <v>122</v>
      </c>
      <c r="I142" s="21">
        <v>-891.86</v>
      </c>
      <c r="J142" s="19">
        <f t="shared" si="38"/>
        <v>252575.55999999988</v>
      </c>
    </row>
    <row r="143" spans="1:10" x14ac:dyDescent="0.2">
      <c r="A143" s="16">
        <f t="shared" si="30"/>
        <v>138</v>
      </c>
      <c r="B143" s="17">
        <v>45789</v>
      </c>
      <c r="C143" s="4">
        <f t="shared" ref="C143:C144" si="40">IF(B143="","",YEAR(B143))</f>
        <v>2025</v>
      </c>
      <c r="D143" s="104" t="s">
        <v>47</v>
      </c>
      <c r="E143" s="22" t="s">
        <v>70</v>
      </c>
      <c r="F143" t="s">
        <v>91</v>
      </c>
      <c r="G143" s="22" t="s">
        <v>47</v>
      </c>
      <c r="H143" s="22" t="s">
        <v>103</v>
      </c>
      <c r="I143" s="21">
        <v>-1500</v>
      </c>
      <c r="J143" s="19">
        <f t="shared" si="38"/>
        <v>251075.55999999988</v>
      </c>
    </row>
    <row r="144" spans="1:10" x14ac:dyDescent="0.2">
      <c r="A144" s="16">
        <f t="shared" si="30"/>
        <v>139</v>
      </c>
      <c r="B144" s="17">
        <v>45797</v>
      </c>
      <c r="C144" s="4">
        <f t="shared" si="40"/>
        <v>2025</v>
      </c>
      <c r="D144" s="18" t="s">
        <v>101</v>
      </c>
      <c r="E144" s="22" t="s">
        <v>70</v>
      </c>
      <c r="F144" t="s">
        <v>91</v>
      </c>
      <c r="G144" s="22" t="s">
        <v>118</v>
      </c>
      <c r="H144" s="22" t="s">
        <v>126</v>
      </c>
      <c r="I144" s="21">
        <v>-353</v>
      </c>
      <c r="J144" s="19">
        <f t="shared" si="38"/>
        <v>250722.55999999988</v>
      </c>
    </row>
    <row r="145" spans="1:10" x14ac:dyDescent="0.2">
      <c r="A145" s="16">
        <f t="shared" si="30"/>
        <v>140</v>
      </c>
      <c r="B145" s="17">
        <v>45810</v>
      </c>
      <c r="C145" s="4">
        <f>IF(B145="","",YEAR(B145))</f>
        <v>2025</v>
      </c>
      <c r="D145" s="18" t="s">
        <v>73</v>
      </c>
      <c r="E145" s="22" t="s">
        <v>70</v>
      </c>
      <c r="F145" t="s">
        <v>91</v>
      </c>
      <c r="G145" s="22" t="s">
        <v>47</v>
      </c>
      <c r="H145" s="22" t="s">
        <v>75</v>
      </c>
      <c r="I145" s="21">
        <v>-898.2</v>
      </c>
      <c r="J145" s="19">
        <f t="shared" si="38"/>
        <v>249824.35999999987</v>
      </c>
    </row>
    <row r="146" spans="1:10" x14ac:dyDescent="0.2">
      <c r="A146" s="16">
        <f t="shared" si="30"/>
        <v>141</v>
      </c>
      <c r="B146" s="17">
        <v>45813</v>
      </c>
      <c r="C146" s="4">
        <f t="shared" ref="C146:C149" si="41">IF(B146="","",YEAR(B146))</f>
        <v>2025</v>
      </c>
      <c r="D146" s="104" t="s">
        <v>47</v>
      </c>
      <c r="E146" s="22" t="s">
        <v>70</v>
      </c>
      <c r="F146" t="s">
        <v>91</v>
      </c>
      <c r="G146" s="22" t="s">
        <v>47</v>
      </c>
      <c r="H146" s="22" t="s">
        <v>103</v>
      </c>
      <c r="I146" s="21">
        <v>-1800</v>
      </c>
      <c r="J146" s="19">
        <f t="shared" si="38"/>
        <v>248024.35999999987</v>
      </c>
    </row>
    <row r="147" spans="1:10" x14ac:dyDescent="0.2">
      <c r="A147" s="16">
        <f t="shared" si="30"/>
        <v>142</v>
      </c>
      <c r="B147" s="17">
        <v>45813</v>
      </c>
      <c r="C147" s="4">
        <f t="shared" si="41"/>
        <v>2025</v>
      </c>
      <c r="D147" s="18" t="s">
        <v>101</v>
      </c>
      <c r="E147" s="22" t="s">
        <v>70</v>
      </c>
      <c r="F147" t="s">
        <v>91</v>
      </c>
      <c r="G147" s="22" t="s">
        <v>118</v>
      </c>
      <c r="H147" s="22" t="s">
        <v>123</v>
      </c>
      <c r="I147" s="21">
        <v>-353</v>
      </c>
      <c r="J147" s="19">
        <f t="shared" si="38"/>
        <v>247671.35999999987</v>
      </c>
    </row>
    <row r="148" spans="1:10" x14ac:dyDescent="0.2">
      <c r="A148" s="16">
        <f t="shared" si="30"/>
        <v>143</v>
      </c>
      <c r="B148" s="17">
        <v>45813</v>
      </c>
      <c r="C148" s="4">
        <f t="shared" si="41"/>
        <v>2025</v>
      </c>
      <c r="D148" s="18" t="s">
        <v>101</v>
      </c>
      <c r="E148" s="22" t="s">
        <v>70</v>
      </c>
      <c r="F148" t="s">
        <v>91</v>
      </c>
      <c r="G148" s="22" t="s">
        <v>118</v>
      </c>
      <c r="H148" s="22" t="s">
        <v>124</v>
      </c>
      <c r="I148" s="21">
        <v>-300</v>
      </c>
      <c r="J148" s="19">
        <f t="shared" si="38"/>
        <v>247371.35999999987</v>
      </c>
    </row>
    <row r="149" spans="1:10" x14ac:dyDescent="0.2">
      <c r="A149" s="16">
        <f t="shared" si="30"/>
        <v>144</v>
      </c>
      <c r="B149" s="17">
        <v>45813</v>
      </c>
      <c r="C149" s="39">
        <f t="shared" si="41"/>
        <v>2025</v>
      </c>
      <c r="D149" s="18" t="s">
        <v>31</v>
      </c>
      <c r="E149" s="22" t="s">
        <v>70</v>
      </c>
      <c r="F149" s="37" t="s">
        <v>92</v>
      </c>
      <c r="G149" s="22" t="s">
        <v>77</v>
      </c>
      <c r="H149" s="22" t="s">
        <v>41</v>
      </c>
      <c r="I149" s="21">
        <v>-75.400000000000006</v>
      </c>
      <c r="J149" s="19">
        <f t="shared" si="38"/>
        <v>247295.95999999988</v>
      </c>
    </row>
    <row r="150" spans="1:10" x14ac:dyDescent="0.2">
      <c r="A150" s="16">
        <f t="shared" si="30"/>
        <v>145</v>
      </c>
      <c r="B150" s="17">
        <v>45825</v>
      </c>
      <c r="C150" s="39">
        <f t="shared" ref="C150:C153" si="42">IF(B150="","",YEAR(B150))</f>
        <v>2025</v>
      </c>
      <c r="D150" s="18" t="s">
        <v>33</v>
      </c>
      <c r="E150" s="18"/>
      <c r="F150" s="37" t="s">
        <v>38</v>
      </c>
      <c r="G150" s="18" t="s">
        <v>33</v>
      </c>
      <c r="H150" s="22" t="s">
        <v>41</v>
      </c>
      <c r="I150" s="21">
        <v>-247295.96</v>
      </c>
      <c r="J150" s="19">
        <f t="shared" si="38"/>
        <v>-1.1641532182693481E-10</v>
      </c>
    </row>
    <row r="151" spans="1:10" x14ac:dyDescent="0.2">
      <c r="A151" s="16">
        <f t="shared" si="30"/>
        <v>146</v>
      </c>
      <c r="B151" s="17">
        <v>45831</v>
      </c>
      <c r="C151" s="4">
        <f>IF(B151="","",YEAR(B151))</f>
        <v>2025</v>
      </c>
      <c r="D151" s="18" t="s">
        <v>101</v>
      </c>
      <c r="E151" s="22" t="s">
        <v>70</v>
      </c>
      <c r="F151" t="s">
        <v>91</v>
      </c>
      <c r="G151" s="22" t="s">
        <v>118</v>
      </c>
      <c r="H151" s="22" t="s">
        <v>126</v>
      </c>
      <c r="I151" s="21">
        <v>-353</v>
      </c>
      <c r="J151" s="19">
        <f t="shared" si="38"/>
        <v>-353.00000000011642</v>
      </c>
    </row>
    <row r="152" spans="1:10" x14ac:dyDescent="0.2">
      <c r="A152" s="16">
        <f t="shared" si="30"/>
        <v>147</v>
      </c>
      <c r="B152" s="17">
        <v>45693</v>
      </c>
      <c r="C152" s="39">
        <f t="shared" si="42"/>
        <v>2025</v>
      </c>
      <c r="D152" s="18" t="s">
        <v>34</v>
      </c>
      <c r="E152" s="18"/>
      <c r="F152" t="s">
        <v>38</v>
      </c>
      <c r="G152" s="22" t="s">
        <v>34</v>
      </c>
      <c r="H152" s="22" t="s">
        <v>41</v>
      </c>
      <c r="I152" s="21">
        <v>353</v>
      </c>
      <c r="J152" s="19">
        <f t="shared" si="38"/>
        <v>-1.1641532182693481E-10</v>
      </c>
    </row>
    <row r="153" spans="1:10" x14ac:dyDescent="0.2">
      <c r="A153" s="16">
        <f t="shared" si="30"/>
        <v>148</v>
      </c>
      <c r="B153" s="17">
        <v>45845</v>
      </c>
      <c r="C153" s="39">
        <f t="shared" si="42"/>
        <v>2025</v>
      </c>
      <c r="D153" s="18" t="s">
        <v>31</v>
      </c>
      <c r="E153" s="22" t="s">
        <v>70</v>
      </c>
      <c r="F153" s="37" t="s">
        <v>92</v>
      </c>
      <c r="G153" s="22" t="s">
        <v>77</v>
      </c>
      <c r="H153" s="22" t="s">
        <v>41</v>
      </c>
      <c r="I153" s="21">
        <v>-75.400000000000006</v>
      </c>
      <c r="J153" s="19">
        <f t="shared" ref="J153:J157" si="43">IF(I153="",".",J152+I153)</f>
        <v>-75.400000000116421</v>
      </c>
    </row>
    <row r="154" spans="1:10" x14ac:dyDescent="0.2">
      <c r="A154" s="16">
        <f t="shared" si="30"/>
        <v>149</v>
      </c>
      <c r="B154" s="17">
        <v>45845</v>
      </c>
      <c r="C154" s="39">
        <f t="shared" ref="C154" si="44">IF(B154="","",YEAR(B154))</f>
        <v>2025</v>
      </c>
      <c r="D154" s="18" t="s">
        <v>34</v>
      </c>
      <c r="E154" s="18"/>
      <c r="F154" t="s">
        <v>38</v>
      </c>
      <c r="G154" s="22" t="s">
        <v>34</v>
      </c>
      <c r="H154" s="22" t="s">
        <v>41</v>
      </c>
      <c r="I154" s="21">
        <v>75.400000000000006</v>
      </c>
      <c r="J154" s="19">
        <f t="shared" si="43"/>
        <v>-1.1641532182693481E-10</v>
      </c>
    </row>
    <row r="155" spans="1:10" x14ac:dyDescent="0.2">
      <c r="A155" s="16">
        <f t="shared" si="30"/>
        <v>150</v>
      </c>
      <c r="B155" s="17">
        <v>45859</v>
      </c>
      <c r="C155" s="4">
        <f>IF(B155="","",YEAR(B155))</f>
        <v>2025</v>
      </c>
      <c r="D155" s="18" t="s">
        <v>101</v>
      </c>
      <c r="E155" s="22" t="s">
        <v>70</v>
      </c>
      <c r="F155" t="s">
        <v>91</v>
      </c>
      <c r="G155" s="22" t="s">
        <v>118</v>
      </c>
      <c r="H155" s="22" t="s">
        <v>126</v>
      </c>
      <c r="I155" s="21">
        <v>-353</v>
      </c>
      <c r="J155" s="19">
        <f t="shared" si="43"/>
        <v>-353.00000000011642</v>
      </c>
    </row>
    <row r="156" spans="1:10" x14ac:dyDescent="0.2">
      <c r="A156" s="16">
        <f t="shared" si="30"/>
        <v>151</v>
      </c>
      <c r="B156" s="17">
        <v>45859</v>
      </c>
      <c r="C156" s="4">
        <f t="shared" ref="C156:C158" si="45">IF(B156="","",YEAR(B156))</f>
        <v>2025</v>
      </c>
      <c r="D156" s="18" t="s">
        <v>101</v>
      </c>
      <c r="E156" s="22" t="s">
        <v>70</v>
      </c>
      <c r="F156" t="s">
        <v>91</v>
      </c>
      <c r="G156" s="22" t="s">
        <v>118</v>
      </c>
      <c r="H156" s="22" t="s">
        <v>123</v>
      </c>
      <c r="I156" s="21">
        <v>-353</v>
      </c>
      <c r="J156" s="19">
        <f t="shared" si="43"/>
        <v>-706.00000000011642</v>
      </c>
    </row>
    <row r="157" spans="1:10" x14ac:dyDescent="0.2">
      <c r="A157" s="16">
        <f t="shared" si="30"/>
        <v>152</v>
      </c>
      <c r="B157" s="17">
        <v>45859</v>
      </c>
      <c r="C157" s="4">
        <f t="shared" si="45"/>
        <v>2025</v>
      </c>
      <c r="D157" s="18" t="s">
        <v>101</v>
      </c>
      <c r="E157" s="22" t="s">
        <v>70</v>
      </c>
      <c r="F157" t="s">
        <v>91</v>
      </c>
      <c r="G157" s="22" t="s">
        <v>118</v>
      </c>
      <c r="H157" s="22" t="s">
        <v>124</v>
      </c>
      <c r="I157" s="21">
        <v>-300</v>
      </c>
      <c r="J157" s="19">
        <f t="shared" si="43"/>
        <v>-1006.0000000001164</v>
      </c>
    </row>
    <row r="158" spans="1:10" x14ac:dyDescent="0.2">
      <c r="A158" s="16">
        <f t="shared" si="30"/>
        <v>153</v>
      </c>
      <c r="B158" s="17">
        <v>45859</v>
      </c>
      <c r="C158" s="39">
        <f t="shared" si="45"/>
        <v>2025</v>
      </c>
      <c r="D158" s="18" t="s">
        <v>34</v>
      </c>
      <c r="E158" s="18"/>
      <c r="F158" t="s">
        <v>38</v>
      </c>
      <c r="G158" s="22" t="s">
        <v>34</v>
      </c>
      <c r="H158" s="22" t="s">
        <v>41</v>
      </c>
      <c r="I158" s="21">
        <v>1006</v>
      </c>
      <c r="J158" s="19">
        <f t="shared" ref="J158:J163" si="46">IF(I158="",".",J157+I158)</f>
        <v>-1.1641532182693481E-10</v>
      </c>
    </row>
    <row r="159" spans="1:10" x14ac:dyDescent="0.2">
      <c r="A159" s="16">
        <f t="shared" si="30"/>
        <v>154</v>
      </c>
      <c r="B159" s="17">
        <v>45874</v>
      </c>
      <c r="C159" s="4">
        <f t="shared" ref="C159:C162" si="47">IF(B159="","",YEAR(B159))</f>
        <v>2025</v>
      </c>
      <c r="D159" s="18" t="s">
        <v>101</v>
      </c>
      <c r="E159" s="22" t="s">
        <v>70</v>
      </c>
      <c r="F159" t="s">
        <v>91</v>
      </c>
      <c r="G159" s="22" t="s">
        <v>118</v>
      </c>
      <c r="H159" s="22" t="s">
        <v>124</v>
      </c>
      <c r="I159" s="21">
        <v>-300</v>
      </c>
      <c r="J159" s="19">
        <f t="shared" si="46"/>
        <v>-300.00000000011642</v>
      </c>
    </row>
    <row r="160" spans="1:10" x14ac:dyDescent="0.2">
      <c r="A160" s="16">
        <f t="shared" si="30"/>
        <v>155</v>
      </c>
      <c r="B160" s="17">
        <v>45874</v>
      </c>
      <c r="C160" s="4">
        <f t="shared" si="47"/>
        <v>2025</v>
      </c>
      <c r="D160" s="18" t="s">
        <v>101</v>
      </c>
      <c r="E160" s="22" t="s">
        <v>70</v>
      </c>
      <c r="F160" t="s">
        <v>91</v>
      </c>
      <c r="G160" s="22" t="s">
        <v>118</v>
      </c>
      <c r="H160" s="22" t="s">
        <v>123</v>
      </c>
      <c r="I160" s="21">
        <v>-353</v>
      </c>
      <c r="J160" s="19">
        <f t="shared" si="46"/>
        <v>-653.00000000011642</v>
      </c>
    </row>
    <row r="161" spans="1:10" x14ac:dyDescent="0.2">
      <c r="A161" s="16">
        <f t="shared" si="30"/>
        <v>156</v>
      </c>
      <c r="B161" s="17">
        <v>45874</v>
      </c>
      <c r="C161" s="39">
        <f t="shared" si="47"/>
        <v>2025</v>
      </c>
      <c r="D161" s="18" t="s">
        <v>31</v>
      </c>
      <c r="E161" s="22" t="s">
        <v>70</v>
      </c>
      <c r="F161" s="37" t="s">
        <v>92</v>
      </c>
      <c r="G161" s="22" t="s">
        <v>77</v>
      </c>
      <c r="H161" s="22" t="s">
        <v>41</v>
      </c>
      <c r="I161" s="21">
        <v>-75.400000000000006</v>
      </c>
      <c r="J161" s="19">
        <f t="shared" si="46"/>
        <v>-728.40000000011639</v>
      </c>
    </row>
    <row r="162" spans="1:10" x14ac:dyDescent="0.2">
      <c r="A162" s="16">
        <f t="shared" si="30"/>
        <v>157</v>
      </c>
      <c r="B162" s="17">
        <v>45874</v>
      </c>
      <c r="C162" s="39">
        <f t="shared" si="47"/>
        <v>2025</v>
      </c>
      <c r="D162" s="18" t="s">
        <v>34</v>
      </c>
      <c r="E162" s="18"/>
      <c r="F162" t="s">
        <v>38</v>
      </c>
      <c r="G162" s="22" t="s">
        <v>34</v>
      </c>
      <c r="H162" s="22" t="s">
        <v>41</v>
      </c>
      <c r="I162" s="21">
        <v>728.4</v>
      </c>
      <c r="J162" s="19">
        <f t="shared" si="46"/>
        <v>-1.1641532182693481E-10</v>
      </c>
    </row>
    <row r="163" spans="1:10" x14ac:dyDescent="0.2">
      <c r="A163" s="16">
        <f t="shared" si="30"/>
        <v>158</v>
      </c>
      <c r="B163" s="17">
        <v>45890</v>
      </c>
      <c r="C163" s="4">
        <f>IF(B163="","",YEAR(B163))</f>
        <v>2025</v>
      </c>
      <c r="D163" s="18" t="s">
        <v>101</v>
      </c>
      <c r="E163" s="22" t="s">
        <v>70</v>
      </c>
      <c r="F163" t="s">
        <v>91</v>
      </c>
      <c r="G163" s="22" t="s">
        <v>118</v>
      </c>
      <c r="H163" s="22" t="s">
        <v>126</v>
      </c>
      <c r="I163" s="21">
        <v>-353</v>
      </c>
      <c r="J163" s="19">
        <f t="shared" si="46"/>
        <v>-353.00000000011642</v>
      </c>
    </row>
    <row r="164" spans="1:10" x14ac:dyDescent="0.2">
      <c r="A164" s="16">
        <f t="shared" si="30"/>
        <v>159</v>
      </c>
      <c r="B164" s="17">
        <v>45890</v>
      </c>
      <c r="C164" s="4">
        <f>IF(B164="","",YEAR(B164))</f>
        <v>2025</v>
      </c>
      <c r="D164" s="18" t="s">
        <v>34</v>
      </c>
      <c r="E164" s="18"/>
      <c r="F164" t="s">
        <v>38</v>
      </c>
      <c r="G164" s="22" t="s">
        <v>34</v>
      </c>
      <c r="H164" s="22" t="s">
        <v>41</v>
      </c>
      <c r="I164" s="21">
        <v>353</v>
      </c>
      <c r="J164" s="19">
        <f t="shared" ref="J164:J165" si="48">IF(I164="",".",J163+I164)</f>
        <v>-1.1641532182693481E-10</v>
      </c>
    </row>
    <row r="165" spans="1:10" x14ac:dyDescent="0.2">
      <c r="A165" s="16">
        <f t="shared" si="30"/>
        <v>160</v>
      </c>
      <c r="B165" s="17">
        <v>45891</v>
      </c>
      <c r="C165" s="4">
        <f t="shared" ref="C165" si="49">IF(B165="","",YEAR(B165))</f>
        <v>2025</v>
      </c>
      <c r="D165" s="104" t="s">
        <v>47</v>
      </c>
      <c r="E165" s="22" t="s">
        <v>70</v>
      </c>
      <c r="F165" t="s">
        <v>91</v>
      </c>
      <c r="G165" s="22" t="s">
        <v>47</v>
      </c>
      <c r="H165" s="22" t="s">
        <v>103</v>
      </c>
      <c r="I165" s="21">
        <v>-600</v>
      </c>
      <c r="J165" s="19">
        <f t="shared" si="48"/>
        <v>-600.00000000011642</v>
      </c>
    </row>
    <row r="166" spans="1:10" x14ac:dyDescent="0.2">
      <c r="A166" s="16">
        <f t="shared" si="30"/>
        <v>161</v>
      </c>
      <c r="B166" s="17">
        <v>45891</v>
      </c>
      <c r="C166" s="4">
        <f>IF(B166="","",YEAR(B166))</f>
        <v>2025</v>
      </c>
      <c r="D166" s="18" t="s">
        <v>34</v>
      </c>
      <c r="E166" s="18"/>
      <c r="F166" t="s">
        <v>38</v>
      </c>
      <c r="G166" s="22" t="s">
        <v>34</v>
      </c>
      <c r="H166" s="22" t="s">
        <v>41</v>
      </c>
      <c r="I166" s="21">
        <v>600</v>
      </c>
      <c r="J166" s="19">
        <f t="shared" ref="J166:J181" si="50">IF(I166="",".",J165+I166)</f>
        <v>-1.1641532182693481E-10</v>
      </c>
    </row>
    <row r="167" spans="1:10" x14ac:dyDescent="0.2">
      <c r="A167" s="16">
        <f t="shared" si="30"/>
        <v>162</v>
      </c>
      <c r="B167" s="17">
        <v>45905</v>
      </c>
      <c r="C167" s="4">
        <f t="shared" ref="C167:C170" si="51">IF(B167="","",YEAR(B167))</f>
        <v>2025</v>
      </c>
      <c r="D167" s="18" t="s">
        <v>101</v>
      </c>
      <c r="E167" s="22" t="s">
        <v>70</v>
      </c>
      <c r="F167" t="s">
        <v>91</v>
      </c>
      <c r="G167" s="22" t="s">
        <v>118</v>
      </c>
      <c r="H167" s="22" t="s">
        <v>124</v>
      </c>
      <c r="I167" s="21">
        <v>-300</v>
      </c>
      <c r="J167" s="19">
        <f t="shared" si="50"/>
        <v>-300.00000000011642</v>
      </c>
    </row>
    <row r="168" spans="1:10" x14ac:dyDescent="0.2">
      <c r="A168" s="16">
        <f t="shared" si="30"/>
        <v>163</v>
      </c>
      <c r="B168" s="17">
        <v>45905</v>
      </c>
      <c r="C168" s="4">
        <f t="shared" si="51"/>
        <v>2025</v>
      </c>
      <c r="D168" s="18" t="s">
        <v>101</v>
      </c>
      <c r="E168" s="22" t="s">
        <v>70</v>
      </c>
      <c r="F168" t="s">
        <v>91</v>
      </c>
      <c r="G168" s="22" t="s">
        <v>118</v>
      </c>
      <c r="H168" s="22" t="s">
        <v>124</v>
      </c>
      <c r="I168" s="21">
        <v>-353</v>
      </c>
      <c r="J168" s="19">
        <f t="shared" si="50"/>
        <v>-653.00000000011642</v>
      </c>
    </row>
    <row r="169" spans="1:10" x14ac:dyDescent="0.2">
      <c r="A169" s="16">
        <f t="shared" si="30"/>
        <v>164</v>
      </c>
      <c r="B169" s="17">
        <v>45905</v>
      </c>
      <c r="C169" s="39">
        <f t="shared" si="51"/>
        <v>2025</v>
      </c>
      <c r="D169" s="18" t="s">
        <v>31</v>
      </c>
      <c r="E169" s="22" t="s">
        <v>70</v>
      </c>
      <c r="F169" s="37" t="s">
        <v>92</v>
      </c>
      <c r="G169" s="22" t="s">
        <v>77</v>
      </c>
      <c r="H169" s="22" t="s">
        <v>41</v>
      </c>
      <c r="I169" s="21">
        <v>-81.400000000000006</v>
      </c>
      <c r="J169" s="19">
        <f t="shared" si="50"/>
        <v>-734.40000000011639</v>
      </c>
    </row>
    <row r="170" spans="1:10" x14ac:dyDescent="0.2">
      <c r="A170" s="16">
        <f t="shared" si="30"/>
        <v>165</v>
      </c>
      <c r="B170" s="17">
        <v>45905</v>
      </c>
      <c r="C170" s="39">
        <f t="shared" si="51"/>
        <v>2025</v>
      </c>
      <c r="D170" s="18" t="s">
        <v>34</v>
      </c>
      <c r="E170" s="18"/>
      <c r="F170" t="s">
        <v>38</v>
      </c>
      <c r="G170" s="22" t="s">
        <v>34</v>
      </c>
      <c r="H170" s="22" t="s">
        <v>41</v>
      </c>
      <c r="I170" s="21">
        <v>734.4</v>
      </c>
      <c r="J170" s="19">
        <f t="shared" si="50"/>
        <v>-1.1641532182693481E-10</v>
      </c>
    </row>
    <row r="171" spans="1:10" x14ac:dyDescent="0.2">
      <c r="A171" s="16">
        <f t="shared" si="30"/>
        <v>166</v>
      </c>
      <c r="B171" s="17">
        <v>45910</v>
      </c>
      <c r="C171" s="4">
        <f>IF(B171="","",YEAR(B171))</f>
        <v>2025</v>
      </c>
      <c r="D171" s="18" t="s">
        <v>101</v>
      </c>
      <c r="E171" s="22" t="s">
        <v>70</v>
      </c>
      <c r="F171" t="s">
        <v>91</v>
      </c>
      <c r="G171" s="22" t="s">
        <v>118</v>
      </c>
      <c r="H171" s="22" t="s">
        <v>126</v>
      </c>
      <c r="I171" s="21">
        <v>-353</v>
      </c>
      <c r="J171" s="19">
        <f t="shared" si="50"/>
        <v>-353.00000000011642</v>
      </c>
    </row>
    <row r="172" spans="1:10" x14ac:dyDescent="0.2">
      <c r="A172" s="16">
        <f t="shared" si="30"/>
        <v>167</v>
      </c>
      <c r="B172" s="17">
        <v>45910</v>
      </c>
      <c r="C172" s="4">
        <f>IF(B172="","",YEAR(B172))</f>
        <v>2025</v>
      </c>
      <c r="D172" s="18" t="s">
        <v>34</v>
      </c>
      <c r="E172" s="18"/>
      <c r="F172" t="s">
        <v>38</v>
      </c>
      <c r="G172" s="22" t="s">
        <v>34</v>
      </c>
      <c r="H172" s="22" t="s">
        <v>41</v>
      </c>
      <c r="I172" s="21">
        <v>353</v>
      </c>
      <c r="J172" s="19">
        <f t="shared" si="50"/>
        <v>-1.1641532182693481E-10</v>
      </c>
    </row>
    <row r="173" spans="1:10" x14ac:dyDescent="0.2">
      <c r="A173" s="16">
        <f t="shared" si="30"/>
        <v>168</v>
      </c>
      <c r="B173" s="17">
        <v>45932</v>
      </c>
      <c r="C173" s="4">
        <f t="shared" ref="C173:C174" si="52">IF(B173="","",YEAR(B173))</f>
        <v>2025</v>
      </c>
      <c r="D173" s="18" t="s">
        <v>101</v>
      </c>
      <c r="E173" s="22" t="s">
        <v>70</v>
      </c>
      <c r="F173" t="s">
        <v>91</v>
      </c>
      <c r="G173" s="22" t="s">
        <v>118</v>
      </c>
      <c r="H173" s="22" t="s">
        <v>124</v>
      </c>
      <c r="I173" s="21">
        <v>-353</v>
      </c>
      <c r="J173" s="19">
        <f t="shared" si="50"/>
        <v>-353.00000000011642</v>
      </c>
    </row>
    <row r="174" spans="1:10" x14ac:dyDescent="0.2">
      <c r="A174" s="16">
        <f t="shared" si="30"/>
        <v>169</v>
      </c>
      <c r="B174" s="17">
        <v>45932</v>
      </c>
      <c r="C174" s="4">
        <f t="shared" si="52"/>
        <v>2025</v>
      </c>
      <c r="D174" s="18" t="s">
        <v>101</v>
      </c>
      <c r="E174" s="22" t="s">
        <v>70</v>
      </c>
      <c r="F174" t="s">
        <v>91</v>
      </c>
      <c r="G174" s="22" t="s">
        <v>118</v>
      </c>
      <c r="H174" s="22" t="s">
        <v>124</v>
      </c>
      <c r="I174" s="21">
        <v>-1518</v>
      </c>
      <c r="J174" s="19">
        <f t="shared" si="50"/>
        <v>-1871.0000000001164</v>
      </c>
    </row>
    <row r="175" spans="1:10" x14ac:dyDescent="0.2">
      <c r="A175" s="16">
        <f t="shared" si="30"/>
        <v>170</v>
      </c>
      <c r="B175" s="17">
        <v>45932</v>
      </c>
      <c r="C175" s="4">
        <f>IF(B175="","",YEAR(B175))</f>
        <v>2025</v>
      </c>
      <c r="D175" s="18" t="s">
        <v>34</v>
      </c>
      <c r="E175" s="18"/>
      <c r="F175" t="s">
        <v>38</v>
      </c>
      <c r="G175" s="22" t="s">
        <v>34</v>
      </c>
      <c r="H175" s="22" t="s">
        <v>41</v>
      </c>
      <c r="I175" s="21">
        <v>1871</v>
      </c>
      <c r="J175" s="19">
        <f t="shared" si="50"/>
        <v>-1.1641532182693481E-10</v>
      </c>
    </row>
    <row r="176" spans="1:10" x14ac:dyDescent="0.2">
      <c r="A176" s="16">
        <f t="shared" si="30"/>
        <v>171</v>
      </c>
      <c r="B176" s="17">
        <v>45936</v>
      </c>
      <c r="C176" s="39">
        <f t="shared" ref="C176" si="53">IF(B176="","",YEAR(B176))</f>
        <v>2025</v>
      </c>
      <c r="D176" s="18" t="s">
        <v>31</v>
      </c>
      <c r="E176" s="22" t="s">
        <v>70</v>
      </c>
      <c r="F176" s="37" t="s">
        <v>92</v>
      </c>
      <c r="G176" s="22" t="s">
        <v>77</v>
      </c>
      <c r="H176" s="22" t="s">
        <v>41</v>
      </c>
      <c r="I176" s="21">
        <v>-81.400000000000006</v>
      </c>
      <c r="J176" s="19">
        <f t="shared" si="50"/>
        <v>-81.400000000116421</v>
      </c>
    </row>
    <row r="177" spans="1:15" x14ac:dyDescent="0.2">
      <c r="A177" s="16">
        <f t="shared" si="30"/>
        <v>172</v>
      </c>
      <c r="B177" s="17">
        <v>45936</v>
      </c>
      <c r="C177" s="4">
        <f>IF(B177="","",YEAR(B177))</f>
        <v>2025</v>
      </c>
      <c r="D177" s="18" t="s">
        <v>34</v>
      </c>
      <c r="E177" s="18"/>
      <c r="F177" t="s">
        <v>38</v>
      </c>
      <c r="G177" s="22" t="s">
        <v>34</v>
      </c>
      <c r="H177" s="22" t="s">
        <v>41</v>
      </c>
      <c r="I177" s="21">
        <v>81.400000000000006</v>
      </c>
      <c r="J177" s="19">
        <f t="shared" si="50"/>
        <v>-1.1641532182693481E-10</v>
      </c>
    </row>
    <row r="178" spans="1:15" x14ac:dyDescent="0.2">
      <c r="A178" s="16">
        <f t="shared" si="30"/>
        <v>173</v>
      </c>
      <c r="B178" s="17">
        <v>45940</v>
      </c>
      <c r="C178" s="4">
        <f>IF(B178="","",YEAR(B178))</f>
        <v>2025</v>
      </c>
      <c r="D178" s="18" t="s">
        <v>101</v>
      </c>
      <c r="E178" s="22" t="s">
        <v>70</v>
      </c>
      <c r="F178" t="s">
        <v>91</v>
      </c>
      <c r="G178" s="22" t="s">
        <v>118</v>
      </c>
      <c r="H178" s="22" t="s">
        <v>126</v>
      </c>
      <c r="I178" s="21">
        <v>-353</v>
      </c>
      <c r="J178" s="19">
        <f t="shared" si="50"/>
        <v>-353.00000000011642</v>
      </c>
    </row>
    <row r="179" spans="1:15" x14ac:dyDescent="0.2">
      <c r="A179" s="16">
        <f t="shared" ref="A179:A256" si="54">A178+1</f>
        <v>174</v>
      </c>
      <c r="B179" s="17">
        <v>45940</v>
      </c>
      <c r="C179" s="4">
        <f>IF(B179="","",YEAR(B179))</f>
        <v>2025</v>
      </c>
      <c r="D179" s="18" t="s">
        <v>34</v>
      </c>
      <c r="E179" s="18"/>
      <c r="F179" t="s">
        <v>38</v>
      </c>
      <c r="G179" s="22" t="s">
        <v>34</v>
      </c>
      <c r="H179" s="22" t="s">
        <v>41</v>
      </c>
      <c r="I179" s="21">
        <v>353</v>
      </c>
      <c r="J179" s="19">
        <f t="shared" si="50"/>
        <v>-1.1641532182693481E-10</v>
      </c>
    </row>
    <row r="180" spans="1:15" x14ac:dyDescent="0.2">
      <c r="A180" s="16">
        <f t="shared" si="54"/>
        <v>175</v>
      </c>
      <c r="B180" s="17">
        <v>45943</v>
      </c>
      <c r="C180" s="4">
        <f t="shared" ref="C180:C182" si="55">IF(B180="","",YEAR(B180))</f>
        <v>2025</v>
      </c>
      <c r="D180" s="18" t="s">
        <v>120</v>
      </c>
      <c r="E180" s="22" t="s">
        <v>71</v>
      </c>
      <c r="F180" t="s">
        <v>48</v>
      </c>
      <c r="G180" s="22" t="s">
        <v>49</v>
      </c>
      <c r="H180" s="18" t="s">
        <v>114</v>
      </c>
      <c r="I180" s="21">
        <v>150000</v>
      </c>
      <c r="J180" s="19">
        <f t="shared" si="50"/>
        <v>149999.99999999988</v>
      </c>
    </row>
    <row r="181" spans="1:15" x14ac:dyDescent="0.2">
      <c r="A181" s="16">
        <f t="shared" si="54"/>
        <v>176</v>
      </c>
      <c r="B181" s="17">
        <v>45950</v>
      </c>
      <c r="C181" s="39">
        <f t="shared" si="55"/>
        <v>2025</v>
      </c>
      <c r="D181" s="18" t="s">
        <v>33</v>
      </c>
      <c r="E181" s="18"/>
      <c r="F181" s="37" t="s">
        <v>38</v>
      </c>
      <c r="G181" s="18" t="s">
        <v>33</v>
      </c>
      <c r="H181" s="22" t="s">
        <v>41</v>
      </c>
      <c r="I181" s="21">
        <v>-150000</v>
      </c>
      <c r="J181" s="19">
        <f t="shared" si="50"/>
        <v>-1.1641532182693481E-10</v>
      </c>
    </row>
    <row r="182" spans="1:15" x14ac:dyDescent="0.2">
      <c r="A182" s="16">
        <f t="shared" si="54"/>
        <v>177</v>
      </c>
      <c r="B182" s="17">
        <v>45954</v>
      </c>
      <c r="C182" s="4">
        <f t="shared" si="55"/>
        <v>2025</v>
      </c>
      <c r="D182" s="18" t="s">
        <v>101</v>
      </c>
      <c r="E182" s="22" t="s">
        <v>70</v>
      </c>
      <c r="F182" t="s">
        <v>91</v>
      </c>
      <c r="G182" s="22" t="s">
        <v>118</v>
      </c>
      <c r="H182" s="22" t="s">
        <v>124</v>
      </c>
      <c r="I182" s="21">
        <v>-184</v>
      </c>
      <c r="J182" s="19">
        <f t="shared" ref="J182:J189" si="56">IF(I182="",".",J181+I182)</f>
        <v>-184.00000000011642</v>
      </c>
    </row>
    <row r="183" spans="1:15" x14ac:dyDescent="0.2">
      <c r="A183" s="16">
        <f t="shared" si="54"/>
        <v>178</v>
      </c>
      <c r="B183" s="17">
        <v>45954</v>
      </c>
      <c r="C183" s="4">
        <f>IF(B183="","",YEAR(B183))</f>
        <v>2025</v>
      </c>
      <c r="D183" s="18" t="s">
        <v>34</v>
      </c>
      <c r="E183" s="18"/>
      <c r="F183" t="s">
        <v>38</v>
      </c>
      <c r="G183" s="22" t="s">
        <v>34</v>
      </c>
      <c r="H183" s="22" t="s">
        <v>41</v>
      </c>
      <c r="I183" s="21">
        <v>184</v>
      </c>
      <c r="J183" s="19">
        <f t="shared" si="56"/>
        <v>-1.1641532182693481E-10</v>
      </c>
    </row>
    <row r="184" spans="1:15" x14ac:dyDescent="0.2">
      <c r="A184" s="16">
        <f t="shared" si="54"/>
        <v>179</v>
      </c>
      <c r="B184" s="17">
        <v>45966</v>
      </c>
      <c r="C184" s="4">
        <f t="shared" ref="C184:C186" si="57">IF(B184="","",YEAR(B184))</f>
        <v>2025</v>
      </c>
      <c r="D184" s="18" t="s">
        <v>101</v>
      </c>
      <c r="E184" s="22" t="s">
        <v>70</v>
      </c>
      <c r="F184" t="s">
        <v>91</v>
      </c>
      <c r="G184" s="22" t="s">
        <v>118</v>
      </c>
      <c r="H184" s="22" t="s">
        <v>124</v>
      </c>
      <c r="I184" s="21">
        <v>-353</v>
      </c>
      <c r="J184" s="19">
        <f t="shared" si="56"/>
        <v>-353.00000000011642</v>
      </c>
    </row>
    <row r="185" spans="1:15" x14ac:dyDescent="0.2">
      <c r="A185" s="16">
        <f t="shared" si="54"/>
        <v>180</v>
      </c>
      <c r="B185" s="17">
        <v>45966</v>
      </c>
      <c r="C185" s="4">
        <f t="shared" si="57"/>
        <v>2025</v>
      </c>
      <c r="D185" s="18" t="s">
        <v>101</v>
      </c>
      <c r="E185" s="22" t="s">
        <v>70</v>
      </c>
      <c r="F185" t="s">
        <v>91</v>
      </c>
      <c r="G185" s="22" t="s">
        <v>118</v>
      </c>
      <c r="H185" s="22" t="s">
        <v>124</v>
      </c>
      <c r="I185" s="21">
        <v>-1518</v>
      </c>
      <c r="J185" s="19">
        <f t="shared" si="56"/>
        <v>-1871.0000000001164</v>
      </c>
    </row>
    <row r="186" spans="1:15" x14ac:dyDescent="0.2">
      <c r="A186" s="16">
        <f t="shared" si="54"/>
        <v>181</v>
      </c>
      <c r="B186" s="17">
        <v>45966</v>
      </c>
      <c r="C186" s="39">
        <f t="shared" si="57"/>
        <v>2025</v>
      </c>
      <c r="D186" s="18" t="s">
        <v>31</v>
      </c>
      <c r="E186" s="22" t="s">
        <v>70</v>
      </c>
      <c r="F186" s="37" t="s">
        <v>92</v>
      </c>
      <c r="G186" s="22" t="s">
        <v>77</v>
      </c>
      <c r="H186" s="22" t="s">
        <v>41</v>
      </c>
      <c r="I186" s="21">
        <v>-81.400000000000006</v>
      </c>
      <c r="J186" s="19">
        <f t="shared" si="56"/>
        <v>-1952.4000000001165</v>
      </c>
    </row>
    <row r="187" spans="1:15" x14ac:dyDescent="0.2">
      <c r="A187" s="16">
        <f t="shared" si="54"/>
        <v>182</v>
      </c>
      <c r="B187" s="17">
        <v>45966</v>
      </c>
      <c r="C187" s="4">
        <f>IF(B187="","",YEAR(B187))</f>
        <v>2025</v>
      </c>
      <c r="D187" s="18" t="s">
        <v>34</v>
      </c>
      <c r="E187" s="18"/>
      <c r="F187" t="s">
        <v>38</v>
      </c>
      <c r="G187" s="22" t="s">
        <v>34</v>
      </c>
      <c r="H187" s="22" t="s">
        <v>41</v>
      </c>
      <c r="I187" s="21">
        <v>1952.4</v>
      </c>
      <c r="J187" s="19">
        <f t="shared" si="56"/>
        <v>-1.1641532182693481E-10</v>
      </c>
    </row>
    <row r="188" spans="1:15" x14ac:dyDescent="0.2">
      <c r="A188" s="16">
        <f t="shared" si="54"/>
        <v>183</v>
      </c>
      <c r="B188" s="17">
        <v>45971</v>
      </c>
      <c r="C188" s="4">
        <f>IF(B188="","",YEAR(B188))</f>
        <v>2025</v>
      </c>
      <c r="D188" s="18" t="s">
        <v>101</v>
      </c>
      <c r="E188" s="22" t="s">
        <v>70</v>
      </c>
      <c r="F188" t="s">
        <v>91</v>
      </c>
      <c r="G188" s="22" t="s">
        <v>118</v>
      </c>
      <c r="H188" s="22" t="s">
        <v>126</v>
      </c>
      <c r="I188" s="21">
        <v>-353</v>
      </c>
      <c r="J188" s="19">
        <f t="shared" si="56"/>
        <v>-353.00000000011642</v>
      </c>
    </row>
    <row r="189" spans="1:15" x14ac:dyDescent="0.2">
      <c r="A189" s="16">
        <f t="shared" si="54"/>
        <v>184</v>
      </c>
      <c r="B189" s="17">
        <v>45971</v>
      </c>
      <c r="C189" s="4">
        <f>IF(B189="","",YEAR(B189))</f>
        <v>2025</v>
      </c>
      <c r="D189" s="18" t="s">
        <v>34</v>
      </c>
      <c r="E189" s="18"/>
      <c r="F189" t="s">
        <v>38</v>
      </c>
      <c r="G189" s="22" t="s">
        <v>34</v>
      </c>
      <c r="H189" s="22" t="s">
        <v>41</v>
      </c>
      <c r="I189" s="21">
        <v>353</v>
      </c>
      <c r="J189" s="19">
        <f t="shared" si="56"/>
        <v>-1.1641532182693481E-10</v>
      </c>
    </row>
    <row r="190" spans="1:15" x14ac:dyDescent="0.2">
      <c r="A190" s="16">
        <f t="shared" si="54"/>
        <v>185</v>
      </c>
      <c r="B190" s="17">
        <v>45975</v>
      </c>
      <c r="C190" s="4">
        <f>IF(B190="","",YEAR(B190))</f>
        <v>2025</v>
      </c>
      <c r="D190" s="18" t="s">
        <v>101</v>
      </c>
      <c r="E190" s="22" t="s">
        <v>70</v>
      </c>
      <c r="F190" t="s">
        <v>91</v>
      </c>
      <c r="G190" s="22" t="s">
        <v>118</v>
      </c>
      <c r="H190" s="22" t="s">
        <v>126</v>
      </c>
      <c r="I190" s="21">
        <v>-176.5</v>
      </c>
      <c r="J190" s="19">
        <f t="shared" ref="J190:J205" si="58">IF(I190="",".",J189+I190)</f>
        <v>-176.50000000011642</v>
      </c>
    </row>
    <row r="191" spans="1:15" x14ac:dyDescent="0.2">
      <c r="A191" s="16">
        <f t="shared" si="54"/>
        <v>186</v>
      </c>
      <c r="B191" s="17">
        <v>45975</v>
      </c>
      <c r="C191" s="4">
        <f t="shared" ref="C191" si="59">IF(B191="","",YEAR(B191))</f>
        <v>2025</v>
      </c>
      <c r="D191" s="18" t="s">
        <v>101</v>
      </c>
      <c r="E191" s="22" t="s">
        <v>70</v>
      </c>
      <c r="F191" t="s">
        <v>91</v>
      </c>
      <c r="G191" s="22" t="s">
        <v>118</v>
      </c>
      <c r="H191" s="22" t="s">
        <v>124</v>
      </c>
      <c r="I191" s="21">
        <v>-176.5</v>
      </c>
      <c r="J191" s="19">
        <f t="shared" si="58"/>
        <v>-353.00000000011642</v>
      </c>
    </row>
    <row r="192" spans="1:15" x14ac:dyDescent="0.2">
      <c r="A192" s="16">
        <f t="shared" si="54"/>
        <v>187</v>
      </c>
      <c r="B192" s="17">
        <v>45975</v>
      </c>
      <c r="C192" s="4">
        <f>IF(B192="","",YEAR(B192))</f>
        <v>2025</v>
      </c>
      <c r="D192" s="18" t="s">
        <v>34</v>
      </c>
      <c r="E192" s="18"/>
      <c r="F192" t="s">
        <v>38</v>
      </c>
      <c r="G192" s="22" t="s">
        <v>34</v>
      </c>
      <c r="H192" s="22" t="s">
        <v>41</v>
      </c>
      <c r="I192" s="21">
        <v>353</v>
      </c>
      <c r="J192" s="19">
        <f t="shared" si="58"/>
        <v>-1.1641532182693481E-10</v>
      </c>
      <c r="L192" s="127" t="s">
        <v>141</v>
      </c>
      <c r="M192" s="128"/>
      <c r="N192" s="128"/>
      <c r="O192" s="129"/>
    </row>
    <row r="193" spans="1:15" x14ac:dyDescent="0.2">
      <c r="A193" s="16">
        <f t="shared" si="54"/>
        <v>188</v>
      </c>
      <c r="B193" s="17">
        <v>45994</v>
      </c>
      <c r="C193" s="4">
        <f t="shared" ref="C193" si="60">IF(B193="","",YEAR(B193))</f>
        <v>2025</v>
      </c>
      <c r="D193" s="18" t="s">
        <v>134</v>
      </c>
      <c r="E193" s="22" t="s">
        <v>70</v>
      </c>
      <c r="F193" t="s">
        <v>135</v>
      </c>
      <c r="G193" s="22" t="s">
        <v>137</v>
      </c>
      <c r="H193" s="22" t="s">
        <v>136</v>
      </c>
      <c r="I193" s="21">
        <v>-25000</v>
      </c>
      <c r="J193" s="19">
        <f t="shared" si="58"/>
        <v>-25000.000000000116</v>
      </c>
      <c r="L193" s="114">
        <f>I193</f>
        <v>-25000</v>
      </c>
      <c r="M193" s="115"/>
      <c r="N193" s="115"/>
      <c r="O193" s="116"/>
    </row>
    <row r="194" spans="1:15" x14ac:dyDescent="0.2">
      <c r="A194" s="16">
        <f t="shared" si="54"/>
        <v>189</v>
      </c>
      <c r="B194" s="17">
        <v>45994</v>
      </c>
      <c r="C194" s="4">
        <f>IF(B194="","",YEAR(B194))</f>
        <v>2025</v>
      </c>
      <c r="D194" s="18" t="s">
        <v>34</v>
      </c>
      <c r="E194" s="18"/>
      <c r="F194" t="s">
        <v>38</v>
      </c>
      <c r="G194" s="22" t="s">
        <v>34</v>
      </c>
      <c r="H194" s="22" t="s">
        <v>41</v>
      </c>
      <c r="I194" s="21">
        <v>25000</v>
      </c>
      <c r="J194" s="19">
        <f t="shared" si="58"/>
        <v>-1.1641532182693481E-10</v>
      </c>
      <c r="L194" s="117"/>
      <c r="O194" s="118"/>
    </row>
    <row r="195" spans="1:15" x14ac:dyDescent="0.2">
      <c r="A195" s="16">
        <f t="shared" si="54"/>
        <v>190</v>
      </c>
      <c r="B195" s="17">
        <v>45995</v>
      </c>
      <c r="C195" s="4">
        <f t="shared" ref="C195" si="61">IF(B195="","",YEAR(B195))</f>
        <v>2025</v>
      </c>
      <c r="D195" s="18" t="s">
        <v>134</v>
      </c>
      <c r="E195" s="22" t="s">
        <v>70</v>
      </c>
      <c r="F195" t="s">
        <v>135</v>
      </c>
      <c r="G195" s="22" t="s">
        <v>137</v>
      </c>
      <c r="H195" s="22" t="s">
        <v>136</v>
      </c>
      <c r="I195" s="21">
        <v>-25000</v>
      </c>
      <c r="J195" s="19">
        <f t="shared" si="58"/>
        <v>-25000.000000000116</v>
      </c>
      <c r="L195" s="119">
        <f>I195</f>
        <v>-25000</v>
      </c>
      <c r="O195" s="118"/>
    </row>
    <row r="196" spans="1:15" x14ac:dyDescent="0.2">
      <c r="A196" s="16">
        <f t="shared" si="54"/>
        <v>191</v>
      </c>
      <c r="B196" s="17">
        <v>45995</v>
      </c>
      <c r="C196" s="4">
        <f>IF(B196="","",YEAR(B196))</f>
        <v>2025</v>
      </c>
      <c r="D196" s="18" t="s">
        <v>34</v>
      </c>
      <c r="E196" s="18"/>
      <c r="F196" t="s">
        <v>38</v>
      </c>
      <c r="G196" s="22" t="s">
        <v>34</v>
      </c>
      <c r="H196" s="22" t="s">
        <v>41</v>
      </c>
      <c r="I196" s="21">
        <v>25000</v>
      </c>
      <c r="J196" s="19">
        <f t="shared" si="58"/>
        <v>-1.1641532182693481E-10</v>
      </c>
      <c r="L196" s="117"/>
      <c r="O196" s="118"/>
    </row>
    <row r="197" spans="1:15" x14ac:dyDescent="0.2">
      <c r="A197" s="16">
        <f t="shared" si="54"/>
        <v>192</v>
      </c>
      <c r="B197" s="17">
        <v>45996</v>
      </c>
      <c r="C197" s="4">
        <f t="shared" ref="C197:C200" si="62">IF(B197="","",YEAR(B197))</f>
        <v>2025</v>
      </c>
      <c r="D197" s="18" t="s">
        <v>134</v>
      </c>
      <c r="E197" s="22" t="s">
        <v>70</v>
      </c>
      <c r="F197" t="s">
        <v>135</v>
      </c>
      <c r="G197" s="22" t="s">
        <v>137</v>
      </c>
      <c r="H197" s="22" t="s">
        <v>136</v>
      </c>
      <c r="I197" s="21">
        <v>-12000</v>
      </c>
      <c r="J197" s="19">
        <f t="shared" si="58"/>
        <v>-12000.000000000116</v>
      </c>
      <c r="L197" s="119">
        <f>I197</f>
        <v>-12000</v>
      </c>
      <c r="O197" s="118"/>
    </row>
    <row r="198" spans="1:15" x14ac:dyDescent="0.2">
      <c r="A198" s="16">
        <f t="shared" si="54"/>
        <v>193</v>
      </c>
      <c r="B198" s="17">
        <v>45996</v>
      </c>
      <c r="C198" s="4">
        <f t="shared" si="62"/>
        <v>2025</v>
      </c>
      <c r="D198" s="18" t="s">
        <v>101</v>
      </c>
      <c r="E198" s="22" t="s">
        <v>70</v>
      </c>
      <c r="F198" t="s">
        <v>91</v>
      </c>
      <c r="G198" s="22" t="s">
        <v>118</v>
      </c>
      <c r="H198" s="22" t="s">
        <v>124</v>
      </c>
      <c r="I198" s="21">
        <v>-353</v>
      </c>
      <c r="J198" s="19">
        <f t="shared" si="58"/>
        <v>-12353.000000000116</v>
      </c>
      <c r="L198" s="67"/>
      <c r="O198" s="118"/>
    </row>
    <row r="199" spans="1:15" x14ac:dyDescent="0.2">
      <c r="A199" s="16">
        <f t="shared" si="54"/>
        <v>194</v>
      </c>
      <c r="B199" s="17">
        <v>45996</v>
      </c>
      <c r="C199" s="4">
        <f t="shared" si="62"/>
        <v>2025</v>
      </c>
      <c r="D199" s="18" t="s">
        <v>101</v>
      </c>
      <c r="E199" s="22" t="s">
        <v>70</v>
      </c>
      <c r="F199" t="s">
        <v>91</v>
      </c>
      <c r="G199" s="22" t="s">
        <v>118</v>
      </c>
      <c r="H199" s="22" t="s">
        <v>124</v>
      </c>
      <c r="I199" s="21">
        <v>-1518</v>
      </c>
      <c r="J199" s="19">
        <f t="shared" si="58"/>
        <v>-13871.000000000116</v>
      </c>
      <c r="L199" s="124">
        <f>SUM(L193:L198)</f>
        <v>-62000</v>
      </c>
      <c r="M199" t="s">
        <v>139</v>
      </c>
      <c r="O199" s="118"/>
    </row>
    <row r="200" spans="1:15" x14ac:dyDescent="0.2">
      <c r="A200" s="16">
        <f t="shared" si="54"/>
        <v>195</v>
      </c>
      <c r="B200" s="17">
        <v>45996</v>
      </c>
      <c r="C200" s="39">
        <f t="shared" si="62"/>
        <v>2025</v>
      </c>
      <c r="D200" s="18" t="s">
        <v>31</v>
      </c>
      <c r="E200" s="22" t="s">
        <v>70</v>
      </c>
      <c r="F200" s="37" t="s">
        <v>92</v>
      </c>
      <c r="G200" s="22" t="s">
        <v>77</v>
      </c>
      <c r="H200" s="22" t="s">
        <v>41</v>
      </c>
      <c r="I200" s="21">
        <v>-81.400000000000006</v>
      </c>
      <c r="J200" s="19">
        <f t="shared" si="58"/>
        <v>-13952.400000000116</v>
      </c>
      <c r="L200" s="117"/>
      <c r="M200" t="s">
        <v>140</v>
      </c>
      <c r="O200" s="118"/>
    </row>
    <row r="201" spans="1:15" x14ac:dyDescent="0.2">
      <c r="A201" s="16">
        <f t="shared" si="54"/>
        <v>196</v>
      </c>
      <c r="B201" s="17">
        <v>45996</v>
      </c>
      <c r="C201" s="4">
        <f>IF(B201="","",YEAR(B201))</f>
        <v>2025</v>
      </c>
      <c r="D201" s="18" t="s">
        <v>34</v>
      </c>
      <c r="E201" s="18"/>
      <c r="F201" t="s">
        <v>38</v>
      </c>
      <c r="G201" s="22" t="s">
        <v>34</v>
      </c>
      <c r="H201" s="22" t="s">
        <v>41</v>
      </c>
      <c r="I201" s="21">
        <v>13952.4</v>
      </c>
      <c r="J201" s="19">
        <f t="shared" si="58"/>
        <v>-1.1641532182693481E-10</v>
      </c>
      <c r="L201" s="67"/>
      <c r="M201" s="65"/>
      <c r="N201" s="65"/>
      <c r="O201" s="120"/>
    </row>
    <row r="202" spans="1:15" x14ac:dyDescent="0.2">
      <c r="A202" s="16">
        <f t="shared" si="54"/>
        <v>197</v>
      </c>
      <c r="B202" s="17">
        <v>46001</v>
      </c>
      <c r="C202" s="4">
        <f>IF(B202="","",YEAR(B202))</f>
        <v>2025</v>
      </c>
      <c r="D202" s="18" t="s">
        <v>101</v>
      </c>
      <c r="E202" s="22" t="s">
        <v>70</v>
      </c>
      <c r="F202" t="s">
        <v>91</v>
      </c>
      <c r="G202" s="22" t="s">
        <v>118</v>
      </c>
      <c r="H202" s="22" t="s">
        <v>126</v>
      </c>
      <c r="I202" s="21">
        <v>-353</v>
      </c>
      <c r="J202" s="19">
        <f t="shared" si="58"/>
        <v>-353.00000000011642</v>
      </c>
    </row>
    <row r="203" spans="1:15" x14ac:dyDescent="0.2">
      <c r="A203" s="16">
        <f t="shared" si="54"/>
        <v>198</v>
      </c>
      <c r="B203" s="17">
        <v>46001</v>
      </c>
      <c r="C203" s="4">
        <f>IF(B203="","",YEAR(B203))</f>
        <v>2025</v>
      </c>
      <c r="D203" s="18" t="s">
        <v>34</v>
      </c>
      <c r="E203" s="18"/>
      <c r="F203" t="s">
        <v>38</v>
      </c>
      <c r="G203" s="22" t="s">
        <v>34</v>
      </c>
      <c r="H203" s="22" t="s">
        <v>41</v>
      </c>
      <c r="I203" s="21">
        <v>353</v>
      </c>
      <c r="J203" s="19">
        <f t="shared" si="58"/>
        <v>-1.1641532182693481E-10</v>
      </c>
    </row>
    <row r="204" spans="1:15" x14ac:dyDescent="0.2">
      <c r="A204" s="16">
        <f t="shared" si="54"/>
        <v>199</v>
      </c>
      <c r="B204" s="17">
        <v>46006</v>
      </c>
      <c r="C204" s="4">
        <f t="shared" ref="C204:C205" si="63">IF(B204="","",YEAR(B204))</f>
        <v>2025</v>
      </c>
      <c r="D204" s="18" t="s">
        <v>120</v>
      </c>
      <c r="E204" s="22" t="s">
        <v>71</v>
      </c>
      <c r="F204" t="s">
        <v>48</v>
      </c>
      <c r="G204" s="22" t="s">
        <v>49</v>
      </c>
      <c r="H204" s="18" t="s">
        <v>114</v>
      </c>
      <c r="I204" s="21">
        <v>209209.39</v>
      </c>
      <c r="J204" s="19">
        <f t="shared" si="58"/>
        <v>209209.3899999999</v>
      </c>
    </row>
    <row r="205" spans="1:15" x14ac:dyDescent="0.2">
      <c r="A205" s="16">
        <f t="shared" si="54"/>
        <v>200</v>
      </c>
      <c r="B205" s="17">
        <v>46006</v>
      </c>
      <c r="C205" s="39">
        <f t="shared" si="63"/>
        <v>2025</v>
      </c>
      <c r="D205" s="18" t="s">
        <v>33</v>
      </c>
      <c r="E205" s="18"/>
      <c r="F205" s="37" t="s">
        <v>38</v>
      </c>
      <c r="G205" s="18" t="s">
        <v>33</v>
      </c>
      <c r="H205" s="22" t="s">
        <v>41</v>
      </c>
      <c r="I205" s="21">
        <v>-200000</v>
      </c>
      <c r="J205" s="19">
        <f t="shared" si="58"/>
        <v>9209.3899999998976</v>
      </c>
    </row>
    <row r="206" spans="1:15" x14ac:dyDescent="0.2">
      <c r="A206" s="16">
        <f t="shared" si="54"/>
        <v>201</v>
      </c>
      <c r="B206" s="17">
        <v>46006</v>
      </c>
      <c r="C206" s="4">
        <f>IF(B206="","",YEAR(B206))</f>
        <v>2025</v>
      </c>
      <c r="D206" s="18" t="s">
        <v>101</v>
      </c>
      <c r="E206" s="22" t="s">
        <v>70</v>
      </c>
      <c r="F206" t="s">
        <v>91</v>
      </c>
      <c r="G206" s="22" t="s">
        <v>118</v>
      </c>
      <c r="H206" s="22" t="s">
        <v>126</v>
      </c>
      <c r="I206" s="21">
        <v>-176.5</v>
      </c>
      <c r="J206" s="19">
        <f t="shared" ref="J206:J215" si="64">IF(I206="",".",J205+I206)</f>
        <v>9032.8899999998976</v>
      </c>
    </row>
    <row r="207" spans="1:15" x14ac:dyDescent="0.2">
      <c r="A207" s="40">
        <f t="shared" si="54"/>
        <v>202</v>
      </c>
      <c r="B207" s="41">
        <v>46006</v>
      </c>
      <c r="C207" s="74">
        <f t="shared" ref="C207:C210" si="65">IF(B207="","",YEAR(B207))</f>
        <v>2025</v>
      </c>
      <c r="D207" s="43" t="s">
        <v>101</v>
      </c>
      <c r="E207" s="47" t="s">
        <v>70</v>
      </c>
      <c r="F207" s="65" t="s">
        <v>91</v>
      </c>
      <c r="G207" s="47" t="s">
        <v>118</v>
      </c>
      <c r="H207" s="47" t="s">
        <v>124</v>
      </c>
      <c r="I207" s="44">
        <v>-176.5</v>
      </c>
      <c r="J207" s="45">
        <f t="shared" si="64"/>
        <v>8856.3899999998976</v>
      </c>
    </row>
    <row r="208" spans="1:15" x14ac:dyDescent="0.2">
      <c r="A208" s="16">
        <f t="shared" si="54"/>
        <v>203</v>
      </c>
      <c r="B208" s="17">
        <v>46027</v>
      </c>
      <c r="C208" s="4">
        <f t="shared" si="65"/>
        <v>2026</v>
      </c>
      <c r="D208" s="18" t="s">
        <v>101</v>
      </c>
      <c r="E208" s="22" t="s">
        <v>70</v>
      </c>
      <c r="F208" t="s">
        <v>91</v>
      </c>
      <c r="G208" s="22" t="s">
        <v>118</v>
      </c>
      <c r="H208" s="22" t="s">
        <v>124</v>
      </c>
      <c r="I208" s="21">
        <v>-353</v>
      </c>
      <c r="J208" s="19">
        <f t="shared" si="64"/>
        <v>8503.3899999998976</v>
      </c>
    </row>
    <row r="209" spans="1:10" x14ac:dyDescent="0.2">
      <c r="A209" s="16">
        <f t="shared" si="54"/>
        <v>204</v>
      </c>
      <c r="B209" s="17">
        <v>46027</v>
      </c>
      <c r="C209" s="4">
        <f t="shared" si="65"/>
        <v>2026</v>
      </c>
      <c r="D209" s="18" t="s">
        <v>101</v>
      </c>
      <c r="E209" s="22" t="s">
        <v>70</v>
      </c>
      <c r="F209" t="s">
        <v>91</v>
      </c>
      <c r="G209" s="22" t="s">
        <v>118</v>
      </c>
      <c r="H209" s="22" t="s">
        <v>124</v>
      </c>
      <c r="I209" s="21">
        <v>-1518</v>
      </c>
      <c r="J209" s="19">
        <f t="shared" si="64"/>
        <v>6985.3899999998976</v>
      </c>
    </row>
    <row r="210" spans="1:10" x14ac:dyDescent="0.2">
      <c r="A210" s="16">
        <f t="shared" si="54"/>
        <v>205</v>
      </c>
      <c r="B210" s="17">
        <v>46028</v>
      </c>
      <c r="C210" s="39">
        <f t="shared" si="65"/>
        <v>2026</v>
      </c>
      <c r="D210" s="18" t="s">
        <v>31</v>
      </c>
      <c r="E210" s="22" t="s">
        <v>70</v>
      </c>
      <c r="F210" s="37" t="s">
        <v>92</v>
      </c>
      <c r="G210" s="22" t="s">
        <v>77</v>
      </c>
      <c r="H210" s="22" t="s">
        <v>41</v>
      </c>
      <c r="I210" s="21">
        <v>-81.400000000000006</v>
      </c>
      <c r="J210" s="19">
        <f t="shared" si="64"/>
        <v>6903.9899999998979</v>
      </c>
    </row>
    <row r="211" spans="1:10" x14ac:dyDescent="0.2">
      <c r="A211" s="16">
        <f t="shared" si="54"/>
        <v>206</v>
      </c>
      <c r="B211" s="17">
        <v>46034</v>
      </c>
      <c r="C211" s="4">
        <f>IF(B211="","",YEAR(B211))</f>
        <v>2026</v>
      </c>
      <c r="D211" s="18" t="s">
        <v>101</v>
      </c>
      <c r="E211" s="22" t="s">
        <v>70</v>
      </c>
      <c r="F211" t="s">
        <v>91</v>
      </c>
      <c r="G211" s="22" t="s">
        <v>118</v>
      </c>
      <c r="H211" s="22" t="s">
        <v>126</v>
      </c>
      <c r="I211" s="21">
        <v>-353</v>
      </c>
      <c r="J211" s="19">
        <f t="shared" si="64"/>
        <v>6550.9899999998979</v>
      </c>
    </row>
    <row r="212" spans="1:10" x14ac:dyDescent="0.2">
      <c r="A212" s="16">
        <f t="shared" si="54"/>
        <v>207</v>
      </c>
      <c r="B212" s="17">
        <v>46058</v>
      </c>
      <c r="C212" s="4">
        <f t="shared" ref="C212:C214" si="66">IF(B212="","",YEAR(B212))</f>
        <v>2026</v>
      </c>
      <c r="D212" s="18" t="s">
        <v>101</v>
      </c>
      <c r="E212" s="22" t="s">
        <v>70</v>
      </c>
      <c r="F212" t="s">
        <v>91</v>
      </c>
      <c r="G212" s="22" t="s">
        <v>118</v>
      </c>
      <c r="H212" s="22" t="s">
        <v>124</v>
      </c>
      <c r="I212" s="21">
        <v>-377</v>
      </c>
      <c r="J212" s="19">
        <f t="shared" si="64"/>
        <v>6173.9899999998979</v>
      </c>
    </row>
    <row r="213" spans="1:10" x14ac:dyDescent="0.2">
      <c r="A213" s="16">
        <f t="shared" si="54"/>
        <v>208</v>
      </c>
      <c r="B213" s="17">
        <v>46058</v>
      </c>
      <c r="C213" s="4">
        <f t="shared" si="66"/>
        <v>2026</v>
      </c>
      <c r="D213" s="18" t="s">
        <v>101</v>
      </c>
      <c r="E213" s="22" t="s">
        <v>70</v>
      </c>
      <c r="F213" t="s">
        <v>91</v>
      </c>
      <c r="G213" s="22" t="s">
        <v>118</v>
      </c>
      <c r="H213" s="22" t="s">
        <v>124</v>
      </c>
      <c r="I213" s="21">
        <v>-1621</v>
      </c>
      <c r="J213" s="19">
        <f t="shared" si="64"/>
        <v>4552.9899999998979</v>
      </c>
    </row>
    <row r="214" spans="1:10" x14ac:dyDescent="0.2">
      <c r="A214" s="16">
        <f t="shared" si="54"/>
        <v>209</v>
      </c>
      <c r="B214" s="17">
        <v>46058</v>
      </c>
      <c r="C214" s="39">
        <f t="shared" si="66"/>
        <v>2026</v>
      </c>
      <c r="D214" s="18" t="s">
        <v>31</v>
      </c>
      <c r="E214" s="22" t="s">
        <v>70</v>
      </c>
      <c r="F214" s="37" t="s">
        <v>92</v>
      </c>
      <c r="G214" s="22" t="s">
        <v>77</v>
      </c>
      <c r="H214" s="22" t="s">
        <v>41</v>
      </c>
      <c r="I214" s="21">
        <v>-81.400000000000006</v>
      </c>
      <c r="J214" s="19">
        <f t="shared" si="64"/>
        <v>4471.5899999998983</v>
      </c>
    </row>
    <row r="215" spans="1:10" x14ac:dyDescent="0.2">
      <c r="A215" s="16">
        <f t="shared" si="54"/>
        <v>210</v>
      </c>
      <c r="B215" s="17">
        <v>46063</v>
      </c>
      <c r="C215" s="4">
        <f>IF(B215="","",YEAR(B215))</f>
        <v>2026</v>
      </c>
      <c r="D215" s="18" t="s">
        <v>101</v>
      </c>
      <c r="E215" s="22" t="s">
        <v>70</v>
      </c>
      <c r="F215" t="s">
        <v>91</v>
      </c>
      <c r="G215" s="22" t="s">
        <v>118</v>
      </c>
      <c r="H215" s="22" t="s">
        <v>126</v>
      </c>
      <c r="I215" s="21">
        <v>-377</v>
      </c>
      <c r="J215" s="19">
        <f t="shared" si="64"/>
        <v>4094.5899999998983</v>
      </c>
    </row>
    <row r="216" spans="1:10" x14ac:dyDescent="0.2">
      <c r="A216" s="16">
        <f t="shared" si="54"/>
        <v>211</v>
      </c>
      <c r="B216" s="17">
        <v>46086</v>
      </c>
      <c r="C216" s="4">
        <f t="shared" ref="C216:C218" si="67">IF(B216="","",YEAR(B216))</f>
        <v>2026</v>
      </c>
      <c r="D216" s="18" t="s">
        <v>101</v>
      </c>
      <c r="E216" s="22" t="s">
        <v>70</v>
      </c>
      <c r="F216" t="s">
        <v>91</v>
      </c>
      <c r="G216" s="22" t="s">
        <v>118</v>
      </c>
      <c r="H216" s="22" t="s">
        <v>124</v>
      </c>
      <c r="I216" s="21">
        <v>-377</v>
      </c>
      <c r="J216" s="19">
        <f t="shared" ref="J216:J220" si="68">IF(I216="",".",J215+I216)</f>
        <v>3717.5899999998983</v>
      </c>
    </row>
    <row r="217" spans="1:10" x14ac:dyDescent="0.2">
      <c r="A217" s="16">
        <f t="shared" si="54"/>
        <v>212</v>
      </c>
      <c r="B217" s="17">
        <v>46086</v>
      </c>
      <c r="C217" s="4">
        <f t="shared" si="67"/>
        <v>2026</v>
      </c>
      <c r="D217" s="18" t="s">
        <v>101</v>
      </c>
      <c r="E217" s="22" t="s">
        <v>70</v>
      </c>
      <c r="F217" t="s">
        <v>91</v>
      </c>
      <c r="G217" s="22" t="s">
        <v>118</v>
      </c>
      <c r="H217" s="22" t="s">
        <v>124</v>
      </c>
      <c r="I217" s="21">
        <v>-1621</v>
      </c>
      <c r="J217" s="19">
        <f t="shared" si="68"/>
        <v>2096.5899999998983</v>
      </c>
    </row>
    <row r="218" spans="1:10" x14ac:dyDescent="0.2">
      <c r="A218" s="16">
        <f t="shared" si="54"/>
        <v>213</v>
      </c>
      <c r="B218" s="17">
        <v>46086</v>
      </c>
      <c r="C218" s="39">
        <f t="shared" si="67"/>
        <v>2026</v>
      </c>
      <c r="D218" s="18" t="s">
        <v>31</v>
      </c>
      <c r="E218" s="22" t="s">
        <v>70</v>
      </c>
      <c r="F218" s="37" t="s">
        <v>92</v>
      </c>
      <c r="G218" s="22" t="s">
        <v>77</v>
      </c>
      <c r="H218" s="22" t="s">
        <v>41</v>
      </c>
      <c r="I218" s="21">
        <v>-81.400000000000006</v>
      </c>
      <c r="J218" s="19">
        <f t="shared" si="68"/>
        <v>2015.1899999998982</v>
      </c>
    </row>
    <row r="219" spans="1:10" x14ac:dyDescent="0.2">
      <c r="A219" s="16">
        <f t="shared" si="54"/>
        <v>214</v>
      </c>
      <c r="B219" s="17">
        <v>46091</v>
      </c>
      <c r="C219" s="4">
        <f>IF(B219="","",YEAR(B219))</f>
        <v>2026</v>
      </c>
      <c r="D219" s="18" t="s">
        <v>101</v>
      </c>
      <c r="E219" s="22" t="s">
        <v>70</v>
      </c>
      <c r="F219" t="s">
        <v>91</v>
      </c>
      <c r="G219" s="22" t="s">
        <v>118</v>
      </c>
      <c r="H219" s="22" t="s">
        <v>126</v>
      </c>
      <c r="I219" s="21">
        <v>-377</v>
      </c>
      <c r="J219" s="19">
        <f t="shared" si="68"/>
        <v>1638.1899999998982</v>
      </c>
    </row>
    <row r="220" spans="1:10" x14ac:dyDescent="0.2">
      <c r="A220" s="16">
        <f t="shared" si="54"/>
        <v>215</v>
      </c>
      <c r="B220" s="17">
        <v>46091</v>
      </c>
      <c r="C220" s="4">
        <f t="shared" ref="C220:C222" si="69">IF(B220="","",YEAR(B220))</f>
        <v>2026</v>
      </c>
      <c r="D220" s="18" t="s">
        <v>89</v>
      </c>
      <c r="E220" s="22" t="s">
        <v>70</v>
      </c>
      <c r="F220" t="s">
        <v>79</v>
      </c>
      <c r="G220" s="22" t="s">
        <v>146</v>
      </c>
      <c r="H220" s="22" t="s">
        <v>52</v>
      </c>
      <c r="I220" s="21">
        <v>-398.75</v>
      </c>
      <c r="J220" s="19">
        <f t="shared" si="68"/>
        <v>1239.4399999998982</v>
      </c>
    </row>
    <row r="221" spans="1:10" x14ac:dyDescent="0.2">
      <c r="A221" s="16">
        <f t="shared" si="54"/>
        <v>216</v>
      </c>
      <c r="B221" s="17">
        <v>46114</v>
      </c>
      <c r="C221" s="4">
        <f t="shared" si="69"/>
        <v>2026</v>
      </c>
      <c r="D221" s="18" t="s">
        <v>101</v>
      </c>
      <c r="E221" s="22" t="s">
        <v>70</v>
      </c>
      <c r="F221" t="s">
        <v>91</v>
      </c>
      <c r="G221" s="22" t="s">
        <v>118</v>
      </c>
      <c r="H221" s="22" t="s">
        <v>124</v>
      </c>
      <c r="I221" s="21">
        <v>-377</v>
      </c>
      <c r="J221" s="19">
        <f t="shared" ref="J221:J224" si="70">IF(I221="",".",J220+I221)</f>
        <v>862.43999999989819</v>
      </c>
    </row>
    <row r="222" spans="1:10" x14ac:dyDescent="0.2">
      <c r="A222" s="16">
        <f t="shared" si="54"/>
        <v>217</v>
      </c>
      <c r="B222" s="17">
        <v>46114</v>
      </c>
      <c r="C222" s="4">
        <f t="shared" si="69"/>
        <v>2026</v>
      </c>
      <c r="D222" s="18" t="s">
        <v>101</v>
      </c>
      <c r="E222" s="22" t="s">
        <v>70</v>
      </c>
      <c r="F222" t="s">
        <v>91</v>
      </c>
      <c r="G222" s="22" t="s">
        <v>118</v>
      </c>
      <c r="H222" s="22" t="s">
        <v>124</v>
      </c>
      <c r="I222" s="21">
        <v>-1621</v>
      </c>
      <c r="J222" s="19">
        <f t="shared" si="70"/>
        <v>-758.56000000010181</v>
      </c>
    </row>
    <row r="223" spans="1:10" x14ac:dyDescent="0.2">
      <c r="A223" s="16">
        <f t="shared" si="54"/>
        <v>218</v>
      </c>
      <c r="B223" s="17">
        <v>46114</v>
      </c>
      <c r="C223" s="4">
        <f>IF(B223="","",YEAR(B223))</f>
        <v>2026</v>
      </c>
      <c r="D223" s="18" t="s">
        <v>34</v>
      </c>
      <c r="E223" s="18"/>
      <c r="F223" t="s">
        <v>38</v>
      </c>
      <c r="G223" s="22" t="s">
        <v>34</v>
      </c>
      <c r="H223" s="22" t="s">
        <v>41</v>
      </c>
      <c r="I223" s="21">
        <v>758.56</v>
      </c>
      <c r="J223" s="19">
        <f t="shared" si="70"/>
        <v>-1.0186340659856796E-10</v>
      </c>
    </row>
    <row r="224" spans="1:10" x14ac:dyDescent="0.2">
      <c r="A224" s="16">
        <f t="shared" si="54"/>
        <v>219</v>
      </c>
      <c r="B224" s="17">
        <v>46118</v>
      </c>
      <c r="C224" s="39">
        <f t="shared" ref="C224" si="71">IF(B224="","",YEAR(B224))</f>
        <v>2026</v>
      </c>
      <c r="D224" s="18" t="s">
        <v>31</v>
      </c>
      <c r="E224" s="22" t="s">
        <v>70</v>
      </c>
      <c r="F224" s="37" t="s">
        <v>92</v>
      </c>
      <c r="G224" s="22" t="s">
        <v>77</v>
      </c>
      <c r="H224" s="22" t="s">
        <v>41</v>
      </c>
      <c r="I224" s="21">
        <v>-81.400000000000006</v>
      </c>
      <c r="J224" s="19">
        <f t="shared" si="70"/>
        <v>-81.400000000101869</v>
      </c>
    </row>
    <row r="225" spans="1:10" x14ac:dyDescent="0.2">
      <c r="A225" s="16">
        <f t="shared" si="54"/>
        <v>220</v>
      </c>
      <c r="B225" s="17">
        <v>46118</v>
      </c>
      <c r="C225" s="4">
        <f>IF(B225="","",YEAR(B225))</f>
        <v>2026</v>
      </c>
      <c r="D225" s="18" t="s">
        <v>34</v>
      </c>
      <c r="E225" s="18"/>
      <c r="F225" t="s">
        <v>38</v>
      </c>
      <c r="G225" s="22" t="s">
        <v>34</v>
      </c>
      <c r="H225" s="22" t="s">
        <v>41</v>
      </c>
      <c r="I225" s="21">
        <v>81.400000000000006</v>
      </c>
      <c r="J225" s="19">
        <f t="shared" ref="J225:J226" si="72">IF(I225="",".",J224+I225)</f>
        <v>-1.0186340659856796E-10</v>
      </c>
    </row>
    <row r="226" spans="1:10" x14ac:dyDescent="0.2">
      <c r="A226" s="16">
        <f t="shared" si="54"/>
        <v>221</v>
      </c>
      <c r="B226" s="17">
        <v>46122</v>
      </c>
      <c r="C226" s="4">
        <f>IF(B226="","",YEAR(B226))</f>
        <v>2026</v>
      </c>
      <c r="D226" s="18" t="s">
        <v>101</v>
      </c>
      <c r="E226" s="22" t="s">
        <v>70</v>
      </c>
      <c r="F226" t="s">
        <v>91</v>
      </c>
      <c r="G226" s="22" t="s">
        <v>118</v>
      </c>
      <c r="H226" s="22" t="s">
        <v>126</v>
      </c>
      <c r="I226" s="21">
        <v>-377</v>
      </c>
      <c r="J226" s="19">
        <f t="shared" si="72"/>
        <v>-377.00000000010186</v>
      </c>
    </row>
    <row r="227" spans="1:10" x14ac:dyDescent="0.2">
      <c r="A227" s="16">
        <f t="shared" si="54"/>
        <v>222</v>
      </c>
      <c r="B227" s="17">
        <v>46122</v>
      </c>
      <c r="C227" s="4">
        <f>IF(B227="","",YEAR(B227))</f>
        <v>2026</v>
      </c>
      <c r="D227" s="18" t="s">
        <v>34</v>
      </c>
      <c r="E227" s="18"/>
      <c r="F227" t="s">
        <v>38</v>
      </c>
      <c r="G227" s="22" t="s">
        <v>34</v>
      </c>
      <c r="H227" s="22" t="s">
        <v>41</v>
      </c>
      <c r="I227" s="21">
        <v>377</v>
      </c>
      <c r="J227" s="19">
        <f t="shared" ref="J227:J231" si="73">IF(I227="",".",J226+I227)</f>
        <v>-1.0186340659856796E-10</v>
      </c>
    </row>
    <row r="228" spans="1:10" x14ac:dyDescent="0.2">
      <c r="A228" s="16">
        <f t="shared" si="54"/>
        <v>223</v>
      </c>
      <c r="B228" s="17">
        <v>46147</v>
      </c>
      <c r="C228" s="4">
        <f t="shared" ref="C228:C229" si="74">IF(B228="","",YEAR(B228))</f>
        <v>2026</v>
      </c>
      <c r="D228" s="18" t="s">
        <v>101</v>
      </c>
      <c r="E228" s="22" t="s">
        <v>70</v>
      </c>
      <c r="F228" t="s">
        <v>91</v>
      </c>
      <c r="G228" s="22" t="s">
        <v>118</v>
      </c>
      <c r="H228" s="22" t="s">
        <v>124</v>
      </c>
      <c r="I228" s="21">
        <v>-377</v>
      </c>
      <c r="J228" s="19">
        <f t="shared" si="73"/>
        <v>-377.00000000010186</v>
      </c>
    </row>
    <row r="229" spans="1:10" x14ac:dyDescent="0.2">
      <c r="A229" s="16">
        <f t="shared" si="54"/>
        <v>224</v>
      </c>
      <c r="B229" s="17">
        <v>46147</v>
      </c>
      <c r="C229" s="4">
        <f t="shared" si="74"/>
        <v>2026</v>
      </c>
      <c r="D229" s="18" t="s">
        <v>101</v>
      </c>
      <c r="E229" s="22" t="s">
        <v>70</v>
      </c>
      <c r="F229" t="s">
        <v>91</v>
      </c>
      <c r="G229" s="22" t="s">
        <v>118</v>
      </c>
      <c r="H229" s="22" t="s">
        <v>124</v>
      </c>
      <c r="I229" s="21">
        <v>-1621</v>
      </c>
      <c r="J229" s="19">
        <f t="shared" si="73"/>
        <v>-1998.0000000001019</v>
      </c>
    </row>
    <row r="230" spans="1:10" x14ac:dyDescent="0.2">
      <c r="A230" s="16">
        <f t="shared" si="54"/>
        <v>225</v>
      </c>
      <c r="B230" s="17">
        <v>46147</v>
      </c>
      <c r="C230" s="4">
        <f>IF(B230="","",YEAR(B230))</f>
        <v>2026</v>
      </c>
      <c r="D230" s="18" t="s">
        <v>34</v>
      </c>
      <c r="E230" s="18"/>
      <c r="F230" t="s">
        <v>38</v>
      </c>
      <c r="G230" s="22" t="s">
        <v>34</v>
      </c>
      <c r="H230" s="22" t="s">
        <v>41</v>
      </c>
      <c r="I230" s="21">
        <v>1998</v>
      </c>
      <c r="J230" s="19">
        <f t="shared" si="73"/>
        <v>-1.0186340659856796E-10</v>
      </c>
    </row>
    <row r="231" spans="1:10" x14ac:dyDescent="0.2">
      <c r="A231" s="16">
        <f t="shared" si="54"/>
        <v>226</v>
      </c>
      <c r="B231" s="17">
        <v>46148</v>
      </c>
      <c r="C231" s="39">
        <f t="shared" ref="C231" si="75">IF(B231="","",YEAR(B231))</f>
        <v>2026</v>
      </c>
      <c r="D231" s="18" t="s">
        <v>31</v>
      </c>
      <c r="E231" s="22" t="s">
        <v>70</v>
      </c>
      <c r="F231" s="37" t="s">
        <v>92</v>
      </c>
      <c r="G231" s="22" t="s">
        <v>77</v>
      </c>
      <c r="H231" s="22" t="s">
        <v>41</v>
      </c>
      <c r="I231" s="21">
        <v>-93.1</v>
      </c>
      <c r="J231" s="19">
        <f t="shared" si="73"/>
        <v>-93.100000000101858</v>
      </c>
    </row>
    <row r="232" spans="1:10" x14ac:dyDescent="0.2">
      <c r="A232" s="16">
        <f t="shared" si="54"/>
        <v>227</v>
      </c>
      <c r="B232" s="17">
        <v>46148</v>
      </c>
      <c r="C232" s="4">
        <f>IF(B232="","",YEAR(B232))</f>
        <v>2026</v>
      </c>
      <c r="D232" s="18" t="s">
        <v>34</v>
      </c>
      <c r="E232" s="18"/>
      <c r="F232" t="s">
        <v>38</v>
      </c>
      <c r="G232" s="22" t="s">
        <v>34</v>
      </c>
      <c r="H232" s="22" t="s">
        <v>41</v>
      </c>
      <c r="I232" s="21">
        <v>93.1</v>
      </c>
      <c r="J232" s="19">
        <f t="shared" ref="J232:J238" si="76">IF(I232="",".",J231+I232)</f>
        <v>-1.0186340659856796E-10</v>
      </c>
    </row>
    <row r="233" spans="1:10" x14ac:dyDescent="0.2">
      <c r="A233" s="16">
        <f t="shared" si="54"/>
        <v>228</v>
      </c>
      <c r="B233" s="17">
        <v>46153</v>
      </c>
      <c r="C233" s="4">
        <f>IF(B233="","",YEAR(B233))</f>
        <v>2026</v>
      </c>
      <c r="D233" s="18" t="s">
        <v>101</v>
      </c>
      <c r="E233" s="22" t="s">
        <v>70</v>
      </c>
      <c r="F233" t="s">
        <v>91</v>
      </c>
      <c r="G233" s="22" t="s">
        <v>118</v>
      </c>
      <c r="H233" s="22" t="s">
        <v>126</v>
      </c>
      <c r="I233" s="21">
        <v>-377</v>
      </c>
      <c r="J233" s="19">
        <f t="shared" si="76"/>
        <v>-377.00000000010186</v>
      </c>
    </row>
    <row r="234" spans="1:10" x14ac:dyDescent="0.2">
      <c r="A234" s="16">
        <f t="shared" si="54"/>
        <v>229</v>
      </c>
      <c r="B234" s="17">
        <v>46153</v>
      </c>
      <c r="C234" s="4">
        <f>IF(B234="","",YEAR(B234))</f>
        <v>2026</v>
      </c>
      <c r="D234" s="18" t="s">
        <v>34</v>
      </c>
      <c r="E234" s="18"/>
      <c r="F234" t="s">
        <v>38</v>
      </c>
      <c r="G234" s="22" t="s">
        <v>34</v>
      </c>
      <c r="H234" s="22" t="s">
        <v>41</v>
      </c>
      <c r="I234" s="21">
        <v>377</v>
      </c>
      <c r="J234" s="19">
        <f t="shared" si="76"/>
        <v>-1.0186340659856796E-10</v>
      </c>
    </row>
    <row r="235" spans="1:10" x14ac:dyDescent="0.2">
      <c r="A235" s="16">
        <f t="shared" si="54"/>
        <v>230</v>
      </c>
      <c r="B235" s="17">
        <v>46178</v>
      </c>
      <c r="C235" s="4">
        <f t="shared" ref="C235:C237" si="77">IF(B235="","",YEAR(B235))</f>
        <v>2026</v>
      </c>
      <c r="D235" s="18" t="s">
        <v>101</v>
      </c>
      <c r="E235" s="22" t="s">
        <v>70</v>
      </c>
      <c r="F235" t="s">
        <v>91</v>
      </c>
      <c r="G235" s="22" t="s">
        <v>118</v>
      </c>
      <c r="H235" s="22" t="s">
        <v>124</v>
      </c>
      <c r="I235" s="21">
        <v>-377</v>
      </c>
      <c r="J235" s="19">
        <f t="shared" si="76"/>
        <v>-377.00000000010186</v>
      </c>
    </row>
    <row r="236" spans="1:10" x14ac:dyDescent="0.2">
      <c r="A236" s="16">
        <f t="shared" si="54"/>
        <v>231</v>
      </c>
      <c r="B236" s="17">
        <v>46178</v>
      </c>
      <c r="C236" s="4">
        <f t="shared" si="77"/>
        <v>2026</v>
      </c>
      <c r="D236" s="18" t="s">
        <v>101</v>
      </c>
      <c r="E236" s="22" t="s">
        <v>70</v>
      </c>
      <c r="F236" t="s">
        <v>91</v>
      </c>
      <c r="G236" s="22" t="s">
        <v>118</v>
      </c>
      <c r="H236" s="22" t="s">
        <v>124</v>
      </c>
      <c r="I236" s="21">
        <v>-1621</v>
      </c>
      <c r="J236" s="19">
        <f t="shared" si="76"/>
        <v>-1998.0000000001019</v>
      </c>
    </row>
    <row r="237" spans="1:10" x14ac:dyDescent="0.2">
      <c r="A237" s="16">
        <f t="shared" si="54"/>
        <v>232</v>
      </c>
      <c r="B237" s="17">
        <v>46178</v>
      </c>
      <c r="C237" s="39">
        <f t="shared" si="77"/>
        <v>2026</v>
      </c>
      <c r="D237" s="18" t="s">
        <v>31</v>
      </c>
      <c r="E237" s="22" t="s">
        <v>70</v>
      </c>
      <c r="F237" s="37" t="s">
        <v>92</v>
      </c>
      <c r="G237" s="22" t="s">
        <v>77</v>
      </c>
      <c r="H237" s="22" t="s">
        <v>41</v>
      </c>
      <c r="I237" s="21">
        <v>-93.1</v>
      </c>
      <c r="J237" s="19">
        <f t="shared" si="76"/>
        <v>-2091.1000000001018</v>
      </c>
    </row>
    <row r="238" spans="1:10" x14ac:dyDescent="0.2">
      <c r="A238" s="16">
        <f t="shared" si="54"/>
        <v>233</v>
      </c>
      <c r="B238" s="17">
        <v>46178</v>
      </c>
      <c r="C238" s="4">
        <f>IF(B238="","",YEAR(B238))</f>
        <v>2026</v>
      </c>
      <c r="D238" s="18" t="s">
        <v>34</v>
      </c>
      <c r="E238" s="18"/>
      <c r="F238" t="s">
        <v>38</v>
      </c>
      <c r="G238" s="22" t="s">
        <v>34</v>
      </c>
      <c r="H238" s="22" t="s">
        <v>41</v>
      </c>
      <c r="I238" s="21">
        <v>2091.1</v>
      </c>
      <c r="J238" s="19">
        <f t="shared" si="76"/>
        <v>-1.0186340659856796E-10</v>
      </c>
    </row>
    <row r="239" spans="1:10" x14ac:dyDescent="0.2">
      <c r="A239" s="16">
        <f t="shared" si="54"/>
        <v>234</v>
      </c>
      <c r="B239" s="17">
        <v>46183</v>
      </c>
      <c r="C239" s="4">
        <f>IF(B239="","",YEAR(B239))</f>
        <v>2026</v>
      </c>
      <c r="D239" s="18" t="s">
        <v>101</v>
      </c>
      <c r="E239" s="22" t="s">
        <v>70</v>
      </c>
      <c r="F239" t="s">
        <v>91</v>
      </c>
      <c r="G239" s="22" t="s">
        <v>118</v>
      </c>
      <c r="H239" s="22" t="s">
        <v>126</v>
      </c>
      <c r="I239" s="21">
        <v>-377</v>
      </c>
      <c r="J239" s="19">
        <f t="shared" ref="J239:J246" si="78">IF(I239="",".",J238+I239)</f>
        <v>-377.00000000010186</v>
      </c>
    </row>
    <row r="240" spans="1:10" x14ac:dyDescent="0.2">
      <c r="A240" s="16">
        <f t="shared" si="54"/>
        <v>235</v>
      </c>
      <c r="B240" s="17">
        <v>46183</v>
      </c>
      <c r="C240" s="4">
        <f>IF(B240="","",YEAR(B240))</f>
        <v>2026</v>
      </c>
      <c r="D240" s="18" t="s">
        <v>34</v>
      </c>
      <c r="E240" s="18"/>
      <c r="F240" t="s">
        <v>38</v>
      </c>
      <c r="G240" s="22" t="s">
        <v>34</v>
      </c>
      <c r="H240" s="22" t="s">
        <v>41</v>
      </c>
      <c r="I240" s="21">
        <v>377</v>
      </c>
      <c r="J240" s="19">
        <f t="shared" si="78"/>
        <v>-1.0186340659856796E-10</v>
      </c>
    </row>
    <row r="241" spans="1:10" x14ac:dyDescent="0.2">
      <c r="A241" s="16">
        <f t="shared" si="54"/>
        <v>236</v>
      </c>
      <c r="B241" s="17">
        <v>46190</v>
      </c>
      <c r="C241" s="4">
        <f t="shared" ref="C241" si="79">IF(B241="","",YEAR(B241))</f>
        <v>2026</v>
      </c>
      <c r="D241" s="18" t="s">
        <v>73</v>
      </c>
      <c r="E241" s="22" t="s">
        <v>70</v>
      </c>
      <c r="F241" t="s">
        <v>91</v>
      </c>
      <c r="G241" s="22" t="s">
        <v>47</v>
      </c>
      <c r="H241" s="22" t="s">
        <v>154</v>
      </c>
      <c r="I241" s="21">
        <v>-935.39</v>
      </c>
      <c r="J241" s="19">
        <f t="shared" si="78"/>
        <v>-935.39000000010185</v>
      </c>
    </row>
    <row r="242" spans="1:10" x14ac:dyDescent="0.2">
      <c r="A242" s="16">
        <f t="shared" si="54"/>
        <v>237</v>
      </c>
      <c r="B242" s="17">
        <v>46190</v>
      </c>
      <c r="C242" s="4">
        <f>IF(B242="","",YEAR(B242))</f>
        <v>2026</v>
      </c>
      <c r="D242" s="18" t="s">
        <v>34</v>
      </c>
      <c r="E242" s="18"/>
      <c r="F242" t="s">
        <v>38</v>
      </c>
      <c r="G242" s="22" t="s">
        <v>34</v>
      </c>
      <c r="H242" s="22" t="s">
        <v>41</v>
      </c>
      <c r="I242" s="21">
        <v>935.39</v>
      </c>
      <c r="J242" s="19">
        <f t="shared" si="78"/>
        <v>-1.0186340659856796E-10</v>
      </c>
    </row>
    <row r="243" spans="1:10" x14ac:dyDescent="0.2">
      <c r="A243" s="16">
        <f t="shared" si="54"/>
        <v>238</v>
      </c>
      <c r="B243" s="17">
        <v>46209</v>
      </c>
      <c r="C243" s="39">
        <f t="shared" ref="C243" si="80">IF(B243="","",YEAR(B243))</f>
        <v>2026</v>
      </c>
      <c r="D243" s="18" t="s">
        <v>31</v>
      </c>
      <c r="E243" s="22" t="s">
        <v>70</v>
      </c>
      <c r="F243" s="37" t="s">
        <v>92</v>
      </c>
      <c r="G243" s="22" t="s">
        <v>77</v>
      </c>
      <c r="H243" s="22" t="s">
        <v>41</v>
      </c>
      <c r="I243" s="21">
        <v>-93.1</v>
      </c>
      <c r="J243" s="19">
        <f t="shared" si="78"/>
        <v>-93.100000000101858</v>
      </c>
    </row>
    <row r="244" spans="1:10" x14ac:dyDescent="0.2">
      <c r="A244" s="16">
        <f t="shared" ref="A244" si="81">A243+1</f>
        <v>239</v>
      </c>
      <c r="B244" s="17">
        <v>46209</v>
      </c>
      <c r="C244" s="4">
        <f>IF(B244="","",YEAR(B244))</f>
        <v>2026</v>
      </c>
      <c r="D244" s="18" t="s">
        <v>34</v>
      </c>
      <c r="E244" s="18"/>
      <c r="F244" t="s">
        <v>38</v>
      </c>
      <c r="G244" s="22" t="s">
        <v>34</v>
      </c>
      <c r="H244" s="22" t="s">
        <v>41</v>
      </c>
      <c r="I244" s="21">
        <v>93.1</v>
      </c>
      <c r="J244" s="19">
        <f t="shared" si="78"/>
        <v>-1.0186340659856796E-10</v>
      </c>
    </row>
    <row r="245" spans="1:10" x14ac:dyDescent="0.2">
      <c r="A245" s="16">
        <f t="shared" si="54"/>
        <v>240</v>
      </c>
      <c r="B245" s="17">
        <v>46213</v>
      </c>
      <c r="C245" s="4">
        <f t="shared" ref="C245:C246" si="82">IF(B245="","",YEAR(B245))</f>
        <v>2026</v>
      </c>
      <c r="D245" s="18" t="s">
        <v>101</v>
      </c>
      <c r="E245" s="22" t="s">
        <v>70</v>
      </c>
      <c r="F245" t="s">
        <v>91</v>
      </c>
      <c r="G245" s="22" t="s">
        <v>118</v>
      </c>
      <c r="H245" s="22" t="s">
        <v>124</v>
      </c>
      <c r="I245" s="21">
        <v>-377</v>
      </c>
      <c r="J245" s="19">
        <f t="shared" si="78"/>
        <v>-377.00000000010186</v>
      </c>
    </row>
    <row r="246" spans="1:10" x14ac:dyDescent="0.2">
      <c r="A246" s="16">
        <f t="shared" ref="A246" si="83">A245+1</f>
        <v>241</v>
      </c>
      <c r="B246" s="17">
        <v>46213</v>
      </c>
      <c r="C246" s="4">
        <f t="shared" si="82"/>
        <v>2026</v>
      </c>
      <c r="D246" s="18" t="s">
        <v>101</v>
      </c>
      <c r="E246" s="22" t="s">
        <v>70</v>
      </c>
      <c r="F246" t="s">
        <v>91</v>
      </c>
      <c r="G246" s="22" t="s">
        <v>118</v>
      </c>
      <c r="H246" s="22" t="s">
        <v>124</v>
      </c>
      <c r="I246" s="21">
        <v>-1621</v>
      </c>
      <c r="J246" s="19">
        <f t="shared" si="78"/>
        <v>-1998.0000000001019</v>
      </c>
    </row>
    <row r="247" spans="1:10" x14ac:dyDescent="0.2">
      <c r="A247" s="16">
        <f t="shared" si="54"/>
        <v>242</v>
      </c>
      <c r="B247" s="17">
        <v>46213</v>
      </c>
      <c r="C247" s="4">
        <f>IF(B247="","",YEAR(B247))</f>
        <v>2026</v>
      </c>
      <c r="D247" s="18" t="s">
        <v>101</v>
      </c>
      <c r="E247" s="22" t="s">
        <v>70</v>
      </c>
      <c r="F247" t="s">
        <v>91</v>
      </c>
      <c r="G247" s="22" t="s">
        <v>118</v>
      </c>
      <c r="H247" s="22" t="s">
        <v>126</v>
      </c>
      <c r="I247" s="21">
        <v>-377</v>
      </c>
      <c r="J247" s="19">
        <f t="shared" ref="J247:J251" si="84">IF(I247="",".",J246+I247)</f>
        <v>-2375.0000000001019</v>
      </c>
    </row>
    <row r="248" spans="1:10" x14ac:dyDescent="0.2">
      <c r="A248" s="16">
        <f t="shared" ref="A248" si="85">A247+1</f>
        <v>243</v>
      </c>
      <c r="B248" s="17">
        <v>46213</v>
      </c>
      <c r="C248" s="4">
        <f>IF(B248="","",YEAR(B248))</f>
        <v>2026</v>
      </c>
      <c r="D248" s="18" t="s">
        <v>34</v>
      </c>
      <c r="E248" s="18"/>
      <c r="F248" t="s">
        <v>38</v>
      </c>
      <c r="G248" s="22" t="s">
        <v>34</v>
      </c>
      <c r="H248" s="22" t="s">
        <v>41</v>
      </c>
      <c r="I248" s="21">
        <v>2375</v>
      </c>
      <c r="J248" s="19">
        <f t="shared" si="84"/>
        <v>-1.0186340659856796E-10</v>
      </c>
    </row>
    <row r="249" spans="1:10" x14ac:dyDescent="0.2">
      <c r="A249" s="16">
        <f t="shared" si="54"/>
        <v>244</v>
      </c>
      <c r="B249" s="17">
        <v>46239</v>
      </c>
      <c r="C249" s="4">
        <f t="shared" ref="C249:C251" si="86">IF(B249="","",YEAR(B249))</f>
        <v>2026</v>
      </c>
      <c r="D249" s="18" t="s">
        <v>101</v>
      </c>
      <c r="E249" s="22" t="s">
        <v>70</v>
      </c>
      <c r="F249" t="s">
        <v>91</v>
      </c>
      <c r="G249" s="22" t="s">
        <v>118</v>
      </c>
      <c r="H249" s="22" t="s">
        <v>124</v>
      </c>
      <c r="I249" s="21">
        <v>-377</v>
      </c>
      <c r="J249" s="19">
        <f t="shared" si="84"/>
        <v>-377.00000000010186</v>
      </c>
    </row>
    <row r="250" spans="1:10" x14ac:dyDescent="0.2">
      <c r="A250" s="16">
        <f t="shared" ref="A250" si="87">A249+1</f>
        <v>245</v>
      </c>
      <c r="B250" s="17">
        <v>46239</v>
      </c>
      <c r="C250" s="4">
        <f t="shared" si="86"/>
        <v>2026</v>
      </c>
      <c r="D250" s="18" t="s">
        <v>101</v>
      </c>
      <c r="E250" s="22" t="s">
        <v>70</v>
      </c>
      <c r="F250" t="s">
        <v>91</v>
      </c>
      <c r="G250" s="22" t="s">
        <v>118</v>
      </c>
      <c r="H250" s="22" t="s">
        <v>124</v>
      </c>
      <c r="I250" s="21">
        <v>-1621</v>
      </c>
      <c r="J250" s="19">
        <f t="shared" si="84"/>
        <v>-1998.0000000001019</v>
      </c>
    </row>
    <row r="251" spans="1:10" x14ac:dyDescent="0.2">
      <c r="A251" s="16">
        <f t="shared" si="54"/>
        <v>246</v>
      </c>
      <c r="B251" s="17">
        <v>46239</v>
      </c>
      <c r="C251" s="39">
        <f t="shared" si="86"/>
        <v>2026</v>
      </c>
      <c r="D251" s="18" t="s">
        <v>31</v>
      </c>
      <c r="E251" s="22" t="s">
        <v>70</v>
      </c>
      <c r="F251" s="37" t="s">
        <v>92</v>
      </c>
      <c r="G251" s="22" t="s">
        <v>77</v>
      </c>
      <c r="H251" s="22" t="s">
        <v>41</v>
      </c>
      <c r="I251" s="21">
        <v>-93.1</v>
      </c>
      <c r="J251" s="19">
        <f t="shared" si="84"/>
        <v>-2091.1000000001018</v>
      </c>
    </row>
    <row r="252" spans="1:10" x14ac:dyDescent="0.2">
      <c r="A252" s="16">
        <f t="shared" ref="A252" si="88">A251+1</f>
        <v>247</v>
      </c>
      <c r="B252" s="17">
        <v>46239</v>
      </c>
      <c r="C252" s="4">
        <f>IF(B252="","",YEAR(B252))</f>
        <v>2026</v>
      </c>
      <c r="D252" s="18" t="s">
        <v>34</v>
      </c>
      <c r="E252" s="18"/>
      <c r="F252" t="s">
        <v>38</v>
      </c>
      <c r="G252" s="22" t="s">
        <v>34</v>
      </c>
      <c r="H252" s="22" t="s">
        <v>41</v>
      </c>
      <c r="I252" s="21">
        <v>2091.1</v>
      </c>
      <c r="J252" s="19">
        <f t="shared" ref="J252:J259" si="89">IF(I252="",".",J251+I252)</f>
        <v>-1.0186340659856796E-10</v>
      </c>
    </row>
    <row r="253" spans="1:10" x14ac:dyDescent="0.2">
      <c r="A253" s="16">
        <f t="shared" si="54"/>
        <v>248</v>
      </c>
      <c r="B253" s="17">
        <v>46244</v>
      </c>
      <c r="C253" s="4">
        <f>IF(B253="","",YEAR(B253))</f>
        <v>2026</v>
      </c>
      <c r="D253" s="18" t="s">
        <v>101</v>
      </c>
      <c r="E253" s="22" t="s">
        <v>70</v>
      </c>
      <c r="F253" t="s">
        <v>91</v>
      </c>
      <c r="G253" s="22" t="s">
        <v>118</v>
      </c>
      <c r="H253" s="22" t="s">
        <v>126</v>
      </c>
      <c r="I253" s="21">
        <v>-377</v>
      </c>
      <c r="J253" s="19">
        <f t="shared" si="89"/>
        <v>-377.00000000010186</v>
      </c>
    </row>
    <row r="254" spans="1:10" x14ac:dyDescent="0.2">
      <c r="A254" s="16">
        <f t="shared" ref="A254" si="90">A253+1</f>
        <v>249</v>
      </c>
      <c r="B254" s="17">
        <v>46244</v>
      </c>
      <c r="C254" s="4">
        <f>IF(B254="","",YEAR(B254))</f>
        <v>2026</v>
      </c>
      <c r="D254" s="18" t="s">
        <v>34</v>
      </c>
      <c r="E254" s="18"/>
      <c r="F254" t="s">
        <v>38</v>
      </c>
      <c r="G254" s="22" t="s">
        <v>34</v>
      </c>
      <c r="H254" s="22" t="s">
        <v>41</v>
      </c>
      <c r="I254" s="21">
        <v>377</v>
      </c>
      <c r="J254" s="19">
        <f t="shared" si="89"/>
        <v>-1.0186340659856796E-10</v>
      </c>
    </row>
    <row r="255" spans="1:10" x14ac:dyDescent="0.2">
      <c r="A255" s="16">
        <f t="shared" si="54"/>
        <v>250</v>
      </c>
      <c r="B255" s="17">
        <v>46262</v>
      </c>
      <c r="C255" s="4">
        <f t="shared" ref="C255:C258" si="91">IF(B255="","",YEAR(B255))</f>
        <v>2026</v>
      </c>
      <c r="D255" s="18" t="s">
        <v>120</v>
      </c>
      <c r="E255" s="22" t="s">
        <v>71</v>
      </c>
      <c r="F255" t="s">
        <v>48</v>
      </c>
      <c r="G255" s="22" t="s">
        <v>49</v>
      </c>
      <c r="H255" s="18" t="s">
        <v>114</v>
      </c>
      <c r="I255" s="21">
        <v>21578.02</v>
      </c>
      <c r="J255" s="19">
        <f t="shared" si="89"/>
        <v>21578.019999999899</v>
      </c>
    </row>
    <row r="256" spans="1:10" x14ac:dyDescent="0.2">
      <c r="A256" s="16">
        <f t="shared" si="54"/>
        <v>251</v>
      </c>
      <c r="B256" s="17">
        <v>46269</v>
      </c>
      <c r="C256" s="4">
        <f t="shared" si="91"/>
        <v>2026</v>
      </c>
      <c r="D256" s="18" t="s">
        <v>101</v>
      </c>
      <c r="E256" s="22" t="s">
        <v>70</v>
      </c>
      <c r="F256" t="s">
        <v>91</v>
      </c>
      <c r="G256" s="22" t="s">
        <v>118</v>
      </c>
      <c r="H256" s="22" t="s">
        <v>168</v>
      </c>
      <c r="I256" s="21">
        <v>-377</v>
      </c>
      <c r="J256" s="19">
        <f t="shared" si="89"/>
        <v>21201.019999999899</v>
      </c>
    </row>
    <row r="257" spans="1:14" x14ac:dyDescent="0.2">
      <c r="A257" s="16">
        <f t="shared" ref="A257:A260" si="92">A256+1</f>
        <v>252</v>
      </c>
      <c r="B257" s="17">
        <v>46269</v>
      </c>
      <c r="C257" s="4">
        <f t="shared" si="91"/>
        <v>2026</v>
      </c>
      <c r="D257" s="18" t="s">
        <v>101</v>
      </c>
      <c r="E257" s="22" t="s">
        <v>70</v>
      </c>
      <c r="F257" t="s">
        <v>91</v>
      </c>
      <c r="G257" s="22" t="s">
        <v>118</v>
      </c>
      <c r="H257" s="22" t="s">
        <v>168</v>
      </c>
      <c r="I257" s="21">
        <v>-1621</v>
      </c>
      <c r="J257" s="19">
        <f t="shared" si="89"/>
        <v>19580.019999999899</v>
      </c>
    </row>
    <row r="258" spans="1:14" x14ac:dyDescent="0.2">
      <c r="A258" s="16">
        <f t="shared" si="92"/>
        <v>253</v>
      </c>
      <c r="B258" s="17">
        <v>46273</v>
      </c>
      <c r="C258" s="39">
        <f t="shared" si="91"/>
        <v>2026</v>
      </c>
      <c r="D258" s="18" t="s">
        <v>31</v>
      </c>
      <c r="E258" s="22" t="s">
        <v>70</v>
      </c>
      <c r="F258" s="37" t="s">
        <v>92</v>
      </c>
      <c r="G258" s="22" t="s">
        <v>77</v>
      </c>
      <c r="H258" s="22" t="s">
        <v>41</v>
      </c>
      <c r="I258" s="21">
        <v>-93.1</v>
      </c>
      <c r="J258" s="19">
        <f t="shared" si="89"/>
        <v>19486.9199999999</v>
      </c>
    </row>
    <row r="259" spans="1:14" x14ac:dyDescent="0.2">
      <c r="A259" s="16">
        <f t="shared" si="92"/>
        <v>254</v>
      </c>
      <c r="B259" s="17">
        <v>46275</v>
      </c>
      <c r="C259" s="4">
        <f>IF(B259="","",YEAR(B259))</f>
        <v>2026</v>
      </c>
      <c r="D259" s="18" t="s">
        <v>101</v>
      </c>
      <c r="E259" s="22" t="s">
        <v>70</v>
      </c>
      <c r="F259" t="s">
        <v>91</v>
      </c>
      <c r="G259" s="22" t="s">
        <v>118</v>
      </c>
      <c r="H259" s="22" t="s">
        <v>126</v>
      </c>
      <c r="I259" s="21">
        <v>-361.31</v>
      </c>
      <c r="J259" s="19">
        <f t="shared" si="89"/>
        <v>19125.609999999899</v>
      </c>
    </row>
    <row r="260" spans="1:14" x14ac:dyDescent="0.2">
      <c r="A260" s="16">
        <f t="shared" si="92"/>
        <v>255</v>
      </c>
      <c r="B260" s="17">
        <v>46295</v>
      </c>
      <c r="C260" s="4">
        <f t="shared" ref="C260" si="93">IF(B260="","",YEAR(B260))</f>
        <v>2026</v>
      </c>
      <c r="D260" s="18" t="s">
        <v>120</v>
      </c>
      <c r="E260" s="22" t="s">
        <v>71</v>
      </c>
      <c r="F260" t="s">
        <v>48</v>
      </c>
      <c r="G260" s="22" t="s">
        <v>49</v>
      </c>
      <c r="H260" s="18" t="s">
        <v>114</v>
      </c>
      <c r="I260" s="21">
        <v>21578.02</v>
      </c>
      <c r="J260" s="19">
        <f t="shared" ref="J260" si="94">IF(I260="",".",J259+I260)</f>
        <v>40703.629999999903</v>
      </c>
    </row>
    <row r="261" spans="1:14" x14ac:dyDescent="0.2">
      <c r="A261" s="16"/>
      <c r="B261" s="17"/>
      <c r="C261" s="39"/>
      <c r="D261" s="18"/>
      <c r="E261" s="18"/>
      <c r="F261" s="37"/>
      <c r="H261" s="22"/>
      <c r="I261" s="21"/>
      <c r="J261" s="19" t="str">
        <f>IF(I261="",".",J220+I261)</f>
        <v>.</v>
      </c>
    </row>
    <row r="262" spans="1:14" x14ac:dyDescent="0.2">
      <c r="A262" s="16"/>
      <c r="I262" s="21"/>
      <c r="J262" s="19" t="str">
        <f>IF(I262="",".",J12+I262)</f>
        <v>.</v>
      </c>
    </row>
    <row r="263" spans="1:14" s="10" customFormat="1" x14ac:dyDescent="0.2">
      <c r="A263" s="23"/>
      <c r="B263" s="24"/>
      <c r="C263" s="24"/>
      <c r="D263" s="25"/>
      <c r="E263" s="25"/>
      <c r="F263" s="25"/>
      <c r="G263" s="26"/>
      <c r="H263" s="26"/>
      <c r="I263" s="27"/>
      <c r="J263" s="28">
        <f>INDEX(J6:J262,COUNTIF(J6:J262,"&lt;&gt;."))</f>
        <v>40703.629999999903</v>
      </c>
      <c r="L263" s="53">
        <f>J263/M263</f>
        <v>6898.9203389830336</v>
      </c>
      <c r="M263" s="86">
        <f>[2]CONTAS!$I$2</f>
        <v>5.9</v>
      </c>
      <c r="N263" s="18" t="s">
        <v>104</v>
      </c>
    </row>
    <row r="264" spans="1:14" x14ac:dyDescent="0.2">
      <c r="J264" s="7"/>
      <c r="L264" s="8"/>
    </row>
    <row r="266" spans="1:14" x14ac:dyDescent="0.2">
      <c r="D266" s="71"/>
    </row>
  </sheetData>
  <autoFilter ref="A5:J264" xr:uid="{00000000-0009-0000-0000-000001000000}"/>
  <mergeCells count="1">
    <mergeCell ref="L192:O192"/>
  </mergeCells>
  <pageMargins left="0.78740157499999996" right="0.78740157499999996" top="0.984251969" bottom="0.984251969" header="0.4921259845" footer="0.4921259845"/>
  <pageSetup paperSize="9" orientation="landscape" horizontalDpi="4294967293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J98"/>
  <sheetViews>
    <sheetView topLeftCell="A43" workbookViewId="0">
      <selection activeCell="D26" sqref="D26"/>
    </sheetView>
  </sheetViews>
  <sheetFormatPr defaultColWidth="11.42578125" defaultRowHeight="12.75" x14ac:dyDescent="0.2"/>
  <cols>
    <col min="1" max="1" width="30.42578125" customWidth="1"/>
    <col min="2" max="2" width="17.5703125" customWidth="1"/>
    <col min="3" max="3" width="42" customWidth="1"/>
    <col min="4" max="4" width="20" style="7" customWidth="1"/>
    <col min="5" max="9" width="16" bestFit="1" customWidth="1"/>
    <col min="10" max="10" width="21" bestFit="1" customWidth="1"/>
  </cols>
  <sheetData>
    <row r="6" spans="1:10" ht="15" x14ac:dyDescent="0.25">
      <c r="A6" s="29" t="s">
        <v>67</v>
      </c>
      <c r="B6" s="30"/>
      <c r="C6" s="30"/>
      <c r="D6" s="30" t="s">
        <v>40</v>
      </c>
      <c r="E6" s="30"/>
      <c r="F6" s="30"/>
      <c r="G6" s="30"/>
      <c r="H6" s="30"/>
      <c r="I6" s="30"/>
      <c r="J6" s="30"/>
    </row>
    <row r="7" spans="1:10" s="4" customFormat="1" ht="15" x14ac:dyDescent="0.25">
      <c r="A7" s="59" t="s">
        <v>23</v>
      </c>
      <c r="B7" s="59" t="s">
        <v>24</v>
      </c>
      <c r="C7" s="59" t="s">
        <v>15</v>
      </c>
      <c r="D7" s="59">
        <v>2021</v>
      </c>
      <c r="E7" s="59">
        <v>2022</v>
      </c>
      <c r="F7" s="59">
        <v>2023</v>
      </c>
      <c r="G7" s="59">
        <v>2024</v>
      </c>
      <c r="H7" s="59">
        <v>2025</v>
      </c>
      <c r="I7" s="59">
        <v>2026</v>
      </c>
      <c r="J7" s="59" t="s">
        <v>158</v>
      </c>
    </row>
    <row r="8" spans="1:10" ht="15" x14ac:dyDescent="0.25">
      <c r="A8" s="31" t="s">
        <v>38</v>
      </c>
      <c r="B8" s="18"/>
      <c r="C8" s="18"/>
      <c r="D8" s="48"/>
      <c r="E8" s="48"/>
      <c r="F8" s="48"/>
      <c r="G8" s="48"/>
      <c r="H8" s="48"/>
      <c r="I8" s="48"/>
      <c r="J8" s="7"/>
    </row>
    <row r="9" spans="1:10" ht="13.5" thickBot="1" x14ac:dyDescent="0.25">
      <c r="A9" s="18"/>
      <c r="B9" s="38" t="s">
        <v>33</v>
      </c>
      <c r="C9" s="18"/>
      <c r="D9" s="48"/>
      <c r="E9" s="48"/>
      <c r="F9" s="48"/>
      <c r="G9" s="48"/>
      <c r="H9" s="48"/>
      <c r="I9" s="48"/>
      <c r="J9" s="7"/>
    </row>
    <row r="10" spans="1:10" ht="13.5" thickTop="1" x14ac:dyDescent="0.2">
      <c r="A10" s="18"/>
      <c r="B10" s="18"/>
      <c r="C10" s="32" t="s">
        <v>41</v>
      </c>
      <c r="D10" s="49">
        <v>-600000</v>
      </c>
      <c r="E10" s="49">
        <v>-583210.91</v>
      </c>
      <c r="F10" s="49">
        <v>-255040.77</v>
      </c>
      <c r="G10" s="49"/>
      <c r="H10" s="49">
        <v>-597295.96</v>
      </c>
      <c r="I10" s="49"/>
      <c r="J10" s="33">
        <v>-2035547.6400000001</v>
      </c>
    </row>
    <row r="11" spans="1:10" x14ac:dyDescent="0.2">
      <c r="A11" s="18"/>
      <c r="B11" s="18"/>
      <c r="C11" s="18"/>
      <c r="D11" s="48"/>
      <c r="E11" s="48"/>
      <c r="F11" s="48"/>
      <c r="G11" s="48"/>
      <c r="H11" s="48"/>
      <c r="I11" s="48"/>
      <c r="J11" s="7"/>
    </row>
    <row r="12" spans="1:10" ht="13.5" thickBot="1" x14ac:dyDescent="0.25">
      <c r="A12" s="18"/>
      <c r="B12" s="38" t="s">
        <v>34</v>
      </c>
      <c r="C12" s="18"/>
      <c r="D12" s="48"/>
      <c r="E12" s="48"/>
      <c r="F12" s="48"/>
      <c r="G12" s="48"/>
      <c r="H12" s="48"/>
      <c r="I12" s="48"/>
      <c r="J12" s="7"/>
    </row>
    <row r="13" spans="1:10" ht="13.5" thickTop="1" x14ac:dyDescent="0.2">
      <c r="A13" s="18"/>
      <c r="B13" s="18"/>
      <c r="C13" s="32" t="s">
        <v>41</v>
      </c>
      <c r="D13" s="49">
        <v>600000</v>
      </c>
      <c r="E13" s="49">
        <v>1516.82</v>
      </c>
      <c r="F13" s="49">
        <v>2812</v>
      </c>
      <c r="G13" s="49">
        <v>23022.07</v>
      </c>
      <c r="H13" s="49">
        <v>92862.17</v>
      </c>
      <c r="I13" s="49">
        <v>12024.750000000002</v>
      </c>
      <c r="J13" s="33">
        <v>732237.80999999994</v>
      </c>
    </row>
    <row r="14" spans="1:10" ht="13.5" thickTop="1" x14ac:dyDescent="0.2">
      <c r="A14" s="18"/>
      <c r="B14" s="18"/>
      <c r="C14" s="18"/>
      <c r="D14" s="48"/>
      <c r="E14" s="48"/>
      <c r="F14" s="48"/>
      <c r="G14" s="48"/>
      <c r="H14" s="48"/>
      <c r="I14" s="48"/>
      <c r="J14" s="7"/>
    </row>
    <row r="15" spans="1:10" ht="15" x14ac:dyDescent="0.25">
      <c r="A15" s="31" t="s">
        <v>48</v>
      </c>
      <c r="B15" s="18"/>
      <c r="C15" s="18"/>
      <c r="D15" s="48"/>
      <c r="E15" s="48"/>
      <c r="F15" s="48"/>
      <c r="G15" s="48"/>
      <c r="H15" s="48"/>
      <c r="I15" s="48"/>
      <c r="J15" s="7"/>
    </row>
    <row r="16" spans="1:10" ht="13.5" thickBot="1" x14ac:dyDescent="0.25">
      <c r="A16" s="18"/>
      <c r="B16" s="38" t="s">
        <v>49</v>
      </c>
      <c r="C16" s="18"/>
      <c r="D16" s="48"/>
      <c r="E16" s="48"/>
      <c r="F16" s="48"/>
      <c r="G16" s="48"/>
      <c r="H16" s="48"/>
      <c r="I16" s="48"/>
      <c r="J16" s="7"/>
    </row>
    <row r="17" spans="1:10" ht="13.5" thickTop="1" x14ac:dyDescent="0.2">
      <c r="A17" s="18"/>
      <c r="B17" s="18"/>
      <c r="C17" s="32" t="s">
        <v>114</v>
      </c>
      <c r="D17" s="49">
        <v>600000</v>
      </c>
      <c r="E17" s="49">
        <v>255109.77</v>
      </c>
      <c r="F17" s="49"/>
      <c r="G17" s="49"/>
      <c r="H17" s="49">
        <v>617509.26</v>
      </c>
      <c r="I17" s="49">
        <v>43156.04</v>
      </c>
      <c r="J17" s="33">
        <v>1515775.07</v>
      </c>
    </row>
    <row r="18" spans="1:10" ht="13.5" thickTop="1" x14ac:dyDescent="0.2">
      <c r="A18" s="18"/>
      <c r="B18" s="18"/>
      <c r="C18" s="32" t="s">
        <v>115</v>
      </c>
      <c r="D18" s="49"/>
      <c r="E18" s="49">
        <v>583947.11</v>
      </c>
      <c r="F18" s="49"/>
      <c r="G18" s="49"/>
      <c r="H18" s="49"/>
      <c r="I18" s="49"/>
      <c r="J18" s="33">
        <v>583947.11</v>
      </c>
    </row>
    <row r="19" spans="1:10" x14ac:dyDescent="0.2">
      <c r="A19" s="18"/>
      <c r="B19" s="18"/>
      <c r="C19" s="18"/>
      <c r="D19" s="48"/>
      <c r="E19" s="48"/>
      <c r="F19" s="48"/>
      <c r="G19" s="48"/>
      <c r="H19" s="48"/>
      <c r="I19" s="48"/>
      <c r="J19" s="7"/>
    </row>
    <row r="20" spans="1:10" ht="15" x14ac:dyDescent="0.25">
      <c r="A20" s="31" t="s">
        <v>72</v>
      </c>
      <c r="B20" s="18"/>
      <c r="C20" s="18"/>
      <c r="D20" s="48"/>
      <c r="E20" s="48"/>
      <c r="F20" s="48"/>
      <c r="G20" s="48"/>
      <c r="H20" s="48"/>
      <c r="I20" s="48"/>
      <c r="J20" s="7"/>
    </row>
    <row r="21" spans="1:10" ht="13.5" thickBot="1" x14ac:dyDescent="0.25">
      <c r="A21" s="18"/>
      <c r="B21" s="38" t="s">
        <v>39</v>
      </c>
      <c r="C21" s="18"/>
      <c r="D21" s="48"/>
      <c r="E21" s="48"/>
      <c r="F21" s="48"/>
      <c r="G21" s="48"/>
      <c r="H21" s="48"/>
      <c r="I21" s="48"/>
      <c r="J21" s="7"/>
    </row>
    <row r="22" spans="1:10" ht="13.5" thickTop="1" x14ac:dyDescent="0.2">
      <c r="A22" s="18"/>
      <c r="B22" s="18"/>
      <c r="C22" s="32" t="s">
        <v>30</v>
      </c>
      <c r="D22" s="49">
        <v>-600000</v>
      </c>
      <c r="E22" s="49"/>
      <c r="F22" s="49"/>
      <c r="G22" s="49"/>
      <c r="H22" s="49"/>
      <c r="I22" s="49"/>
      <c r="J22" s="33">
        <v>-600000</v>
      </c>
    </row>
    <row r="23" spans="1:10" ht="13.5" thickBot="1" x14ac:dyDescent="0.25">
      <c r="A23" s="18"/>
      <c r="B23" s="18"/>
      <c r="C23" s="18"/>
      <c r="D23" s="48"/>
      <c r="E23" s="48"/>
      <c r="F23" s="48"/>
      <c r="G23" s="48"/>
      <c r="H23" s="48"/>
      <c r="I23" s="48"/>
      <c r="J23" s="7"/>
    </row>
    <row r="24" spans="1:10" ht="15" x14ac:dyDescent="0.25">
      <c r="A24" s="31" t="s">
        <v>92</v>
      </c>
      <c r="B24" s="18"/>
      <c r="C24" s="18"/>
      <c r="D24" s="48"/>
      <c r="E24" s="48"/>
      <c r="F24" s="48"/>
      <c r="G24" s="48"/>
      <c r="H24" s="48"/>
      <c r="I24" s="48"/>
      <c r="J24" s="7"/>
    </row>
    <row r="25" spans="1:10" ht="13.5" thickBot="1" x14ac:dyDescent="0.25">
      <c r="A25" s="18"/>
      <c r="B25" s="38" t="s">
        <v>77</v>
      </c>
      <c r="C25" s="18"/>
      <c r="D25" s="48"/>
      <c r="E25" s="48"/>
      <c r="F25" s="48"/>
      <c r="G25" s="48"/>
      <c r="H25" s="48"/>
      <c r="I25" s="48"/>
      <c r="J25" s="7"/>
    </row>
    <row r="26" spans="1:10" ht="13.5" thickTop="1" x14ac:dyDescent="0.2">
      <c r="A26" s="18"/>
      <c r="B26" s="18"/>
      <c r="C26" s="32" t="s">
        <v>41</v>
      </c>
      <c r="D26" s="49"/>
      <c r="E26" s="49">
        <v>-786</v>
      </c>
      <c r="F26" s="49">
        <v>-831</v>
      </c>
      <c r="G26" s="49">
        <v>-728.99999999999989</v>
      </c>
      <c r="H26" s="49">
        <v>-925.5999999999998</v>
      </c>
      <c r="I26" s="49">
        <v>-791.10000000000014</v>
      </c>
      <c r="J26" s="33">
        <v>-4062.7</v>
      </c>
    </row>
    <row r="27" spans="1:10" x14ac:dyDescent="0.2">
      <c r="A27" s="18"/>
      <c r="B27" s="18"/>
      <c r="C27" s="18"/>
      <c r="D27" s="48"/>
      <c r="E27" s="48"/>
      <c r="F27" s="48"/>
      <c r="G27" s="48"/>
      <c r="H27" s="48"/>
      <c r="I27" s="48"/>
      <c r="J27" s="7"/>
    </row>
    <row r="28" spans="1:10" ht="15" x14ac:dyDescent="0.25">
      <c r="A28" s="31" t="s">
        <v>79</v>
      </c>
      <c r="B28" s="18"/>
      <c r="C28" s="18"/>
      <c r="D28" s="48"/>
      <c r="E28" s="48"/>
      <c r="F28" s="48"/>
      <c r="G28" s="48"/>
      <c r="H28" s="48"/>
      <c r="I28" s="48"/>
      <c r="J28" s="7"/>
    </row>
    <row r="29" spans="1:10" ht="13.5" thickBot="1" x14ac:dyDescent="0.25">
      <c r="A29" s="18"/>
      <c r="B29" s="38" t="s">
        <v>65</v>
      </c>
      <c r="C29" s="18"/>
      <c r="D29" s="48"/>
      <c r="E29" s="48"/>
      <c r="F29" s="48"/>
      <c r="G29" s="48"/>
      <c r="H29" s="48"/>
      <c r="I29" s="48"/>
      <c r="J29" s="7"/>
    </row>
    <row r="30" spans="1:10" ht="13.5" thickTop="1" x14ac:dyDescent="0.2">
      <c r="A30" s="18"/>
      <c r="B30" s="18"/>
      <c r="C30" s="32" t="s">
        <v>52</v>
      </c>
      <c r="D30" s="49"/>
      <c r="E30" s="49">
        <v>-23.37</v>
      </c>
      <c r="F30" s="49"/>
      <c r="G30" s="49"/>
      <c r="H30" s="49"/>
      <c r="I30" s="49"/>
      <c r="J30" s="33">
        <v>-23.37</v>
      </c>
    </row>
    <row r="31" spans="1:10" x14ac:dyDescent="0.2">
      <c r="A31" s="18"/>
      <c r="B31" s="18"/>
      <c r="C31" s="18"/>
      <c r="D31" s="48"/>
      <c r="E31" s="48"/>
      <c r="F31" s="48"/>
      <c r="G31" s="48"/>
      <c r="H31" s="48"/>
      <c r="I31" s="48"/>
      <c r="J31" s="7"/>
    </row>
    <row r="32" spans="1:10" ht="13.5" thickBot="1" x14ac:dyDescent="0.25">
      <c r="A32" s="18"/>
      <c r="B32" s="38" t="s">
        <v>147</v>
      </c>
      <c r="C32" s="18"/>
      <c r="D32" s="48"/>
      <c r="E32" s="48"/>
      <c r="F32" s="48"/>
      <c r="G32" s="48"/>
      <c r="H32" s="48"/>
      <c r="I32" s="48"/>
      <c r="J32" s="7"/>
    </row>
    <row r="33" spans="1:10" ht="13.5" thickTop="1" x14ac:dyDescent="0.2">
      <c r="A33" s="18"/>
      <c r="B33" s="18"/>
      <c r="C33" s="32" t="s">
        <v>52</v>
      </c>
      <c r="D33" s="49"/>
      <c r="E33" s="49">
        <v>-72.87</v>
      </c>
      <c r="F33" s="49"/>
      <c r="G33" s="49"/>
      <c r="H33" s="49"/>
      <c r="I33" s="49"/>
      <c r="J33" s="33">
        <v>-72.87</v>
      </c>
    </row>
    <row r="34" spans="1:10" x14ac:dyDescent="0.2">
      <c r="A34" s="18"/>
      <c r="B34" s="18"/>
      <c r="C34" s="18"/>
      <c r="D34" s="48"/>
      <c r="E34" s="48"/>
      <c r="F34" s="48"/>
      <c r="G34" s="48"/>
      <c r="H34" s="48"/>
      <c r="I34" s="48"/>
      <c r="J34" s="7"/>
    </row>
    <row r="35" spans="1:10" ht="13.5" thickBot="1" x14ac:dyDescent="0.25">
      <c r="A35" s="18"/>
      <c r="B35" s="38" t="s">
        <v>148</v>
      </c>
      <c r="C35" s="18"/>
      <c r="D35" s="48"/>
      <c r="E35" s="48"/>
      <c r="F35" s="48"/>
      <c r="G35" s="48"/>
      <c r="H35" s="48"/>
      <c r="I35" s="48"/>
      <c r="J35" s="7"/>
    </row>
    <row r="36" spans="1:10" ht="13.5" thickTop="1" x14ac:dyDescent="0.2">
      <c r="A36" s="18"/>
      <c r="B36" s="18"/>
      <c r="C36" s="32" t="s">
        <v>52</v>
      </c>
      <c r="D36" s="49"/>
      <c r="E36" s="49">
        <v>-320.77999999999997</v>
      </c>
      <c r="F36" s="49"/>
      <c r="G36" s="49"/>
      <c r="H36" s="49"/>
      <c r="I36" s="49"/>
      <c r="J36" s="33">
        <v>-320.77999999999997</v>
      </c>
    </row>
    <row r="37" spans="1:10" x14ac:dyDescent="0.2">
      <c r="A37" s="18"/>
      <c r="B37" s="18"/>
      <c r="C37" s="18"/>
      <c r="D37" s="48"/>
      <c r="E37" s="48"/>
      <c r="F37" s="48"/>
      <c r="G37" s="48"/>
      <c r="H37" s="48"/>
      <c r="I37" s="48"/>
      <c r="J37" s="7"/>
    </row>
    <row r="38" spans="1:10" ht="13.5" thickBot="1" x14ac:dyDescent="0.25">
      <c r="A38" s="18"/>
      <c r="B38" s="38" t="s">
        <v>95</v>
      </c>
      <c r="C38" s="18"/>
      <c r="D38" s="48"/>
      <c r="E38" s="48"/>
      <c r="F38" s="48"/>
      <c r="G38" s="48"/>
      <c r="H38" s="48"/>
      <c r="I38" s="48"/>
      <c r="J38" s="7"/>
    </row>
    <row r="39" spans="1:10" ht="13.5" thickTop="1" x14ac:dyDescent="0.2">
      <c r="A39" s="18"/>
      <c r="B39" s="18"/>
      <c r="C39" s="32" t="s">
        <v>52</v>
      </c>
      <c r="D39" s="49"/>
      <c r="E39" s="49"/>
      <c r="F39" s="49"/>
      <c r="G39" s="49">
        <v>-408.82</v>
      </c>
      <c r="H39" s="49"/>
      <c r="I39" s="49"/>
      <c r="J39" s="33">
        <v>-408.82</v>
      </c>
    </row>
    <row r="40" spans="1:10" x14ac:dyDescent="0.2">
      <c r="A40" s="18"/>
      <c r="B40" s="18"/>
      <c r="C40" s="18"/>
      <c r="D40" s="48"/>
      <c r="E40" s="48"/>
      <c r="F40" s="48"/>
      <c r="G40" s="48"/>
      <c r="H40" s="48"/>
      <c r="I40" s="48"/>
      <c r="J40" s="7"/>
    </row>
    <row r="41" spans="1:10" ht="13.5" thickBot="1" x14ac:dyDescent="0.25">
      <c r="A41" s="18"/>
      <c r="B41" s="38" t="s">
        <v>94</v>
      </c>
      <c r="C41" s="18"/>
      <c r="D41" s="48"/>
      <c r="E41" s="48"/>
      <c r="F41" s="48"/>
      <c r="G41" s="48"/>
      <c r="H41" s="48"/>
      <c r="I41" s="48"/>
      <c r="J41" s="7"/>
    </row>
    <row r="42" spans="1:10" ht="13.5" thickTop="1" x14ac:dyDescent="0.2">
      <c r="A42" s="18"/>
      <c r="B42" s="18"/>
      <c r="C42" s="32" t="s">
        <v>52</v>
      </c>
      <c r="D42" s="49"/>
      <c r="E42" s="49"/>
      <c r="F42" s="49"/>
      <c r="G42" s="49">
        <v>-408.78</v>
      </c>
      <c r="H42" s="49"/>
      <c r="I42" s="49"/>
      <c r="J42" s="33">
        <v>-408.78</v>
      </c>
    </row>
    <row r="43" spans="1:10" x14ac:dyDescent="0.2">
      <c r="A43" s="18"/>
      <c r="B43" s="18"/>
      <c r="C43" s="18"/>
      <c r="D43" s="48"/>
      <c r="E43" s="48"/>
      <c r="F43" s="48"/>
      <c r="G43" s="48"/>
      <c r="H43" s="48"/>
      <c r="I43" s="48"/>
      <c r="J43" s="7"/>
    </row>
    <row r="44" spans="1:10" ht="13.5" thickBot="1" x14ac:dyDescent="0.25">
      <c r="A44" s="18"/>
      <c r="B44" s="38" t="s">
        <v>145</v>
      </c>
      <c r="C44" s="18"/>
      <c r="D44" s="48"/>
      <c r="E44" s="48"/>
      <c r="F44" s="48"/>
      <c r="G44" s="48"/>
      <c r="H44" s="48"/>
      <c r="I44" s="48"/>
      <c r="J44" s="7"/>
    </row>
    <row r="45" spans="1:10" ht="13.5" thickTop="1" x14ac:dyDescent="0.2">
      <c r="A45" s="18"/>
      <c r="B45" s="18"/>
      <c r="C45" s="32" t="s">
        <v>52</v>
      </c>
      <c r="D45" s="49"/>
      <c r="E45" s="49"/>
      <c r="F45" s="49"/>
      <c r="G45" s="49"/>
      <c r="H45" s="49">
        <v>-378.61</v>
      </c>
      <c r="I45" s="49"/>
      <c r="J45" s="33">
        <v>-378.61</v>
      </c>
    </row>
    <row r="46" spans="1:10" x14ac:dyDescent="0.2">
      <c r="A46" s="18"/>
      <c r="B46" s="18"/>
      <c r="C46" s="18"/>
      <c r="D46" s="48"/>
      <c r="E46" s="48"/>
      <c r="F46" s="48"/>
      <c r="G46" s="48"/>
      <c r="H46" s="48"/>
      <c r="I46" s="48"/>
      <c r="J46" s="7"/>
    </row>
    <row r="47" spans="1:10" ht="13.5" thickBot="1" x14ac:dyDescent="0.25">
      <c r="A47" s="18"/>
      <c r="B47" s="38" t="s">
        <v>146</v>
      </c>
      <c r="C47" s="18"/>
      <c r="D47" s="48"/>
      <c r="E47" s="48"/>
      <c r="F47" s="48"/>
      <c r="G47" s="48"/>
      <c r="H47" s="48"/>
      <c r="I47" s="48"/>
      <c r="J47" s="7"/>
    </row>
    <row r="48" spans="1:10" ht="13.5" thickTop="1" x14ac:dyDescent="0.2">
      <c r="A48" s="18"/>
      <c r="B48" s="18"/>
      <c r="C48" s="32" t="s">
        <v>52</v>
      </c>
      <c r="D48" s="49"/>
      <c r="E48" s="49"/>
      <c r="F48" s="49"/>
      <c r="G48" s="49"/>
      <c r="H48" s="49"/>
      <c r="I48" s="49">
        <v>-398.75</v>
      </c>
      <c r="J48" s="33">
        <v>-398.75</v>
      </c>
    </row>
    <row r="49" spans="1:10" ht="13.5" thickTop="1" x14ac:dyDescent="0.2">
      <c r="A49" s="18"/>
      <c r="B49" s="18"/>
      <c r="C49" s="18"/>
      <c r="D49" s="48"/>
      <c r="E49" s="48"/>
      <c r="F49" s="48"/>
      <c r="G49" s="48"/>
      <c r="H49" s="48"/>
      <c r="I49" s="48"/>
      <c r="J49" s="7"/>
    </row>
    <row r="50" spans="1:10" ht="15" x14ac:dyDescent="0.25">
      <c r="A50" s="31" t="s">
        <v>91</v>
      </c>
      <c r="B50" s="18"/>
      <c r="C50" s="18"/>
      <c r="D50" s="48"/>
      <c r="E50" s="48"/>
      <c r="F50" s="48"/>
      <c r="G50" s="48"/>
      <c r="H50" s="48"/>
      <c r="I50" s="48"/>
      <c r="J50" s="7"/>
    </row>
    <row r="51" spans="1:10" ht="13.5" thickBot="1" x14ac:dyDescent="0.25">
      <c r="A51" s="18"/>
      <c r="B51" s="38" t="s">
        <v>47</v>
      </c>
      <c r="C51" s="18"/>
      <c r="D51" s="48"/>
      <c r="E51" s="48"/>
      <c r="F51" s="48"/>
      <c r="G51" s="48"/>
      <c r="H51" s="48"/>
      <c r="I51" s="48"/>
      <c r="J51" s="7"/>
    </row>
    <row r="52" spans="1:10" ht="13.5" thickTop="1" x14ac:dyDescent="0.2">
      <c r="A52" s="18"/>
      <c r="B52" s="18"/>
      <c r="C52" s="32" t="s">
        <v>46</v>
      </c>
      <c r="D52" s="49"/>
      <c r="E52" s="49">
        <v>-1050</v>
      </c>
      <c r="F52" s="49"/>
      <c r="G52" s="49"/>
      <c r="H52" s="49"/>
      <c r="I52" s="49"/>
      <c r="J52" s="33">
        <v>-1050</v>
      </c>
    </row>
    <row r="53" spans="1:10" ht="13.5" thickTop="1" x14ac:dyDescent="0.2">
      <c r="A53" s="18"/>
      <c r="B53" s="18"/>
      <c r="C53" s="32" t="s">
        <v>75</v>
      </c>
      <c r="D53" s="49"/>
      <c r="E53" s="49"/>
      <c r="F53" s="49">
        <v>-850</v>
      </c>
      <c r="G53" s="49">
        <v>-850</v>
      </c>
      <c r="H53" s="49">
        <v>-898.2</v>
      </c>
      <c r="I53" s="49"/>
      <c r="J53" s="33">
        <v>-2598.1999999999998</v>
      </c>
    </row>
    <row r="54" spans="1:10" ht="13.5" thickTop="1" x14ac:dyDescent="0.2">
      <c r="A54" s="18"/>
      <c r="B54" s="18"/>
      <c r="C54" s="32" t="s">
        <v>82</v>
      </c>
      <c r="D54" s="49"/>
      <c r="E54" s="49"/>
      <c r="F54" s="49">
        <v>-1200</v>
      </c>
      <c r="G54" s="49"/>
      <c r="H54" s="49"/>
      <c r="I54" s="49"/>
      <c r="J54" s="33">
        <v>-1200</v>
      </c>
    </row>
    <row r="55" spans="1:10" x14ac:dyDescent="0.2">
      <c r="A55" s="18"/>
      <c r="B55" s="18"/>
      <c r="C55" s="32" t="s">
        <v>87</v>
      </c>
      <c r="D55" s="49"/>
      <c r="E55" s="49"/>
      <c r="F55" s="49"/>
      <c r="G55" s="49">
        <v>-1049.08</v>
      </c>
      <c r="H55" s="49"/>
      <c r="I55" s="49"/>
      <c r="J55" s="33">
        <v>-1049.08</v>
      </c>
    </row>
    <row r="56" spans="1:10" ht="13.5" thickBot="1" x14ac:dyDescent="0.25">
      <c r="A56" s="18"/>
      <c r="B56" s="18"/>
      <c r="C56" s="32" t="s">
        <v>97</v>
      </c>
      <c r="D56" s="49"/>
      <c r="E56" s="49"/>
      <c r="F56" s="49"/>
      <c r="G56" s="49">
        <v>-421.6</v>
      </c>
      <c r="H56" s="49"/>
      <c r="I56" s="49"/>
      <c r="J56" s="33">
        <v>-421.6</v>
      </c>
    </row>
    <row r="57" spans="1:10" x14ac:dyDescent="0.2">
      <c r="A57" s="18"/>
      <c r="B57" s="18"/>
      <c r="C57" s="32" t="s">
        <v>103</v>
      </c>
      <c r="D57" s="49"/>
      <c r="E57" s="49"/>
      <c r="F57" s="49"/>
      <c r="G57" s="49">
        <v>-3700</v>
      </c>
      <c r="H57" s="49">
        <v>-4800</v>
      </c>
      <c r="I57" s="49"/>
      <c r="J57" s="33">
        <v>-8500</v>
      </c>
    </row>
    <row r="58" spans="1:10" x14ac:dyDescent="0.2">
      <c r="A58" s="18"/>
      <c r="B58" s="18"/>
      <c r="C58" s="32" t="s">
        <v>109</v>
      </c>
      <c r="D58" s="49"/>
      <c r="E58" s="49"/>
      <c r="F58" s="49"/>
      <c r="G58" s="49">
        <v>-7200</v>
      </c>
      <c r="H58" s="49"/>
      <c r="I58" s="49"/>
      <c r="J58" s="33">
        <v>-7200</v>
      </c>
    </row>
    <row r="59" spans="1:10" ht="13.5" thickBot="1" x14ac:dyDescent="0.25">
      <c r="A59" s="18"/>
      <c r="B59" s="18"/>
      <c r="C59" s="32" t="s">
        <v>113</v>
      </c>
      <c r="D59" s="49"/>
      <c r="E59" s="49"/>
      <c r="F59" s="49"/>
      <c r="G59" s="49"/>
      <c r="H59" s="49">
        <v>-88.25</v>
      </c>
      <c r="I59" s="49"/>
      <c r="J59" s="33">
        <v>-88.25</v>
      </c>
    </row>
    <row r="60" spans="1:10" x14ac:dyDescent="0.2">
      <c r="A60" s="18"/>
      <c r="B60" s="18"/>
      <c r="C60" s="32" t="s">
        <v>116</v>
      </c>
      <c r="D60" s="49"/>
      <c r="E60" s="49"/>
      <c r="F60" s="49"/>
      <c r="G60" s="49"/>
      <c r="H60" s="49">
        <v>-13337.99</v>
      </c>
      <c r="I60" s="49"/>
      <c r="J60" s="33">
        <v>-13337.99</v>
      </c>
    </row>
    <row r="61" spans="1:10" ht="13.5" thickBot="1" x14ac:dyDescent="0.25">
      <c r="A61" s="18"/>
      <c r="B61" s="18"/>
      <c r="C61" s="32" t="s">
        <v>117</v>
      </c>
      <c r="D61" s="49"/>
      <c r="E61" s="49"/>
      <c r="F61" s="49"/>
      <c r="G61" s="49">
        <v>-6764.79</v>
      </c>
      <c r="H61" s="49">
        <v>6764.79</v>
      </c>
      <c r="I61" s="49"/>
      <c r="J61" s="33">
        <v>0</v>
      </c>
    </row>
    <row r="62" spans="1:10" ht="13.5" thickTop="1" x14ac:dyDescent="0.2">
      <c r="A62" s="18"/>
      <c r="B62" s="18"/>
      <c r="C62" s="32" t="s">
        <v>122</v>
      </c>
      <c r="D62" s="49"/>
      <c r="E62" s="49"/>
      <c r="F62" s="49"/>
      <c r="G62" s="49"/>
      <c r="H62" s="49">
        <v>-4809.38</v>
      </c>
      <c r="I62" s="49"/>
      <c r="J62" s="33">
        <v>-4809.38</v>
      </c>
    </row>
    <row r="63" spans="1:10" x14ac:dyDescent="0.2">
      <c r="A63" s="18"/>
      <c r="B63" s="18"/>
      <c r="C63" s="32" t="s">
        <v>154</v>
      </c>
      <c r="D63" s="49"/>
      <c r="E63" s="49"/>
      <c r="F63" s="49"/>
      <c r="G63" s="49"/>
      <c r="H63" s="49"/>
      <c r="I63" s="49">
        <v>-935.39</v>
      </c>
      <c r="J63" s="33">
        <v>-935.39</v>
      </c>
    </row>
    <row r="64" spans="1:10" x14ac:dyDescent="0.2">
      <c r="A64" s="18"/>
      <c r="B64" s="18"/>
      <c r="C64" s="18"/>
      <c r="D64" s="48"/>
      <c r="E64" s="48"/>
      <c r="F64" s="48"/>
      <c r="G64" s="48"/>
      <c r="H64" s="48"/>
      <c r="I64" s="48"/>
      <c r="J64" s="7"/>
    </row>
    <row r="65" spans="1:10" ht="13.5" thickBot="1" x14ac:dyDescent="0.25">
      <c r="A65" s="18"/>
      <c r="B65" s="38" t="s">
        <v>118</v>
      </c>
      <c r="C65" s="18"/>
      <c r="D65" s="48"/>
      <c r="E65" s="48"/>
      <c r="F65" s="48"/>
      <c r="G65" s="48"/>
      <c r="H65" s="48"/>
      <c r="I65" s="48"/>
      <c r="J65" s="7"/>
    </row>
    <row r="66" spans="1:10" ht="13.5" thickTop="1" x14ac:dyDescent="0.2">
      <c r="A66" s="18"/>
      <c r="B66" s="18"/>
      <c r="C66" s="32" t="s">
        <v>96</v>
      </c>
      <c r="D66" s="49"/>
      <c r="E66" s="49"/>
      <c r="F66" s="49"/>
      <c r="G66" s="49">
        <v>-1137</v>
      </c>
      <c r="H66" s="49">
        <v>-9556</v>
      </c>
      <c r="I66" s="49">
        <v>-15857</v>
      </c>
      <c r="J66" s="33">
        <v>-26550</v>
      </c>
    </row>
    <row r="67" spans="1:10" ht="13.5" thickTop="1" x14ac:dyDescent="0.2">
      <c r="A67" s="18"/>
      <c r="B67" s="18"/>
      <c r="C67" s="32" t="s">
        <v>123</v>
      </c>
      <c r="D67" s="49"/>
      <c r="E67" s="49"/>
      <c r="F67" s="49"/>
      <c r="G67" s="49">
        <v>-353</v>
      </c>
      <c r="H67" s="49">
        <v>-2824</v>
      </c>
      <c r="I67" s="49"/>
      <c r="J67" s="33">
        <v>-3177</v>
      </c>
    </row>
    <row r="68" spans="1:10" x14ac:dyDescent="0.2">
      <c r="A68" s="18"/>
      <c r="B68" s="18"/>
      <c r="C68" s="32" t="s">
        <v>126</v>
      </c>
      <c r="D68" s="49"/>
      <c r="E68" s="49"/>
      <c r="F68" s="49"/>
      <c r="G68" s="49"/>
      <c r="H68" s="49">
        <v>-3883</v>
      </c>
      <c r="I68" s="49">
        <v>-3353.31</v>
      </c>
      <c r="J68" s="33">
        <v>-7236.3099999999995</v>
      </c>
    </row>
    <row r="69" spans="1:10" x14ac:dyDescent="0.2">
      <c r="A69" s="18"/>
      <c r="B69" s="18"/>
      <c r="C69" s="32" t="s">
        <v>168</v>
      </c>
      <c r="D69" s="49"/>
      <c r="E69" s="49"/>
      <c r="F69" s="49"/>
      <c r="G69" s="49"/>
      <c r="H69" s="49"/>
      <c r="I69" s="49">
        <v>-1998</v>
      </c>
      <c r="J69" s="33">
        <v>-1998</v>
      </c>
    </row>
    <row r="70" spans="1:10" x14ac:dyDescent="0.2">
      <c r="A70" s="18"/>
      <c r="B70" s="18"/>
      <c r="C70" s="18"/>
      <c r="D70" s="48"/>
      <c r="E70" s="48"/>
      <c r="F70" s="48"/>
      <c r="G70" s="48"/>
      <c r="H70" s="48"/>
      <c r="I70" s="48"/>
      <c r="J70" s="7"/>
    </row>
    <row r="71" spans="1:10" ht="13.5" thickBot="1" x14ac:dyDescent="0.25">
      <c r="A71" s="18"/>
      <c r="B71" s="38" t="s">
        <v>127</v>
      </c>
      <c r="C71" s="18"/>
      <c r="D71" s="48"/>
      <c r="E71" s="48"/>
      <c r="F71" s="48"/>
      <c r="G71" s="48"/>
      <c r="H71" s="48"/>
      <c r="I71" s="48"/>
      <c r="J71" s="7"/>
    </row>
    <row r="72" spans="1:10" ht="13.5" thickTop="1" x14ac:dyDescent="0.2">
      <c r="A72" s="18"/>
      <c r="B72" s="18"/>
      <c r="C72" s="32" t="s">
        <v>112</v>
      </c>
      <c r="D72" s="49"/>
      <c r="E72" s="49"/>
      <c r="F72" s="49"/>
      <c r="G72" s="49"/>
      <c r="H72" s="49">
        <v>-7482.84</v>
      </c>
      <c r="I72" s="49"/>
      <c r="J72" s="33">
        <v>-7482.84</v>
      </c>
    </row>
    <row r="73" spans="1:10" x14ac:dyDescent="0.2">
      <c r="A73" s="18"/>
      <c r="B73" s="18"/>
      <c r="C73" s="18"/>
      <c r="D73" s="48"/>
      <c r="E73" s="48"/>
      <c r="F73" s="48"/>
      <c r="G73" s="48"/>
      <c r="H73" s="48"/>
      <c r="I73" s="48"/>
      <c r="J73" s="7"/>
    </row>
    <row r="74" spans="1:10" ht="15" x14ac:dyDescent="0.25">
      <c r="A74" s="31" t="s">
        <v>135</v>
      </c>
      <c r="B74" s="18"/>
      <c r="C74" s="18"/>
      <c r="D74" s="48"/>
      <c r="E74" s="48"/>
      <c r="F74" s="48"/>
      <c r="G74" s="48"/>
      <c r="H74" s="48"/>
      <c r="I74" s="48"/>
      <c r="J74" s="7"/>
    </row>
    <row r="75" spans="1:10" ht="13.5" thickBot="1" x14ac:dyDescent="0.25">
      <c r="A75" s="18"/>
      <c r="B75" s="38" t="s">
        <v>137</v>
      </c>
      <c r="C75" s="18"/>
      <c r="D75" s="48"/>
      <c r="E75" s="48"/>
      <c r="F75" s="48"/>
      <c r="G75" s="48"/>
      <c r="H75" s="48"/>
      <c r="I75" s="48"/>
      <c r="J75" s="7"/>
    </row>
    <row r="76" spans="1:10" ht="13.5" thickTop="1" x14ac:dyDescent="0.2">
      <c r="A76" s="18"/>
      <c r="B76" s="18"/>
      <c r="C76" s="32" t="s">
        <v>136</v>
      </c>
      <c r="D76" s="49"/>
      <c r="E76" s="49"/>
      <c r="F76" s="49"/>
      <c r="G76" s="49"/>
      <c r="H76" s="49">
        <v>-62000</v>
      </c>
      <c r="I76" s="49"/>
      <c r="J76" s="33">
        <v>-62000</v>
      </c>
    </row>
    <row r="77" spans="1:10" x14ac:dyDescent="0.2">
      <c r="A77" s="18"/>
      <c r="B77" s="18"/>
      <c r="C77" s="18"/>
      <c r="D77" s="48"/>
      <c r="E77" s="48"/>
      <c r="F77" s="48"/>
      <c r="G77" s="48"/>
      <c r="H77" s="48"/>
      <c r="I77" s="48"/>
      <c r="J77" s="7"/>
    </row>
    <row r="78" spans="1:10" ht="15.75" thickBot="1" x14ac:dyDescent="0.3">
      <c r="A78" s="29" t="s">
        <v>158</v>
      </c>
      <c r="B78" s="29"/>
      <c r="C78" s="29"/>
      <c r="D78" s="50">
        <v>0</v>
      </c>
      <c r="E78" s="50">
        <v>255109.76999999993</v>
      </c>
      <c r="F78" s="50">
        <v>-255109.77</v>
      </c>
      <c r="G78" s="50">
        <v>9.0949470177292824E-13</v>
      </c>
      <c r="H78" s="50">
        <v>8856.390000000014</v>
      </c>
      <c r="I78" s="50">
        <v>31847.240000000005</v>
      </c>
      <c r="J78" s="34">
        <v>40703.629999999976</v>
      </c>
    </row>
    <row r="79" spans="1:10" ht="13.5" thickTop="1" x14ac:dyDescent="0.2">
      <c r="D79"/>
    </row>
    <row r="80" spans="1:10" x14ac:dyDescent="0.2">
      <c r="D80"/>
    </row>
    <row r="81" spans="4:4" ht="13.5" thickBot="1" x14ac:dyDescent="0.25">
      <c r="D81"/>
    </row>
    <row r="82" spans="4:4" ht="13.5" thickTop="1" x14ac:dyDescent="0.2">
      <c r="D82"/>
    </row>
    <row r="83" spans="4:4" ht="13.5" thickBot="1" x14ac:dyDescent="0.25">
      <c r="D83"/>
    </row>
    <row r="84" spans="4:4" ht="13.5" thickTop="1" x14ac:dyDescent="0.2">
      <c r="D84"/>
    </row>
    <row r="85" spans="4:4" ht="13.5" thickBot="1" x14ac:dyDescent="0.25">
      <c r="D85"/>
    </row>
    <row r="86" spans="4:4" x14ac:dyDescent="0.2">
      <c r="D86"/>
    </row>
    <row r="87" spans="4:4" ht="13.5" thickBot="1" x14ac:dyDescent="0.25">
      <c r="D87"/>
    </row>
    <row r="88" spans="4:4" ht="13.5" thickTop="1" x14ac:dyDescent="0.2">
      <c r="D88"/>
    </row>
    <row r="89" spans="4:4" x14ac:dyDescent="0.2">
      <c r="D89"/>
    </row>
    <row r="90" spans="4:4" x14ac:dyDescent="0.2">
      <c r="D90"/>
    </row>
    <row r="91" spans="4:4" x14ac:dyDescent="0.2">
      <c r="D91"/>
    </row>
    <row r="92" spans="4:4" ht="13.5" thickBot="1" x14ac:dyDescent="0.25">
      <c r="D92"/>
    </row>
    <row r="93" spans="4:4" ht="13.5" thickTop="1" x14ac:dyDescent="0.2">
      <c r="D93"/>
    </row>
    <row r="94" spans="4:4" ht="13.5" thickBot="1" x14ac:dyDescent="0.25">
      <c r="D94"/>
    </row>
    <row r="95" spans="4:4" ht="13.5" thickTop="1" x14ac:dyDescent="0.2">
      <c r="D95"/>
    </row>
    <row r="96" spans="4:4" x14ac:dyDescent="0.2">
      <c r="D96"/>
    </row>
    <row r="97" spans="4:4" x14ac:dyDescent="0.2">
      <c r="D97"/>
    </row>
    <row r="98" spans="4:4" x14ac:dyDescent="0.2">
      <c r="D98"/>
    </row>
  </sheetData>
  <pageMargins left="0.25" right="0.25" top="0.75" bottom="0.75" header="0.3" footer="0.3"/>
  <pageSetup paperSize="9" scale="85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9"/>
  <sheetViews>
    <sheetView workbookViewId="0">
      <pane ySplit="5" topLeftCell="A183" activePane="bottomLeft" state="frozen"/>
      <selection pane="bottomLeft" activeCell="J201" sqref="J201"/>
    </sheetView>
  </sheetViews>
  <sheetFormatPr defaultColWidth="11.42578125" defaultRowHeight="12.75" x14ac:dyDescent="0.2"/>
  <cols>
    <col min="1" max="1" width="6.140625" style="4" customWidth="1"/>
    <col min="2" max="2" width="14.5703125" style="4" customWidth="1"/>
    <col min="3" max="3" width="10.28515625" style="4" customWidth="1"/>
    <col min="4" max="4" width="26.140625" customWidth="1"/>
    <col min="5" max="5" width="17.5703125" customWidth="1"/>
    <col min="6" max="6" width="24.42578125" customWidth="1"/>
    <col min="7" max="8" width="14.85546875" style="18" customWidth="1"/>
    <col min="9" max="9" width="17.7109375" style="7" customWidth="1"/>
    <col min="10" max="10" width="17.42578125" style="8" customWidth="1"/>
    <col min="11" max="11" width="9.5703125" style="4" customWidth="1"/>
    <col min="12" max="12" width="20.5703125" customWidth="1"/>
    <col min="13" max="13" width="18.140625" customWidth="1"/>
    <col min="14" max="14" width="16.85546875" customWidth="1"/>
  </cols>
  <sheetData>
    <row r="1" spans="1:11" ht="13.5" thickBot="1" x14ac:dyDescent="0.25">
      <c r="B1" s="17"/>
      <c r="J1" s="20"/>
    </row>
    <row r="2" spans="1:11" ht="13.5" thickBot="1" x14ac:dyDescent="0.25">
      <c r="D2" s="9" t="s">
        <v>22</v>
      </c>
      <c r="E2" s="9"/>
      <c r="F2" s="9" t="s">
        <v>21</v>
      </c>
      <c r="G2" s="6"/>
      <c r="H2" s="6"/>
      <c r="I2" s="8" t="s">
        <v>19</v>
      </c>
      <c r="J2" s="6" t="s">
        <v>26</v>
      </c>
    </row>
    <row r="3" spans="1:11" x14ac:dyDescent="0.2">
      <c r="D3" s="4"/>
      <c r="E3" s="4"/>
      <c r="F3" s="4"/>
      <c r="G3" s="4"/>
      <c r="H3" s="4"/>
      <c r="I3" s="8" t="s">
        <v>45</v>
      </c>
      <c r="J3" s="6" t="s">
        <v>44</v>
      </c>
    </row>
    <row r="4" spans="1:11" x14ac:dyDescent="0.2">
      <c r="B4" s="11"/>
      <c r="C4" s="11" t="s">
        <v>9</v>
      </c>
      <c r="D4" s="11" t="s">
        <v>32</v>
      </c>
      <c r="E4" s="11"/>
      <c r="F4" s="10" t="s">
        <v>11</v>
      </c>
      <c r="G4" s="6"/>
      <c r="H4" s="6"/>
      <c r="I4" s="35" t="s">
        <v>4</v>
      </c>
    </row>
    <row r="5" spans="1:11" s="5" customFormat="1" x14ac:dyDescent="0.2">
      <c r="A5" s="12" t="s">
        <v>12</v>
      </c>
      <c r="B5" s="13" t="s">
        <v>13</v>
      </c>
      <c r="C5" s="13" t="s">
        <v>40</v>
      </c>
      <c r="D5" s="13" t="s">
        <v>14</v>
      </c>
      <c r="E5" s="13" t="s">
        <v>69</v>
      </c>
      <c r="F5" s="13" t="s">
        <v>23</v>
      </c>
      <c r="G5" s="13" t="s">
        <v>24</v>
      </c>
      <c r="H5" s="13" t="s">
        <v>66</v>
      </c>
      <c r="I5" s="14" t="s">
        <v>16</v>
      </c>
      <c r="J5" s="15" t="s">
        <v>17</v>
      </c>
    </row>
    <row r="6" spans="1:11" x14ac:dyDescent="0.2">
      <c r="A6" s="16">
        <v>1</v>
      </c>
      <c r="B6" s="17">
        <v>44530</v>
      </c>
      <c r="C6" s="39">
        <f>IF(B6="","",YEAR(B6))</f>
        <v>2021</v>
      </c>
      <c r="D6" s="18" t="s">
        <v>27</v>
      </c>
      <c r="E6" s="18"/>
      <c r="I6" s="21">
        <v>0</v>
      </c>
      <c r="J6" s="19">
        <f>I6</f>
        <v>0</v>
      </c>
    </row>
    <row r="7" spans="1:11" x14ac:dyDescent="0.2">
      <c r="A7" s="16">
        <f t="shared" ref="A7:A75" si="0">A6+1</f>
        <v>2</v>
      </c>
      <c r="B7" s="17">
        <v>44553</v>
      </c>
      <c r="C7" s="39">
        <f t="shared" ref="C7:C15" si="1">IF(B7="","",YEAR(B7))</f>
        <v>2021</v>
      </c>
      <c r="D7" s="18" t="s">
        <v>33</v>
      </c>
      <c r="E7" s="18"/>
      <c r="F7" s="37" t="s">
        <v>38</v>
      </c>
      <c r="G7" s="18" t="s">
        <v>33</v>
      </c>
      <c r="H7" s="22" t="s">
        <v>41</v>
      </c>
      <c r="I7" s="21">
        <v>600000</v>
      </c>
      <c r="J7" s="19">
        <f t="shared" ref="J7:J48" si="2">IF(I7="",".",J6+I7)</f>
        <v>600000</v>
      </c>
    </row>
    <row r="8" spans="1:11" x14ac:dyDescent="0.2">
      <c r="A8" s="16">
        <f t="shared" si="0"/>
        <v>3</v>
      </c>
      <c r="B8" s="17">
        <v>44558</v>
      </c>
      <c r="C8" s="39">
        <f t="shared" si="1"/>
        <v>2021</v>
      </c>
      <c r="D8" s="18" t="s">
        <v>34</v>
      </c>
      <c r="E8" s="18"/>
      <c r="F8" s="37" t="s">
        <v>38</v>
      </c>
      <c r="G8" s="18" t="s">
        <v>34</v>
      </c>
      <c r="H8" s="22" t="s">
        <v>41</v>
      </c>
      <c r="I8" s="21">
        <v>-600000</v>
      </c>
      <c r="J8" s="19">
        <f t="shared" si="2"/>
        <v>0</v>
      </c>
    </row>
    <row r="9" spans="1:11" x14ac:dyDescent="0.2">
      <c r="A9" s="16">
        <f t="shared" si="0"/>
        <v>4</v>
      </c>
      <c r="B9" s="17">
        <v>44561</v>
      </c>
      <c r="C9" s="39">
        <f t="shared" si="1"/>
        <v>2021</v>
      </c>
      <c r="D9" s="18" t="s">
        <v>35</v>
      </c>
      <c r="E9" s="22" t="s">
        <v>71</v>
      </c>
      <c r="F9" s="37" t="s">
        <v>68</v>
      </c>
      <c r="G9" s="18" t="s">
        <v>155</v>
      </c>
      <c r="I9" s="21">
        <v>536.34</v>
      </c>
      <c r="J9" s="19">
        <f t="shared" si="2"/>
        <v>536.34</v>
      </c>
    </row>
    <row r="10" spans="1:11" x14ac:dyDescent="0.2">
      <c r="A10" s="16">
        <f t="shared" si="0"/>
        <v>5</v>
      </c>
      <c r="B10" s="17">
        <v>44561</v>
      </c>
      <c r="C10" s="39">
        <f t="shared" si="1"/>
        <v>2021</v>
      </c>
      <c r="D10" s="18" t="s">
        <v>36</v>
      </c>
      <c r="E10" s="22" t="s">
        <v>70</v>
      </c>
      <c r="F10" s="37" t="s">
        <v>79</v>
      </c>
      <c r="G10" s="18" t="s">
        <v>93</v>
      </c>
      <c r="I10" s="21">
        <v>-20.5</v>
      </c>
      <c r="J10" s="19">
        <f t="shared" si="2"/>
        <v>515.84</v>
      </c>
    </row>
    <row r="11" spans="1:11" x14ac:dyDescent="0.2">
      <c r="A11" s="40">
        <f t="shared" si="0"/>
        <v>6</v>
      </c>
      <c r="B11" s="41">
        <v>44561</v>
      </c>
      <c r="C11" s="42">
        <f t="shared" si="1"/>
        <v>2021</v>
      </c>
      <c r="D11" s="43" t="s">
        <v>37</v>
      </c>
      <c r="E11" s="47" t="s">
        <v>70</v>
      </c>
      <c r="F11" s="46" t="s">
        <v>79</v>
      </c>
      <c r="G11" s="43" t="s">
        <v>78</v>
      </c>
      <c r="H11" s="43"/>
      <c r="I11" s="44">
        <v>-445.05</v>
      </c>
      <c r="J11" s="45">
        <f t="shared" si="2"/>
        <v>70.79000000000002</v>
      </c>
      <c r="K11" s="76"/>
    </row>
    <row r="12" spans="1:11" x14ac:dyDescent="0.2">
      <c r="A12" s="16">
        <f t="shared" si="0"/>
        <v>7</v>
      </c>
      <c r="B12" s="17">
        <v>44566</v>
      </c>
      <c r="C12" s="39">
        <f t="shared" si="1"/>
        <v>2022</v>
      </c>
      <c r="D12" s="18" t="s">
        <v>34</v>
      </c>
      <c r="E12" s="18"/>
      <c r="F12" s="37" t="s">
        <v>142</v>
      </c>
      <c r="G12" s="22" t="s">
        <v>77</v>
      </c>
      <c r="H12" s="22" t="s">
        <v>41</v>
      </c>
      <c r="I12" s="21">
        <v>-60</v>
      </c>
      <c r="J12" s="19">
        <f t="shared" si="2"/>
        <v>10.79000000000002</v>
      </c>
    </row>
    <row r="13" spans="1:11" x14ac:dyDescent="0.2">
      <c r="A13" s="16">
        <f t="shared" si="0"/>
        <v>8</v>
      </c>
      <c r="B13" s="17">
        <v>44592</v>
      </c>
      <c r="C13" s="39">
        <f t="shared" si="1"/>
        <v>2022</v>
      </c>
      <c r="D13" s="18" t="s">
        <v>35</v>
      </c>
      <c r="E13" s="22" t="s">
        <v>71</v>
      </c>
      <c r="F13" s="37" t="s">
        <v>68</v>
      </c>
      <c r="G13" s="18" t="s">
        <v>155</v>
      </c>
      <c r="I13" s="21">
        <v>0.13</v>
      </c>
      <c r="J13" s="19">
        <f t="shared" ref="J13:J16" si="3">IF(I13="",".",J12+I13)</f>
        <v>10.920000000000021</v>
      </c>
      <c r="K13" s="54"/>
    </row>
    <row r="14" spans="1:11" x14ac:dyDescent="0.2">
      <c r="A14" s="16">
        <f t="shared" si="0"/>
        <v>9</v>
      </c>
      <c r="B14" s="17">
        <v>44592</v>
      </c>
      <c r="C14" s="39">
        <f t="shared" si="1"/>
        <v>2022</v>
      </c>
      <c r="D14" s="18" t="s">
        <v>36</v>
      </c>
      <c r="E14" s="22" t="s">
        <v>70</v>
      </c>
      <c r="F14" s="37" t="s">
        <v>79</v>
      </c>
      <c r="G14" s="18" t="s">
        <v>93</v>
      </c>
      <c r="I14" s="21">
        <v>-0.01</v>
      </c>
      <c r="J14" s="19">
        <f t="shared" si="3"/>
        <v>10.910000000000021</v>
      </c>
    </row>
    <row r="15" spans="1:11" x14ac:dyDescent="0.2">
      <c r="A15" s="16">
        <f t="shared" si="0"/>
        <v>10</v>
      </c>
      <c r="B15" s="17">
        <v>44592</v>
      </c>
      <c r="C15" s="39">
        <f t="shared" si="1"/>
        <v>2022</v>
      </c>
      <c r="D15" s="18" t="s">
        <v>37</v>
      </c>
      <c r="E15" s="22" t="s">
        <v>70</v>
      </c>
      <c r="F15" s="37" t="s">
        <v>79</v>
      </c>
      <c r="G15" s="18" t="s">
        <v>78</v>
      </c>
      <c r="I15" s="21">
        <v>-0.08</v>
      </c>
      <c r="J15" s="19">
        <f t="shared" si="3"/>
        <v>10.830000000000021</v>
      </c>
    </row>
    <row r="16" spans="1:11" x14ac:dyDescent="0.2">
      <c r="A16" s="16">
        <f t="shared" si="0"/>
        <v>11</v>
      </c>
      <c r="B16" s="17">
        <v>44599</v>
      </c>
      <c r="C16" s="39">
        <f t="shared" ref="C16:C19" si="4">IF(B16="","",YEAR(B16))</f>
        <v>2022</v>
      </c>
      <c r="D16" s="18" t="s">
        <v>34</v>
      </c>
      <c r="E16" s="18"/>
      <c r="F16" s="37" t="s">
        <v>142</v>
      </c>
      <c r="G16" s="22" t="s">
        <v>77</v>
      </c>
      <c r="H16" s="22" t="s">
        <v>41</v>
      </c>
      <c r="I16" s="21">
        <v>-10.82</v>
      </c>
      <c r="J16" s="19">
        <f t="shared" si="3"/>
        <v>1.0000000000021103E-2</v>
      </c>
    </row>
    <row r="17" spans="1:11" x14ac:dyDescent="0.2">
      <c r="A17" s="16">
        <f t="shared" si="0"/>
        <v>12</v>
      </c>
      <c r="B17" s="17">
        <v>44617</v>
      </c>
      <c r="C17" s="39">
        <f t="shared" si="4"/>
        <v>2022</v>
      </c>
      <c r="D17" s="18" t="s">
        <v>35</v>
      </c>
      <c r="E17" s="22" t="s">
        <v>71</v>
      </c>
      <c r="F17" s="37" t="s">
        <v>68</v>
      </c>
      <c r="G17" s="18" t="s">
        <v>155</v>
      </c>
      <c r="I17" s="21">
        <v>0.01</v>
      </c>
      <c r="J17" s="19">
        <f t="shared" ref="J17:J24" si="5">IF(I17="",".",J16+I17)</f>
        <v>2.0000000000021105E-2</v>
      </c>
      <c r="K17" s="54"/>
    </row>
    <row r="18" spans="1:11" x14ac:dyDescent="0.2">
      <c r="A18" s="16">
        <f t="shared" si="0"/>
        <v>13</v>
      </c>
      <c r="B18" s="17">
        <v>44617</v>
      </c>
      <c r="C18" s="39">
        <f t="shared" si="4"/>
        <v>2022</v>
      </c>
      <c r="D18" s="18" t="s">
        <v>36</v>
      </c>
      <c r="E18" s="22" t="s">
        <v>70</v>
      </c>
      <c r="F18" s="37" t="s">
        <v>79</v>
      </c>
      <c r="G18" s="18" t="s">
        <v>93</v>
      </c>
      <c r="I18" s="21">
        <v>-0.02</v>
      </c>
      <c r="J18" s="19">
        <f t="shared" si="5"/>
        <v>2.1104645808733835E-14</v>
      </c>
    </row>
    <row r="19" spans="1:11" x14ac:dyDescent="0.2">
      <c r="A19" s="16">
        <f t="shared" si="0"/>
        <v>14</v>
      </c>
      <c r="B19" s="17">
        <v>44735</v>
      </c>
      <c r="C19" s="39">
        <f t="shared" si="4"/>
        <v>2022</v>
      </c>
      <c r="D19" s="18" t="s">
        <v>33</v>
      </c>
      <c r="E19" s="18"/>
      <c r="F19" s="37" t="s">
        <v>38</v>
      </c>
      <c r="G19" s="18" t="s">
        <v>33</v>
      </c>
      <c r="H19" s="22" t="s">
        <v>41</v>
      </c>
      <c r="I19" s="21">
        <v>583210.91</v>
      </c>
      <c r="J19" s="19">
        <f t="shared" si="5"/>
        <v>583210.91</v>
      </c>
    </row>
    <row r="20" spans="1:11" x14ac:dyDescent="0.2">
      <c r="A20" s="16">
        <f t="shared" si="0"/>
        <v>15</v>
      </c>
      <c r="B20" s="17">
        <v>44742</v>
      </c>
      <c r="C20" s="39">
        <f t="shared" ref="C20:C24" si="6">IF(B20="","",YEAR(B20))</f>
        <v>2022</v>
      </c>
      <c r="D20" s="18" t="s">
        <v>35</v>
      </c>
      <c r="E20" s="22" t="s">
        <v>71</v>
      </c>
      <c r="F20" s="37" t="s">
        <v>68</v>
      </c>
      <c r="G20" s="18" t="s">
        <v>155</v>
      </c>
      <c r="I20" s="21">
        <v>1207.0999999999999</v>
      </c>
      <c r="J20" s="19">
        <f t="shared" si="5"/>
        <v>584418.01</v>
      </c>
      <c r="K20" s="54"/>
    </row>
    <row r="21" spans="1:11" x14ac:dyDescent="0.2">
      <c r="A21" s="16">
        <f t="shared" si="0"/>
        <v>16</v>
      </c>
      <c r="B21" s="17">
        <v>44748</v>
      </c>
      <c r="C21" s="39">
        <f t="shared" si="6"/>
        <v>2022</v>
      </c>
      <c r="D21" s="18" t="s">
        <v>34</v>
      </c>
      <c r="E21" s="18"/>
      <c r="F21" s="37" t="s">
        <v>142</v>
      </c>
      <c r="G21" s="22" t="s">
        <v>77</v>
      </c>
      <c r="H21" s="22" t="s">
        <v>41</v>
      </c>
      <c r="I21" s="21">
        <v>-66</v>
      </c>
      <c r="J21" s="19">
        <f t="shared" si="5"/>
        <v>584352.01</v>
      </c>
    </row>
    <row r="22" spans="1:11" x14ac:dyDescent="0.2">
      <c r="A22" s="16">
        <f t="shared" si="0"/>
        <v>17</v>
      </c>
      <c r="B22" s="17">
        <v>44771</v>
      </c>
      <c r="C22" s="39">
        <f t="shared" si="6"/>
        <v>2022</v>
      </c>
      <c r="D22" s="18" t="s">
        <v>35</v>
      </c>
      <c r="E22" s="22" t="s">
        <v>71</v>
      </c>
      <c r="F22" s="37" t="s">
        <v>68</v>
      </c>
      <c r="G22" s="18" t="s">
        <v>155</v>
      </c>
      <c r="I22" s="21">
        <v>5089.3900000000003</v>
      </c>
      <c r="J22" s="19">
        <f t="shared" si="5"/>
        <v>589441.4</v>
      </c>
      <c r="K22" s="54">
        <f>(I22+I23+I24)/J20*12</f>
        <v>0.10449862761758488</v>
      </c>
    </row>
    <row r="23" spans="1:11" x14ac:dyDescent="0.2">
      <c r="A23" s="16">
        <f t="shared" si="0"/>
        <v>18</v>
      </c>
      <c r="B23" s="17">
        <v>44771</v>
      </c>
      <c r="C23" s="39">
        <f t="shared" si="6"/>
        <v>2022</v>
      </c>
      <c r="D23" s="18" t="s">
        <v>36</v>
      </c>
      <c r="E23" s="22" t="s">
        <v>70</v>
      </c>
      <c r="F23" s="37" t="s">
        <v>79</v>
      </c>
      <c r="G23" s="18" t="s">
        <v>93</v>
      </c>
      <c r="I23" s="21">
        <v>-0.02</v>
      </c>
      <c r="J23" s="19">
        <f t="shared" si="5"/>
        <v>589441.38</v>
      </c>
    </row>
    <row r="24" spans="1:11" x14ac:dyDescent="0.2">
      <c r="A24" s="16">
        <f t="shared" si="0"/>
        <v>19</v>
      </c>
      <c r="B24" s="17">
        <v>44771</v>
      </c>
      <c r="C24" s="39">
        <f t="shared" si="6"/>
        <v>2022</v>
      </c>
      <c r="D24" s="18" t="s">
        <v>37</v>
      </c>
      <c r="E24" s="22" t="s">
        <v>70</v>
      </c>
      <c r="F24" s="37" t="s">
        <v>79</v>
      </c>
      <c r="G24" s="18" t="s">
        <v>78</v>
      </c>
      <c r="I24" s="21">
        <v>-0.13</v>
      </c>
      <c r="J24" s="19">
        <f t="shared" si="5"/>
        <v>589441.25</v>
      </c>
    </row>
    <row r="25" spans="1:11" x14ac:dyDescent="0.2">
      <c r="A25" s="16">
        <f t="shared" si="0"/>
        <v>20</v>
      </c>
      <c r="B25" s="17">
        <v>44778</v>
      </c>
      <c r="C25" s="39">
        <f t="shared" ref="C25:C27" si="7">IF(B25="","",YEAR(B25))</f>
        <v>2022</v>
      </c>
      <c r="D25" s="18" t="s">
        <v>34</v>
      </c>
      <c r="E25" s="18"/>
      <c r="F25" s="37" t="s">
        <v>142</v>
      </c>
      <c r="G25" s="22" t="s">
        <v>77</v>
      </c>
      <c r="H25" s="22" t="s">
        <v>41</v>
      </c>
      <c r="I25" s="21">
        <v>-66</v>
      </c>
      <c r="J25" s="19">
        <f t="shared" ref="J25:J39" si="8">IF(I25="",".",J24+I25)</f>
        <v>589375.25</v>
      </c>
    </row>
    <row r="26" spans="1:11" x14ac:dyDescent="0.2">
      <c r="A26" s="16">
        <f t="shared" si="0"/>
        <v>21</v>
      </c>
      <c r="B26" s="17">
        <v>44804</v>
      </c>
      <c r="C26" s="39">
        <f t="shared" si="7"/>
        <v>2022</v>
      </c>
      <c r="D26" s="18" t="s">
        <v>35</v>
      </c>
      <c r="E26" s="22" t="s">
        <v>71</v>
      </c>
      <c r="F26" s="37" t="s">
        <v>68</v>
      </c>
      <c r="G26" s="18" t="s">
        <v>155</v>
      </c>
      <c r="I26" s="21">
        <v>5849.96</v>
      </c>
      <c r="J26" s="19">
        <f t="shared" si="8"/>
        <v>595225.21</v>
      </c>
      <c r="K26" s="54">
        <f>(I26+I27)/J24*12</f>
        <v>0.11909135982593685</v>
      </c>
    </row>
    <row r="27" spans="1:11" x14ac:dyDescent="0.2">
      <c r="A27" s="16">
        <f t="shared" si="0"/>
        <v>22</v>
      </c>
      <c r="B27" s="17">
        <v>44804</v>
      </c>
      <c r="C27" s="39">
        <f t="shared" si="7"/>
        <v>2022</v>
      </c>
      <c r="D27" s="18" t="s">
        <v>36</v>
      </c>
      <c r="E27" s="22" t="s">
        <v>70</v>
      </c>
      <c r="F27" s="37" t="s">
        <v>79</v>
      </c>
      <c r="G27" s="18" t="s">
        <v>93</v>
      </c>
      <c r="I27" s="21">
        <v>-0.18</v>
      </c>
      <c r="J27" s="19">
        <f t="shared" si="8"/>
        <v>595225.02999999991</v>
      </c>
    </row>
    <row r="28" spans="1:11" x14ac:dyDescent="0.2">
      <c r="A28" s="16">
        <f t="shared" si="0"/>
        <v>23</v>
      </c>
      <c r="B28" s="17">
        <v>44809</v>
      </c>
      <c r="C28" s="39">
        <f t="shared" ref="C28:C30" si="9">IF(B28="","",YEAR(B28))</f>
        <v>2022</v>
      </c>
      <c r="D28" s="18" t="s">
        <v>34</v>
      </c>
      <c r="E28" s="18"/>
      <c r="F28" s="37" t="s">
        <v>142</v>
      </c>
      <c r="G28" s="22" t="s">
        <v>77</v>
      </c>
      <c r="H28" s="22" t="s">
        <v>41</v>
      </c>
      <c r="I28" s="21">
        <v>-66</v>
      </c>
      <c r="J28" s="19">
        <f t="shared" si="8"/>
        <v>595159.02999999991</v>
      </c>
    </row>
    <row r="29" spans="1:11" x14ac:dyDescent="0.2">
      <c r="A29" s="16">
        <f t="shared" si="0"/>
        <v>24</v>
      </c>
      <c r="B29" s="17">
        <v>44834</v>
      </c>
      <c r="C29" s="39">
        <f t="shared" si="9"/>
        <v>2022</v>
      </c>
      <c r="D29" s="18" t="s">
        <v>35</v>
      </c>
      <c r="E29" s="22" t="s">
        <v>71</v>
      </c>
      <c r="F29" s="37" t="s">
        <v>68</v>
      </c>
      <c r="G29" s="18" t="s">
        <v>155</v>
      </c>
      <c r="I29" s="21">
        <v>5442.88</v>
      </c>
      <c r="J29" s="19">
        <f t="shared" si="8"/>
        <v>600601.90999999992</v>
      </c>
      <c r="K29" s="54">
        <f>(I29+I30)/J27*12</f>
        <v>0.1097244180070855</v>
      </c>
    </row>
    <row r="30" spans="1:11" x14ac:dyDescent="0.2">
      <c r="A30" s="16">
        <f t="shared" si="0"/>
        <v>25</v>
      </c>
      <c r="B30" s="17">
        <v>44834</v>
      </c>
      <c r="C30" s="39">
        <f t="shared" si="9"/>
        <v>2022</v>
      </c>
      <c r="D30" s="18" t="s">
        <v>36</v>
      </c>
      <c r="E30" s="22" t="s">
        <v>70</v>
      </c>
      <c r="F30" s="37" t="s">
        <v>79</v>
      </c>
      <c r="G30" s="18" t="s">
        <v>93</v>
      </c>
      <c r="I30" s="21">
        <v>-0.32</v>
      </c>
      <c r="J30" s="19">
        <f t="shared" si="8"/>
        <v>600601.59</v>
      </c>
    </row>
    <row r="31" spans="1:11" x14ac:dyDescent="0.2">
      <c r="A31" s="16">
        <f t="shared" si="0"/>
        <v>26</v>
      </c>
      <c r="B31" s="17">
        <v>44839</v>
      </c>
      <c r="C31" s="39">
        <f t="shared" ref="C31:C33" si="10">IF(B31="","",YEAR(B31))</f>
        <v>2022</v>
      </c>
      <c r="D31" s="18" t="s">
        <v>34</v>
      </c>
      <c r="E31" s="18"/>
      <c r="F31" s="37" t="s">
        <v>142</v>
      </c>
      <c r="G31" s="22" t="s">
        <v>77</v>
      </c>
      <c r="H31" s="22" t="s">
        <v>41</v>
      </c>
      <c r="I31" s="21">
        <v>-66</v>
      </c>
      <c r="J31" s="19">
        <f t="shared" si="8"/>
        <v>600535.59</v>
      </c>
    </row>
    <row r="32" spans="1:11" x14ac:dyDescent="0.2">
      <c r="A32" s="16">
        <f t="shared" si="0"/>
        <v>27</v>
      </c>
      <c r="B32" s="17">
        <v>44865</v>
      </c>
      <c r="C32" s="39">
        <f t="shared" si="10"/>
        <v>2022</v>
      </c>
      <c r="D32" s="18" t="s">
        <v>35</v>
      </c>
      <c r="E32" s="22" t="s">
        <v>71</v>
      </c>
      <c r="F32" s="37" t="s">
        <v>68</v>
      </c>
      <c r="G32" s="18" t="s">
        <v>155</v>
      </c>
      <c r="I32" s="21">
        <v>5248.75</v>
      </c>
      <c r="J32" s="19">
        <f t="shared" si="8"/>
        <v>605784.34</v>
      </c>
      <c r="K32" s="54">
        <f>(I32+I33)/J30*12</f>
        <v>0.10486086125746022</v>
      </c>
    </row>
    <row r="33" spans="1:13" x14ac:dyDescent="0.2">
      <c r="A33" s="16">
        <f t="shared" si="0"/>
        <v>28</v>
      </c>
      <c r="B33" s="17">
        <v>44865</v>
      </c>
      <c r="C33" s="39">
        <f t="shared" si="10"/>
        <v>2022</v>
      </c>
      <c r="D33" s="18" t="s">
        <v>36</v>
      </c>
      <c r="E33" s="22" t="s">
        <v>70</v>
      </c>
      <c r="F33" s="37" t="s">
        <v>79</v>
      </c>
      <c r="G33" s="18" t="s">
        <v>93</v>
      </c>
      <c r="I33" s="21">
        <v>-0.45</v>
      </c>
      <c r="J33" s="19">
        <f t="shared" si="8"/>
        <v>605783.89</v>
      </c>
    </row>
    <row r="34" spans="1:13" x14ac:dyDescent="0.2">
      <c r="A34" s="16">
        <f t="shared" si="0"/>
        <v>29</v>
      </c>
      <c r="B34" s="17">
        <v>44872</v>
      </c>
      <c r="C34" s="39">
        <f t="shared" ref="C34" si="11">IF(B34="","",YEAR(B34))</f>
        <v>2022</v>
      </c>
      <c r="D34" s="18" t="s">
        <v>34</v>
      </c>
      <c r="E34" s="18"/>
      <c r="F34" s="37" t="s">
        <v>142</v>
      </c>
      <c r="G34" s="22" t="s">
        <v>77</v>
      </c>
      <c r="H34" s="22" t="s">
        <v>41</v>
      </c>
      <c r="I34" s="21">
        <v>-66</v>
      </c>
      <c r="J34" s="19">
        <f t="shared" si="8"/>
        <v>605717.89</v>
      </c>
    </row>
    <row r="35" spans="1:13" x14ac:dyDescent="0.2">
      <c r="A35" s="16">
        <f t="shared" si="0"/>
        <v>30</v>
      </c>
      <c r="B35" s="17">
        <v>44895</v>
      </c>
      <c r="C35" s="39">
        <f t="shared" ref="C35:C37" si="12">IF(B35="","",YEAR(B35))</f>
        <v>2022</v>
      </c>
      <c r="D35" s="18" t="s">
        <v>35</v>
      </c>
      <c r="E35" s="22" t="s">
        <v>71</v>
      </c>
      <c r="F35" s="37" t="s">
        <v>68</v>
      </c>
      <c r="G35" s="18" t="s">
        <v>155</v>
      </c>
      <c r="I35" s="21">
        <v>5202.7700000000004</v>
      </c>
      <c r="J35" s="19">
        <f t="shared" si="8"/>
        <v>610920.66</v>
      </c>
      <c r="K35" s="54"/>
    </row>
    <row r="36" spans="1:13" x14ac:dyDescent="0.2">
      <c r="A36" s="16">
        <f t="shared" si="0"/>
        <v>31</v>
      </c>
      <c r="B36" s="17">
        <v>44895</v>
      </c>
      <c r="C36" s="39">
        <f t="shared" si="12"/>
        <v>2022</v>
      </c>
      <c r="D36" s="18" t="s">
        <v>36</v>
      </c>
      <c r="E36" s="22" t="s">
        <v>70</v>
      </c>
      <c r="F36" s="37" t="s">
        <v>79</v>
      </c>
      <c r="G36" s="18" t="s">
        <v>93</v>
      </c>
      <c r="I36" s="21">
        <v>-5607.32</v>
      </c>
      <c r="J36" s="19">
        <f t="shared" si="8"/>
        <v>605313.34000000008</v>
      </c>
    </row>
    <row r="37" spans="1:13" x14ac:dyDescent="0.2">
      <c r="A37" s="16">
        <f t="shared" si="0"/>
        <v>32</v>
      </c>
      <c r="B37" s="17">
        <v>44900</v>
      </c>
      <c r="C37" s="39">
        <f t="shared" si="12"/>
        <v>2022</v>
      </c>
      <c r="D37" s="18" t="s">
        <v>34</v>
      </c>
      <c r="E37" s="18"/>
      <c r="F37" s="37" t="s">
        <v>142</v>
      </c>
      <c r="G37" s="22" t="s">
        <v>77</v>
      </c>
      <c r="H37" s="22" t="s">
        <v>41</v>
      </c>
      <c r="I37" s="21">
        <v>-66</v>
      </c>
      <c r="J37" s="19">
        <f t="shared" si="8"/>
        <v>605247.34000000008</v>
      </c>
    </row>
    <row r="38" spans="1:13" x14ac:dyDescent="0.2">
      <c r="A38" s="16">
        <f t="shared" si="0"/>
        <v>33</v>
      </c>
      <c r="B38" s="17">
        <v>44918</v>
      </c>
      <c r="C38" s="39">
        <f t="shared" ref="C38" si="13">IF(B38="","",YEAR(B38))</f>
        <v>2022</v>
      </c>
      <c r="D38" s="18" t="s">
        <v>34</v>
      </c>
      <c r="E38" s="18"/>
      <c r="F38" t="s">
        <v>142</v>
      </c>
      <c r="G38" s="18" t="s">
        <v>144</v>
      </c>
      <c r="H38" s="22" t="s">
        <v>41</v>
      </c>
      <c r="I38" s="21">
        <v>-1050</v>
      </c>
      <c r="J38" s="19">
        <f t="shared" si="8"/>
        <v>604197.34000000008</v>
      </c>
    </row>
    <row r="39" spans="1:13" x14ac:dyDescent="0.2">
      <c r="A39" s="16">
        <f t="shared" si="0"/>
        <v>34</v>
      </c>
      <c r="B39" s="17">
        <v>44925</v>
      </c>
      <c r="C39" s="39">
        <f t="shared" ref="C39:C45" si="14">IF(B39="","",YEAR(B39))</f>
        <v>2022</v>
      </c>
      <c r="D39" s="18" t="s">
        <v>35</v>
      </c>
      <c r="E39" s="22" t="s">
        <v>71</v>
      </c>
      <c r="F39" s="37" t="s">
        <v>68</v>
      </c>
      <c r="G39" s="18" t="s">
        <v>155</v>
      </c>
      <c r="I39" s="21">
        <v>5739.48</v>
      </c>
      <c r="J39" s="19">
        <f t="shared" si="8"/>
        <v>609936.82000000007</v>
      </c>
      <c r="K39" s="54">
        <f>(I39+I40)/J36*12</f>
        <v>0.11375007859565757</v>
      </c>
    </row>
    <row r="40" spans="1:13" x14ac:dyDescent="0.2">
      <c r="A40" s="40">
        <f t="shared" si="0"/>
        <v>35</v>
      </c>
      <c r="B40" s="41">
        <v>44925</v>
      </c>
      <c r="C40" s="42">
        <f t="shared" si="14"/>
        <v>2022</v>
      </c>
      <c r="D40" s="43" t="s">
        <v>36</v>
      </c>
      <c r="E40" s="47" t="s">
        <v>70</v>
      </c>
      <c r="F40" s="46" t="s">
        <v>79</v>
      </c>
      <c r="G40" s="43" t="s">
        <v>93</v>
      </c>
      <c r="H40" s="43"/>
      <c r="I40" s="44">
        <v>-1.61</v>
      </c>
      <c r="J40" s="45">
        <f t="shared" si="2"/>
        <v>609935.21000000008</v>
      </c>
      <c r="K40" s="74"/>
    </row>
    <row r="41" spans="1:13" x14ac:dyDescent="0.2">
      <c r="A41" s="16">
        <f t="shared" si="0"/>
        <v>36</v>
      </c>
      <c r="B41" s="17">
        <v>44957</v>
      </c>
      <c r="C41" s="39">
        <f t="shared" si="14"/>
        <v>2023</v>
      </c>
      <c r="D41" s="18" t="s">
        <v>35</v>
      </c>
      <c r="E41" s="22" t="s">
        <v>71</v>
      </c>
      <c r="F41" s="37" t="s">
        <v>68</v>
      </c>
      <c r="G41" s="18" t="s">
        <v>155</v>
      </c>
      <c r="I41" s="21">
        <v>5802.12</v>
      </c>
      <c r="J41" s="19">
        <f t="shared" si="2"/>
        <v>615737.33000000007</v>
      </c>
      <c r="K41" s="54">
        <f>(I41)/J40*12</f>
        <v>0.11415219003342991</v>
      </c>
    </row>
    <row r="42" spans="1:13" x14ac:dyDescent="0.2">
      <c r="A42" s="16">
        <f t="shared" si="0"/>
        <v>37</v>
      </c>
      <c r="B42" s="17">
        <v>44958</v>
      </c>
      <c r="C42" s="39">
        <f t="shared" si="14"/>
        <v>2023</v>
      </c>
      <c r="D42" s="18" t="s">
        <v>33</v>
      </c>
      <c r="E42" s="18"/>
      <c r="F42" s="37" t="s">
        <v>38</v>
      </c>
      <c r="G42" s="18" t="s">
        <v>33</v>
      </c>
      <c r="H42" s="22" t="s">
        <v>41</v>
      </c>
      <c r="I42" s="21">
        <v>255040.77</v>
      </c>
      <c r="J42" s="19">
        <f t="shared" si="2"/>
        <v>870778.10000000009</v>
      </c>
    </row>
    <row r="43" spans="1:13" x14ac:dyDescent="0.2">
      <c r="A43" s="16">
        <f t="shared" si="0"/>
        <v>38</v>
      </c>
      <c r="B43" s="17">
        <v>44963</v>
      </c>
      <c r="C43" s="39">
        <f t="shared" si="14"/>
        <v>2023</v>
      </c>
      <c r="D43" s="18" t="s">
        <v>34</v>
      </c>
      <c r="E43" s="18"/>
      <c r="F43" s="37" t="s">
        <v>142</v>
      </c>
      <c r="G43" s="22" t="s">
        <v>77</v>
      </c>
      <c r="H43" s="22" t="s">
        <v>41</v>
      </c>
      <c r="I43" s="21">
        <v>-69</v>
      </c>
      <c r="J43" s="19">
        <f t="shared" si="2"/>
        <v>870709.10000000009</v>
      </c>
    </row>
    <row r="44" spans="1:13" x14ac:dyDescent="0.2">
      <c r="A44" s="16">
        <f t="shared" si="0"/>
        <v>39</v>
      </c>
      <c r="B44" s="17">
        <v>44985</v>
      </c>
      <c r="C44" s="39">
        <f t="shared" si="14"/>
        <v>2023</v>
      </c>
      <c r="D44" s="18" t="s">
        <v>35</v>
      </c>
      <c r="E44" s="22" t="s">
        <v>71</v>
      </c>
      <c r="F44" s="37" t="s">
        <v>68</v>
      </c>
      <c r="G44" s="18" t="s">
        <v>155</v>
      </c>
      <c r="I44" s="21">
        <v>6703</v>
      </c>
      <c r="J44" s="19">
        <f t="shared" si="2"/>
        <v>877412.10000000009</v>
      </c>
      <c r="K44" s="54">
        <f>(I44+I45)/J43*12</f>
        <v>9.2376018580717714E-2</v>
      </c>
    </row>
    <row r="45" spans="1:13" x14ac:dyDescent="0.2">
      <c r="A45" s="16">
        <f t="shared" si="0"/>
        <v>40</v>
      </c>
      <c r="B45" s="17">
        <v>44985</v>
      </c>
      <c r="C45" s="39">
        <f t="shared" si="14"/>
        <v>2023</v>
      </c>
      <c r="D45" s="18" t="s">
        <v>36</v>
      </c>
      <c r="E45" s="22" t="s">
        <v>70</v>
      </c>
      <c r="F45" s="37" t="s">
        <v>79</v>
      </c>
      <c r="G45" s="18" t="s">
        <v>93</v>
      </c>
      <c r="I45" s="21">
        <v>-0.28000000000000003</v>
      </c>
      <c r="J45" s="19">
        <f t="shared" si="2"/>
        <v>877411.82000000007</v>
      </c>
    </row>
    <row r="46" spans="1:13" x14ac:dyDescent="0.2">
      <c r="A46" s="16">
        <f t="shared" si="0"/>
        <v>41</v>
      </c>
      <c r="B46" s="17">
        <v>44991</v>
      </c>
      <c r="C46" s="39">
        <f t="shared" ref="C46:C48" si="15">IF(B46="","",YEAR(B46))</f>
        <v>2023</v>
      </c>
      <c r="D46" s="18" t="s">
        <v>34</v>
      </c>
      <c r="E46" s="18"/>
      <c r="F46" s="37" t="s">
        <v>142</v>
      </c>
      <c r="G46" s="22" t="s">
        <v>77</v>
      </c>
      <c r="H46" s="22" t="s">
        <v>41</v>
      </c>
      <c r="I46" s="21">
        <v>-69</v>
      </c>
      <c r="J46" s="19">
        <f t="shared" si="2"/>
        <v>877342.82000000007</v>
      </c>
      <c r="M46" s="4"/>
    </row>
    <row r="47" spans="1:13" x14ac:dyDescent="0.2">
      <c r="A47" s="16">
        <f t="shared" si="0"/>
        <v>42</v>
      </c>
      <c r="B47" s="17">
        <v>45016</v>
      </c>
      <c r="C47" s="39">
        <f t="shared" si="15"/>
        <v>2023</v>
      </c>
      <c r="D47" s="18" t="s">
        <v>35</v>
      </c>
      <c r="E47" s="22" t="s">
        <v>71</v>
      </c>
      <c r="F47" s="37" t="s">
        <v>68</v>
      </c>
      <c r="G47" s="18" t="s">
        <v>155</v>
      </c>
      <c r="I47" s="21">
        <v>8678.4500000000007</v>
      </c>
      <c r="J47" s="19">
        <f t="shared" si="2"/>
        <v>886021.27</v>
      </c>
      <c r="K47" s="54">
        <f>(I47+I48)/J46*12</f>
        <v>0.11869572261388087</v>
      </c>
      <c r="M47" s="4"/>
    </row>
    <row r="48" spans="1:13" x14ac:dyDescent="0.2">
      <c r="A48" s="16">
        <f t="shared" si="0"/>
        <v>43</v>
      </c>
      <c r="B48" s="17">
        <v>45016</v>
      </c>
      <c r="C48" s="39">
        <f t="shared" si="15"/>
        <v>2023</v>
      </c>
      <c r="D48" s="18" t="s">
        <v>36</v>
      </c>
      <c r="E48" s="22" t="s">
        <v>70</v>
      </c>
      <c r="F48" s="37" t="s">
        <v>79</v>
      </c>
      <c r="G48" s="18" t="s">
        <v>93</v>
      </c>
      <c r="I48" s="21">
        <v>-0.38</v>
      </c>
      <c r="J48" s="19">
        <f t="shared" si="2"/>
        <v>886020.89</v>
      </c>
      <c r="M48" s="4"/>
    </row>
    <row r="49" spans="1:13" x14ac:dyDescent="0.2">
      <c r="A49" s="16">
        <f t="shared" si="0"/>
        <v>44</v>
      </c>
      <c r="B49" s="17">
        <v>45022</v>
      </c>
      <c r="C49" s="39">
        <f t="shared" ref="C49:C51" si="16">IF(B49="","",YEAR(B49))</f>
        <v>2023</v>
      </c>
      <c r="D49" s="18" t="s">
        <v>34</v>
      </c>
      <c r="E49" s="18"/>
      <c r="F49" s="37" t="s">
        <v>142</v>
      </c>
      <c r="G49" s="22" t="s">
        <v>77</v>
      </c>
      <c r="H49" s="22" t="s">
        <v>41</v>
      </c>
      <c r="I49" s="21">
        <v>-69</v>
      </c>
      <c r="J49" s="19">
        <f t="shared" ref="J49:J51" si="17">IF(I49="",".",J48+I49)</f>
        <v>885951.89</v>
      </c>
      <c r="M49" s="4"/>
    </row>
    <row r="50" spans="1:13" x14ac:dyDescent="0.2">
      <c r="A50" s="16">
        <f t="shared" si="0"/>
        <v>45</v>
      </c>
      <c r="B50" s="17">
        <v>45046</v>
      </c>
      <c r="C50" s="39">
        <f t="shared" si="16"/>
        <v>2023</v>
      </c>
      <c r="D50" s="18" t="s">
        <v>35</v>
      </c>
      <c r="E50" s="22" t="s">
        <v>71</v>
      </c>
      <c r="F50" s="37" t="s">
        <v>68</v>
      </c>
      <c r="G50" s="18" t="s">
        <v>155</v>
      </c>
      <c r="I50" s="21">
        <v>6760.43</v>
      </c>
      <c r="J50" s="19">
        <f t="shared" si="17"/>
        <v>892712.32000000007</v>
      </c>
      <c r="K50" s="54">
        <f>(I50+I51)/J49*12</f>
        <v>9.156131491519251E-2</v>
      </c>
      <c r="M50" s="4"/>
    </row>
    <row r="51" spans="1:13" x14ac:dyDescent="0.2">
      <c r="A51" s="16">
        <f t="shared" si="0"/>
        <v>46</v>
      </c>
      <c r="B51" s="17">
        <v>45046</v>
      </c>
      <c r="C51" s="39">
        <f t="shared" si="16"/>
        <v>2023</v>
      </c>
      <c r="D51" s="18" t="s">
        <v>36</v>
      </c>
      <c r="E51" s="22" t="s">
        <v>70</v>
      </c>
      <c r="F51" s="37" t="s">
        <v>79</v>
      </c>
      <c r="G51" s="18" t="s">
        <v>93</v>
      </c>
      <c r="I51" s="21">
        <v>-0.52</v>
      </c>
      <c r="J51" s="19">
        <f t="shared" si="17"/>
        <v>892711.8</v>
      </c>
      <c r="M51" s="4"/>
    </row>
    <row r="52" spans="1:13" x14ac:dyDescent="0.2">
      <c r="A52" s="16">
        <f t="shared" si="0"/>
        <v>47</v>
      </c>
      <c r="B52" s="17">
        <v>45051</v>
      </c>
      <c r="C52" s="39">
        <f t="shared" ref="C52" si="18">IF(B52="","",YEAR(B52))</f>
        <v>2023</v>
      </c>
      <c r="D52" s="18" t="s">
        <v>34</v>
      </c>
      <c r="E52" s="18"/>
      <c r="F52" s="37" t="s">
        <v>142</v>
      </c>
      <c r="G52" s="22" t="s">
        <v>77</v>
      </c>
      <c r="H52" s="22" t="s">
        <v>41</v>
      </c>
      <c r="I52" s="21">
        <v>-69</v>
      </c>
      <c r="J52" s="19">
        <f t="shared" ref="J52" si="19">IF(I52="",".",J51+I52)</f>
        <v>892642.8</v>
      </c>
      <c r="M52" s="4"/>
    </row>
    <row r="53" spans="1:13" x14ac:dyDescent="0.2">
      <c r="A53" s="16">
        <f t="shared" si="0"/>
        <v>48</v>
      </c>
      <c r="B53" s="17">
        <v>45077</v>
      </c>
      <c r="C53" s="39">
        <f t="shared" ref="C53:C56" si="20">IF(B53="","",YEAR(B53))</f>
        <v>2023</v>
      </c>
      <c r="D53" s="18" t="s">
        <v>34</v>
      </c>
      <c r="E53" s="18"/>
      <c r="F53" t="s">
        <v>142</v>
      </c>
      <c r="G53" s="18" t="s">
        <v>144</v>
      </c>
      <c r="H53" s="22" t="s">
        <v>41</v>
      </c>
      <c r="I53" s="21">
        <v>-850</v>
      </c>
      <c r="J53" s="19">
        <f t="shared" ref="J53:J62" si="21">IF(I53="",".",J52+I53)</f>
        <v>891792.8</v>
      </c>
      <c r="M53" s="4"/>
    </row>
    <row r="54" spans="1:13" x14ac:dyDescent="0.2">
      <c r="A54" s="16">
        <f t="shared" si="0"/>
        <v>49</v>
      </c>
      <c r="B54" s="17">
        <v>45077</v>
      </c>
      <c r="C54" s="39">
        <f t="shared" si="20"/>
        <v>2023</v>
      </c>
      <c r="D54" s="18" t="s">
        <v>35</v>
      </c>
      <c r="E54" s="22" t="s">
        <v>71</v>
      </c>
      <c r="F54" s="37" t="s">
        <v>68</v>
      </c>
      <c r="G54" s="18" t="s">
        <v>155</v>
      </c>
      <c r="I54" s="21">
        <v>8579.24</v>
      </c>
      <c r="J54" s="19">
        <f t="shared" si="21"/>
        <v>900372.04</v>
      </c>
      <c r="K54" s="54">
        <f>(I54+I55)/J53*12</f>
        <v>1.7416153169211542E-3</v>
      </c>
      <c r="M54" s="4"/>
    </row>
    <row r="55" spans="1:13" x14ac:dyDescent="0.2">
      <c r="A55" s="16">
        <f t="shared" si="0"/>
        <v>50</v>
      </c>
      <c r="B55" s="17">
        <v>45077</v>
      </c>
      <c r="C55" s="39">
        <f t="shared" si="20"/>
        <v>2023</v>
      </c>
      <c r="D55" s="18" t="s">
        <v>36</v>
      </c>
      <c r="E55" s="22" t="s">
        <v>70</v>
      </c>
      <c r="F55" s="37" t="s">
        <v>79</v>
      </c>
      <c r="G55" s="18" t="s">
        <v>93</v>
      </c>
      <c r="I55" s="21">
        <v>-8449.81</v>
      </c>
      <c r="J55" s="19">
        <f t="shared" si="21"/>
        <v>891922.23</v>
      </c>
      <c r="M55" s="4"/>
    </row>
    <row r="56" spans="1:13" x14ac:dyDescent="0.2">
      <c r="A56" s="16">
        <f t="shared" si="0"/>
        <v>51</v>
      </c>
      <c r="B56" s="17">
        <v>45082</v>
      </c>
      <c r="C56" s="39">
        <f t="shared" si="20"/>
        <v>2023</v>
      </c>
      <c r="D56" s="18" t="s">
        <v>34</v>
      </c>
      <c r="E56" s="18"/>
      <c r="F56" s="37" t="s">
        <v>142</v>
      </c>
      <c r="G56" s="22" t="s">
        <v>77</v>
      </c>
      <c r="H56" s="22" t="s">
        <v>41</v>
      </c>
      <c r="I56" s="21">
        <v>-69</v>
      </c>
      <c r="J56" s="19">
        <f t="shared" si="21"/>
        <v>891853.23</v>
      </c>
      <c r="M56" s="4"/>
    </row>
    <row r="57" spans="1:13" x14ac:dyDescent="0.2">
      <c r="A57" s="16">
        <f t="shared" si="0"/>
        <v>52</v>
      </c>
      <c r="B57" s="17">
        <v>45107</v>
      </c>
      <c r="C57" s="39">
        <f t="shared" ref="C57:C60" si="22">IF(B57="","",YEAR(B57))</f>
        <v>2023</v>
      </c>
      <c r="D57" s="18" t="s">
        <v>35</v>
      </c>
      <c r="E57" s="22" t="s">
        <v>71</v>
      </c>
      <c r="F57" s="37" t="s">
        <v>68</v>
      </c>
      <c r="G57" s="18" t="s">
        <v>155</v>
      </c>
      <c r="I57" s="21">
        <v>8186.54</v>
      </c>
      <c r="J57" s="19">
        <f t="shared" si="21"/>
        <v>900039.77</v>
      </c>
      <c r="K57" s="54">
        <f>(I57+I58)/J56*12</f>
        <v>0.110150814837549</v>
      </c>
      <c r="M57" s="4"/>
    </row>
    <row r="58" spans="1:13" x14ac:dyDescent="0.2">
      <c r="A58" s="16">
        <f t="shared" si="0"/>
        <v>53</v>
      </c>
      <c r="B58" s="17">
        <v>45107</v>
      </c>
      <c r="C58" s="39">
        <f t="shared" si="22"/>
        <v>2023</v>
      </c>
      <c r="D58" s="18" t="s">
        <v>36</v>
      </c>
      <c r="E58" s="22" t="s">
        <v>70</v>
      </c>
      <c r="F58" s="37" t="s">
        <v>79</v>
      </c>
      <c r="G58" s="18" t="s">
        <v>93</v>
      </c>
      <c r="I58" s="21">
        <v>-0.01</v>
      </c>
      <c r="J58" s="19">
        <f t="shared" si="21"/>
        <v>900039.76</v>
      </c>
      <c r="M58" s="4"/>
    </row>
    <row r="59" spans="1:13" x14ac:dyDescent="0.2">
      <c r="A59" s="16">
        <f t="shared" si="0"/>
        <v>54</v>
      </c>
      <c r="B59" s="17">
        <v>45112</v>
      </c>
      <c r="C59" s="39">
        <f t="shared" si="22"/>
        <v>2023</v>
      </c>
      <c r="D59" s="18" t="s">
        <v>34</v>
      </c>
      <c r="E59" s="18"/>
      <c r="F59" s="37" t="s">
        <v>142</v>
      </c>
      <c r="G59" s="22" t="s">
        <v>77</v>
      </c>
      <c r="H59" s="22" t="s">
        <v>41</v>
      </c>
      <c r="I59" s="21">
        <v>-69</v>
      </c>
      <c r="J59" s="19">
        <f t="shared" si="21"/>
        <v>899970.76</v>
      </c>
      <c r="M59" s="4"/>
    </row>
    <row r="60" spans="1:13" x14ac:dyDescent="0.2">
      <c r="A60" s="16">
        <f t="shared" si="0"/>
        <v>55</v>
      </c>
      <c r="B60" s="17">
        <v>45124</v>
      </c>
      <c r="C60" s="39">
        <f t="shared" si="22"/>
        <v>2023</v>
      </c>
      <c r="D60" s="18" t="s">
        <v>34</v>
      </c>
      <c r="E60" s="18"/>
      <c r="F60" t="s">
        <v>142</v>
      </c>
      <c r="G60" s="18" t="s">
        <v>144</v>
      </c>
      <c r="H60" s="22" t="s">
        <v>41</v>
      </c>
      <c r="I60" s="21">
        <v>-1200</v>
      </c>
      <c r="J60" s="19">
        <f t="shared" si="21"/>
        <v>898770.76</v>
      </c>
      <c r="M60" s="4"/>
    </row>
    <row r="61" spans="1:13" x14ac:dyDescent="0.2">
      <c r="A61" s="16">
        <f t="shared" si="0"/>
        <v>56</v>
      </c>
      <c r="B61" s="17">
        <v>45138</v>
      </c>
      <c r="C61" s="39">
        <f t="shared" ref="C61:C63" si="23">IF(B61="","",YEAR(B61))</f>
        <v>2023</v>
      </c>
      <c r="D61" s="18" t="s">
        <v>35</v>
      </c>
      <c r="E61" s="22" t="s">
        <v>71</v>
      </c>
      <c r="F61" s="37" t="s">
        <v>68</v>
      </c>
      <c r="G61" s="18" t="s">
        <v>155</v>
      </c>
      <c r="I61" s="21">
        <v>8120.11</v>
      </c>
      <c r="J61" s="19">
        <f t="shared" si="21"/>
        <v>906890.87</v>
      </c>
      <c r="K61" s="54">
        <f>(I61+I62)/J60*12</f>
        <v>0.10837041472065689</v>
      </c>
      <c r="M61" s="4"/>
    </row>
    <row r="62" spans="1:13" x14ac:dyDescent="0.2">
      <c r="A62" s="16">
        <f t="shared" si="0"/>
        <v>57</v>
      </c>
      <c r="B62" s="17">
        <v>45138</v>
      </c>
      <c r="C62" s="39">
        <f t="shared" si="23"/>
        <v>2023</v>
      </c>
      <c r="D62" s="18" t="s">
        <v>36</v>
      </c>
      <c r="E62" s="22" t="s">
        <v>70</v>
      </c>
      <c r="F62" s="37" t="s">
        <v>79</v>
      </c>
      <c r="G62" s="18" t="s">
        <v>93</v>
      </c>
      <c r="I62" s="21">
        <v>-3.43</v>
      </c>
      <c r="J62" s="19">
        <f t="shared" si="21"/>
        <v>906887.44</v>
      </c>
      <c r="M62" s="4"/>
    </row>
    <row r="63" spans="1:13" x14ac:dyDescent="0.2">
      <c r="A63" s="16">
        <f t="shared" si="0"/>
        <v>58</v>
      </c>
      <c r="B63" s="17">
        <v>45145</v>
      </c>
      <c r="C63" s="39">
        <f t="shared" si="23"/>
        <v>2023</v>
      </c>
      <c r="D63" s="18" t="s">
        <v>34</v>
      </c>
      <c r="E63" s="18"/>
      <c r="F63" s="37" t="s">
        <v>142</v>
      </c>
      <c r="G63" s="22" t="s">
        <v>77</v>
      </c>
      <c r="H63" s="22" t="s">
        <v>41</v>
      </c>
      <c r="I63" s="21">
        <v>-69</v>
      </c>
      <c r="J63" s="19">
        <f t="shared" ref="J63:J65" si="24">IF(I63="",".",J62+I63)</f>
        <v>906818.44</v>
      </c>
      <c r="M63" s="4"/>
    </row>
    <row r="64" spans="1:13" x14ac:dyDescent="0.2">
      <c r="A64" s="16">
        <f t="shared" si="0"/>
        <v>59</v>
      </c>
      <c r="B64" s="17">
        <v>45169</v>
      </c>
      <c r="C64" s="39">
        <f t="shared" ref="C64:C66" si="25">IF(B64="","",YEAR(B64))</f>
        <v>2023</v>
      </c>
      <c r="D64" s="18" t="s">
        <v>35</v>
      </c>
      <c r="E64" s="22" t="s">
        <v>71</v>
      </c>
      <c r="F64" s="37" t="s">
        <v>68</v>
      </c>
      <c r="G64" s="18" t="s">
        <v>155</v>
      </c>
      <c r="I64" s="21">
        <v>8757.9699999999993</v>
      </c>
      <c r="J64" s="19">
        <f t="shared" si="24"/>
        <v>915576.40999999992</v>
      </c>
      <c r="K64" s="54">
        <f>(I64+I65)/J63*12</f>
        <v>0.11589133542542429</v>
      </c>
      <c r="M64" s="4"/>
    </row>
    <row r="65" spans="1:14" x14ac:dyDescent="0.2">
      <c r="A65" s="16">
        <f t="shared" si="0"/>
        <v>60</v>
      </c>
      <c r="B65" s="17">
        <v>45169</v>
      </c>
      <c r="C65" s="39">
        <f t="shared" si="25"/>
        <v>2023</v>
      </c>
      <c r="D65" s="18" t="s">
        <v>36</v>
      </c>
      <c r="E65" s="22" t="s">
        <v>70</v>
      </c>
      <c r="F65" s="37" t="s">
        <v>79</v>
      </c>
      <c r="G65" s="18" t="s">
        <v>93</v>
      </c>
      <c r="I65" s="21">
        <v>-0.27</v>
      </c>
      <c r="J65" s="19">
        <f t="shared" si="24"/>
        <v>915576.1399999999</v>
      </c>
      <c r="M65" s="4"/>
    </row>
    <row r="66" spans="1:14" x14ac:dyDescent="0.2">
      <c r="A66" s="16">
        <f t="shared" si="0"/>
        <v>61</v>
      </c>
      <c r="B66" s="17">
        <v>45174</v>
      </c>
      <c r="C66" s="39">
        <f t="shared" si="25"/>
        <v>2023</v>
      </c>
      <c r="D66" s="18" t="s">
        <v>34</v>
      </c>
      <c r="E66" s="18"/>
      <c r="F66" s="37" t="s">
        <v>142</v>
      </c>
      <c r="G66" s="22" t="s">
        <v>77</v>
      </c>
      <c r="H66" s="22" t="s">
        <v>41</v>
      </c>
      <c r="I66" s="21">
        <v>-69</v>
      </c>
      <c r="J66" s="19">
        <f t="shared" ref="J66:J80" si="26">IF(I66="",".",J65+I66)</f>
        <v>915507.1399999999</v>
      </c>
      <c r="M66" s="4"/>
    </row>
    <row r="67" spans="1:14" x14ac:dyDescent="0.2">
      <c r="A67" s="16">
        <f t="shared" si="0"/>
        <v>62</v>
      </c>
      <c r="B67" s="17">
        <v>45199</v>
      </c>
      <c r="C67" s="39">
        <f t="shared" ref="C67:C72" si="27">IF(B67="","",YEAR(B67))</f>
        <v>2023</v>
      </c>
      <c r="D67" s="18" t="s">
        <v>35</v>
      </c>
      <c r="E67" s="22" t="s">
        <v>71</v>
      </c>
      <c r="F67" s="37" t="s">
        <v>68</v>
      </c>
      <c r="G67" s="18" t="s">
        <v>155</v>
      </c>
      <c r="I67" s="21">
        <v>7511.27</v>
      </c>
      <c r="J67" s="19">
        <f t="shared" si="26"/>
        <v>923018.40999999992</v>
      </c>
      <c r="K67" s="54">
        <f>(I67+I68)/J66*12</f>
        <v>9.8448778892101296E-2</v>
      </c>
      <c r="M67" s="4"/>
    </row>
    <row r="68" spans="1:14" x14ac:dyDescent="0.2">
      <c r="A68" s="16">
        <f t="shared" si="0"/>
        <v>63</v>
      </c>
      <c r="B68" s="17">
        <v>45199</v>
      </c>
      <c r="C68" s="39">
        <f t="shared" si="27"/>
        <v>2023</v>
      </c>
      <c r="D68" s="18" t="s">
        <v>36</v>
      </c>
      <c r="E68" s="22" t="s">
        <v>70</v>
      </c>
      <c r="F68" s="37" t="s">
        <v>79</v>
      </c>
      <c r="G68" s="18" t="s">
        <v>93</v>
      </c>
      <c r="I68" s="21">
        <v>-0.39</v>
      </c>
      <c r="J68" s="19">
        <f t="shared" si="26"/>
        <v>923018.0199999999</v>
      </c>
      <c r="M68" s="4"/>
    </row>
    <row r="69" spans="1:14" x14ac:dyDescent="0.2">
      <c r="A69" s="16">
        <f t="shared" si="0"/>
        <v>64</v>
      </c>
      <c r="B69" s="17">
        <v>45204</v>
      </c>
      <c r="C69" s="39">
        <f t="shared" ref="C69:C71" si="28">IF(B69="","",YEAR(B69))</f>
        <v>2023</v>
      </c>
      <c r="D69" s="18" t="s">
        <v>34</v>
      </c>
      <c r="E69" s="18"/>
      <c r="F69" s="37" t="s">
        <v>142</v>
      </c>
      <c r="G69" s="22" t="s">
        <v>77</v>
      </c>
      <c r="H69" s="22" t="s">
        <v>41</v>
      </c>
      <c r="I69" s="21">
        <v>-69</v>
      </c>
      <c r="J69" s="19">
        <f t="shared" si="26"/>
        <v>922949.0199999999</v>
      </c>
      <c r="M69" s="4"/>
    </row>
    <row r="70" spans="1:14" x14ac:dyDescent="0.2">
      <c r="A70" s="16">
        <f t="shared" si="0"/>
        <v>65</v>
      </c>
      <c r="B70" s="17">
        <v>45230</v>
      </c>
      <c r="C70" s="39">
        <f t="shared" si="28"/>
        <v>2023</v>
      </c>
      <c r="D70" s="18" t="s">
        <v>35</v>
      </c>
      <c r="E70" s="22" t="s">
        <v>71</v>
      </c>
      <c r="F70" s="37" t="s">
        <v>68</v>
      </c>
      <c r="G70" s="18" t="s">
        <v>155</v>
      </c>
      <c r="I70" s="21">
        <v>7588.9</v>
      </c>
      <c r="J70" s="19">
        <f t="shared" si="26"/>
        <v>930537.91999999993</v>
      </c>
      <c r="K70" s="54">
        <f>(I70+I71)/J69*12</f>
        <v>9.8662740873813382E-2</v>
      </c>
      <c r="M70" s="4"/>
    </row>
    <row r="71" spans="1:14" x14ac:dyDescent="0.2">
      <c r="A71" s="16">
        <f t="shared" si="0"/>
        <v>66</v>
      </c>
      <c r="B71" s="17">
        <v>45230</v>
      </c>
      <c r="C71" s="39">
        <f t="shared" si="28"/>
        <v>2023</v>
      </c>
      <c r="D71" s="18" t="s">
        <v>36</v>
      </c>
      <c r="E71" s="22" t="s">
        <v>70</v>
      </c>
      <c r="F71" s="37" t="s">
        <v>79</v>
      </c>
      <c r="G71" s="18" t="s">
        <v>93</v>
      </c>
      <c r="I71" s="21">
        <v>-0.51</v>
      </c>
      <c r="J71" s="19">
        <f t="shared" si="26"/>
        <v>930537.40999999992</v>
      </c>
      <c r="M71" s="4"/>
    </row>
    <row r="72" spans="1:14" x14ac:dyDescent="0.2">
      <c r="A72" s="16">
        <f t="shared" si="0"/>
        <v>67</v>
      </c>
      <c r="B72" s="17">
        <v>45236</v>
      </c>
      <c r="C72" s="39">
        <f t="shared" si="27"/>
        <v>2023</v>
      </c>
      <c r="D72" s="18" t="s">
        <v>34</v>
      </c>
      <c r="E72" s="18"/>
      <c r="F72" s="37" t="s">
        <v>142</v>
      </c>
      <c r="G72" s="22" t="s">
        <v>77</v>
      </c>
      <c r="H72" s="22" t="s">
        <v>41</v>
      </c>
      <c r="I72" s="21">
        <v>-69</v>
      </c>
      <c r="J72" s="19">
        <f t="shared" si="26"/>
        <v>930468.40999999992</v>
      </c>
      <c r="M72" s="4"/>
    </row>
    <row r="73" spans="1:14" x14ac:dyDescent="0.2">
      <c r="A73" s="16">
        <f t="shared" si="0"/>
        <v>68</v>
      </c>
      <c r="B73" s="17">
        <v>45260</v>
      </c>
      <c r="C73" s="39">
        <f t="shared" ref="C73:C75" si="29">IF(B73="","",YEAR(B73))</f>
        <v>2023</v>
      </c>
      <c r="D73" s="18" t="s">
        <v>35</v>
      </c>
      <c r="E73" s="22" t="s">
        <v>71</v>
      </c>
      <c r="F73" s="37" t="s">
        <v>68</v>
      </c>
      <c r="G73" s="18" t="s">
        <v>155</v>
      </c>
      <c r="I73" s="21">
        <v>7053.29</v>
      </c>
      <c r="J73" s="19">
        <f t="shared" si="26"/>
        <v>937521.7</v>
      </c>
      <c r="K73" s="75">
        <f>(I73+I74)/J72*12</f>
        <v>-3.0767471192278302E-2</v>
      </c>
      <c r="M73" s="4"/>
    </row>
    <row r="74" spans="1:14" x14ac:dyDescent="0.2">
      <c r="A74" s="16">
        <f t="shared" si="0"/>
        <v>69</v>
      </c>
      <c r="B74" s="17">
        <v>45260</v>
      </c>
      <c r="C74" s="39">
        <f t="shared" si="29"/>
        <v>2023</v>
      </c>
      <c r="D74" s="18" t="s">
        <v>36</v>
      </c>
      <c r="E74" s="22" t="s">
        <v>70</v>
      </c>
      <c r="F74" s="37" t="s">
        <v>79</v>
      </c>
      <c r="G74" s="18" t="s">
        <v>93</v>
      </c>
      <c r="I74" s="21">
        <v>-9438.9699999999993</v>
      </c>
      <c r="J74" s="19">
        <f t="shared" si="26"/>
        <v>928082.73</v>
      </c>
      <c r="M74" s="4"/>
    </row>
    <row r="75" spans="1:14" x14ac:dyDescent="0.2">
      <c r="A75" s="16">
        <f t="shared" si="0"/>
        <v>70</v>
      </c>
      <c r="B75" s="17">
        <v>45265</v>
      </c>
      <c r="C75" s="39">
        <f t="shared" si="29"/>
        <v>2023</v>
      </c>
      <c r="D75" s="18" t="s">
        <v>34</v>
      </c>
      <c r="E75" s="18"/>
      <c r="F75" s="37" t="s">
        <v>142</v>
      </c>
      <c r="G75" s="22" t="s">
        <v>77</v>
      </c>
      <c r="H75" s="22" t="s">
        <v>41</v>
      </c>
      <c r="I75" s="21">
        <v>-72</v>
      </c>
      <c r="J75" s="19">
        <f t="shared" si="26"/>
        <v>928010.73</v>
      </c>
      <c r="M75" s="4"/>
    </row>
    <row r="76" spans="1:14" x14ac:dyDescent="0.2">
      <c r="A76" s="16">
        <f t="shared" ref="A76:A142" si="30">A75+1</f>
        <v>71</v>
      </c>
      <c r="B76" s="17">
        <v>45291</v>
      </c>
      <c r="C76" s="39">
        <f t="shared" ref="C76:C78" si="31">IF(B76="","",YEAR(B76))</f>
        <v>2023</v>
      </c>
      <c r="D76" s="18" t="s">
        <v>35</v>
      </c>
      <c r="E76" s="22" t="s">
        <v>71</v>
      </c>
      <c r="F76" s="37" t="s">
        <v>68</v>
      </c>
      <c r="G76" s="18" t="s">
        <v>155</v>
      </c>
      <c r="I76" s="21">
        <v>6908.87</v>
      </c>
      <c r="J76" s="19">
        <f t="shared" si="26"/>
        <v>934919.6</v>
      </c>
      <c r="K76" s="54">
        <f>(I76+I77)/J74*12</f>
        <v>8.9330743176311456E-2</v>
      </c>
      <c r="L76" s="108">
        <f>(J42+J44+J47+J50+J54+J57+J61+J64+J61+J61+J67+J70+J73+J76)/12</f>
        <v>1057465.1874999998</v>
      </c>
      <c r="M76" s="108">
        <f>('Resumo BB INV'!F30+'Resumo BB INV'!G30)/12</f>
        <v>6062.9674999999988</v>
      </c>
      <c r="N76" s="109">
        <f>(M76/L76)*12</f>
        <v>6.8801896138070265E-2</v>
      </c>
    </row>
    <row r="77" spans="1:14" x14ac:dyDescent="0.2">
      <c r="A77" s="40">
        <f t="shared" si="30"/>
        <v>72</v>
      </c>
      <c r="B77" s="41">
        <v>45291</v>
      </c>
      <c r="C77" s="42">
        <f t="shared" si="31"/>
        <v>2023</v>
      </c>
      <c r="D77" s="43" t="s">
        <v>36</v>
      </c>
      <c r="E77" s="47" t="s">
        <v>70</v>
      </c>
      <c r="F77" s="46" t="s">
        <v>79</v>
      </c>
      <c r="G77" s="43" t="s">
        <v>93</v>
      </c>
      <c r="H77" s="43"/>
      <c r="I77" s="44">
        <v>-0.01</v>
      </c>
      <c r="J77" s="45">
        <f t="shared" si="26"/>
        <v>934919.59</v>
      </c>
      <c r="L77" s="110" t="s">
        <v>132</v>
      </c>
      <c r="M77" s="110" t="s">
        <v>130</v>
      </c>
      <c r="N77" s="110" t="s">
        <v>131</v>
      </c>
    </row>
    <row r="78" spans="1:14" x14ac:dyDescent="0.2">
      <c r="A78" s="16">
        <f t="shared" si="30"/>
        <v>73</v>
      </c>
      <c r="B78" s="17">
        <v>45296</v>
      </c>
      <c r="C78" s="39">
        <f t="shared" si="31"/>
        <v>2024</v>
      </c>
      <c r="D78" s="18" t="s">
        <v>34</v>
      </c>
      <c r="E78" s="18"/>
      <c r="F78" s="37" t="s">
        <v>142</v>
      </c>
      <c r="G78" s="22" t="s">
        <v>77</v>
      </c>
      <c r="H78" s="22" t="s">
        <v>41</v>
      </c>
      <c r="I78" s="21">
        <v>-72</v>
      </c>
      <c r="J78" s="19">
        <f t="shared" si="26"/>
        <v>934847.59</v>
      </c>
      <c r="M78" s="4"/>
    </row>
    <row r="79" spans="1:14" x14ac:dyDescent="0.2">
      <c r="A79" s="16">
        <f t="shared" si="30"/>
        <v>74</v>
      </c>
      <c r="B79" s="17">
        <v>45322</v>
      </c>
      <c r="C79" s="39">
        <f t="shared" ref="C79:C80" si="32">IF(B79="","",YEAR(B79))</f>
        <v>2024</v>
      </c>
      <c r="D79" s="18" t="s">
        <v>35</v>
      </c>
      <c r="E79" s="22" t="s">
        <v>71</v>
      </c>
      <c r="F79" s="37" t="s">
        <v>68</v>
      </c>
      <c r="G79" s="18" t="s">
        <v>155</v>
      </c>
      <c r="I79" s="21">
        <v>7451.07</v>
      </c>
      <c r="J79" s="19">
        <f t="shared" si="26"/>
        <v>942298.65999999992</v>
      </c>
      <c r="K79" s="54">
        <f>(I79+I80)/J77*12</f>
        <v>9.5635390418977118E-2</v>
      </c>
      <c r="M79" s="4"/>
    </row>
    <row r="80" spans="1:14" x14ac:dyDescent="0.2">
      <c r="A80" s="16">
        <f t="shared" si="30"/>
        <v>75</v>
      </c>
      <c r="B80" s="17">
        <v>45322</v>
      </c>
      <c r="C80" s="39">
        <f t="shared" si="32"/>
        <v>2024</v>
      </c>
      <c r="D80" s="18" t="s">
        <v>36</v>
      </c>
      <c r="E80" s="22" t="s">
        <v>70</v>
      </c>
      <c r="F80" s="37" t="s">
        <v>79</v>
      </c>
      <c r="G80" s="18" t="s">
        <v>93</v>
      </c>
      <c r="I80" s="21">
        <v>-0.12</v>
      </c>
      <c r="J80" s="19">
        <f t="shared" si="26"/>
        <v>942298.53999999992</v>
      </c>
      <c r="M80" s="4"/>
    </row>
    <row r="81" spans="1:13" x14ac:dyDescent="0.2">
      <c r="A81" s="16">
        <f t="shared" si="30"/>
        <v>76</v>
      </c>
      <c r="B81" s="17">
        <v>45351</v>
      </c>
      <c r="C81" s="39">
        <f t="shared" ref="C81:C82" si="33">IF(B81="","",YEAR(B81))</f>
        <v>2024</v>
      </c>
      <c r="D81" s="18" t="s">
        <v>35</v>
      </c>
      <c r="E81" s="22" t="s">
        <v>71</v>
      </c>
      <c r="F81" s="37" t="s">
        <v>68</v>
      </c>
      <c r="G81" s="18" t="s">
        <v>155</v>
      </c>
      <c r="I81" s="21">
        <v>6186.6</v>
      </c>
      <c r="J81" s="19">
        <f t="shared" ref="J81:J82" si="34">IF(I81="",".",J80+I81)</f>
        <v>948485.1399999999</v>
      </c>
      <c r="K81" s="54">
        <f>(I81+I82)/J79*12</f>
        <v>7.8785212323235196E-2</v>
      </c>
      <c r="M81" s="4"/>
    </row>
    <row r="82" spans="1:13" x14ac:dyDescent="0.2">
      <c r="A82" s="16">
        <f t="shared" si="30"/>
        <v>77</v>
      </c>
      <c r="B82" s="17">
        <v>45351</v>
      </c>
      <c r="C82" s="39">
        <f t="shared" si="33"/>
        <v>2024</v>
      </c>
      <c r="D82" s="18" t="s">
        <v>36</v>
      </c>
      <c r="E82" s="22" t="s">
        <v>70</v>
      </c>
      <c r="F82" s="37" t="s">
        <v>79</v>
      </c>
      <c r="G82" s="18" t="s">
        <v>93</v>
      </c>
      <c r="I82" s="21">
        <v>0</v>
      </c>
      <c r="J82" s="19">
        <f t="shared" si="34"/>
        <v>948485.1399999999</v>
      </c>
      <c r="M82" s="4"/>
    </row>
    <row r="83" spans="1:13" x14ac:dyDescent="0.2">
      <c r="A83" s="16">
        <f t="shared" si="30"/>
        <v>78</v>
      </c>
      <c r="B83" s="17">
        <v>45382</v>
      </c>
      <c r="C83" s="39">
        <f t="shared" ref="C83:C88" si="35">IF(B83="","",YEAR(B83))</f>
        <v>2024</v>
      </c>
      <c r="D83" s="18" t="s">
        <v>35</v>
      </c>
      <c r="E83" s="22" t="s">
        <v>71</v>
      </c>
      <c r="F83" s="37" t="s">
        <v>68</v>
      </c>
      <c r="G83" s="18" t="s">
        <v>155</v>
      </c>
      <c r="I83" s="21">
        <v>6441.49</v>
      </c>
      <c r="J83" s="19">
        <f t="shared" ref="J83:J88" si="36">IF(I83="",".",J82+I83)</f>
        <v>954926.62999999989</v>
      </c>
      <c r="K83" s="54">
        <f>(I83+I84)/J81*12</f>
        <v>8.1496142364444427E-2</v>
      </c>
      <c r="M83" s="4"/>
    </row>
    <row r="84" spans="1:13" x14ac:dyDescent="0.2">
      <c r="A84" s="16">
        <f t="shared" si="30"/>
        <v>79</v>
      </c>
      <c r="B84" s="17">
        <v>45382</v>
      </c>
      <c r="C84" s="39">
        <f t="shared" si="35"/>
        <v>2024</v>
      </c>
      <c r="D84" s="18" t="s">
        <v>36</v>
      </c>
      <c r="E84" s="22" t="s">
        <v>70</v>
      </c>
      <c r="F84" s="37" t="s">
        <v>79</v>
      </c>
      <c r="G84" s="18" t="s">
        <v>93</v>
      </c>
      <c r="I84" s="21">
        <v>0</v>
      </c>
      <c r="J84" s="19">
        <f t="shared" si="36"/>
        <v>954926.62999999989</v>
      </c>
    </row>
    <row r="85" spans="1:13" x14ac:dyDescent="0.2">
      <c r="A85" s="16">
        <f t="shared" si="30"/>
        <v>80</v>
      </c>
      <c r="B85" s="17">
        <v>45385</v>
      </c>
      <c r="C85" s="39">
        <f t="shared" si="35"/>
        <v>2024</v>
      </c>
      <c r="D85" s="18" t="s">
        <v>34</v>
      </c>
      <c r="E85" s="18"/>
      <c r="F85" t="s">
        <v>142</v>
      </c>
      <c r="G85" s="18" t="s">
        <v>144</v>
      </c>
      <c r="H85" s="22" t="s">
        <v>41</v>
      </c>
      <c r="I85" s="21">
        <v>-817.6</v>
      </c>
      <c r="J85" s="19">
        <f t="shared" si="36"/>
        <v>954109.02999999991</v>
      </c>
      <c r="M85" s="4"/>
    </row>
    <row r="86" spans="1:13" x14ac:dyDescent="0.2">
      <c r="A86" s="16">
        <f t="shared" si="30"/>
        <v>81</v>
      </c>
      <c r="B86" s="17">
        <v>45387</v>
      </c>
      <c r="C86" s="39">
        <f t="shared" si="35"/>
        <v>2024</v>
      </c>
      <c r="D86" s="18" t="s">
        <v>34</v>
      </c>
      <c r="E86" s="18"/>
      <c r="F86" s="37" t="s">
        <v>142</v>
      </c>
      <c r="G86" s="22" t="s">
        <v>77</v>
      </c>
      <c r="H86" s="22" t="s">
        <v>41</v>
      </c>
      <c r="I86" s="21">
        <v>-72</v>
      </c>
      <c r="J86" s="19">
        <f t="shared" si="36"/>
        <v>954037.02999999991</v>
      </c>
      <c r="M86" s="4"/>
    </row>
    <row r="87" spans="1:13" x14ac:dyDescent="0.2">
      <c r="A87" s="16">
        <f t="shared" si="30"/>
        <v>82</v>
      </c>
      <c r="B87" s="17">
        <v>45412</v>
      </c>
      <c r="C87" s="39">
        <f t="shared" si="35"/>
        <v>2024</v>
      </c>
      <c r="D87" s="18" t="s">
        <v>35</v>
      </c>
      <c r="E87" s="22" t="s">
        <v>71</v>
      </c>
      <c r="F87" s="37" t="s">
        <v>68</v>
      </c>
      <c r="G87" s="18" t="s">
        <v>155</v>
      </c>
      <c r="I87" s="21">
        <v>6826.21</v>
      </c>
      <c r="J87" s="19">
        <f t="shared" si="36"/>
        <v>960863.23999999987</v>
      </c>
      <c r="K87" s="54">
        <f>(I87+I88)/J86*12</f>
        <v>8.5795160382820798E-2</v>
      </c>
      <c r="M87" s="4"/>
    </row>
    <row r="88" spans="1:13" x14ac:dyDescent="0.2">
      <c r="A88" s="16">
        <f t="shared" si="30"/>
        <v>83</v>
      </c>
      <c r="B88" s="17">
        <v>45412</v>
      </c>
      <c r="C88" s="39">
        <f t="shared" si="35"/>
        <v>2024</v>
      </c>
      <c r="D88" s="18" t="s">
        <v>36</v>
      </c>
      <c r="E88" s="22" t="s">
        <v>70</v>
      </c>
      <c r="F88" s="37" t="s">
        <v>79</v>
      </c>
      <c r="G88" s="18" t="s">
        <v>93</v>
      </c>
      <c r="I88" s="21">
        <v>-5.23</v>
      </c>
      <c r="J88" s="19">
        <f t="shared" si="36"/>
        <v>960858.00999999989</v>
      </c>
      <c r="M88" s="4"/>
    </row>
    <row r="89" spans="1:13" x14ac:dyDescent="0.2">
      <c r="A89" s="16">
        <f t="shared" si="30"/>
        <v>84</v>
      </c>
      <c r="B89" s="17">
        <v>45418</v>
      </c>
      <c r="C89" s="39">
        <f t="shared" ref="C89" si="37">IF(B89="","",YEAR(B89))</f>
        <v>2024</v>
      </c>
      <c r="D89" s="18" t="s">
        <v>34</v>
      </c>
      <c r="E89" s="18"/>
      <c r="F89" s="37" t="s">
        <v>142</v>
      </c>
      <c r="G89" s="22" t="s">
        <v>77</v>
      </c>
      <c r="H89" s="22" t="s">
        <v>41</v>
      </c>
      <c r="I89" s="21">
        <v>-72</v>
      </c>
      <c r="J89" s="19">
        <f t="shared" ref="J89" si="38">IF(I89="",".",J88+I89)</f>
        <v>960786.00999999989</v>
      </c>
      <c r="M89" s="4"/>
    </row>
    <row r="90" spans="1:13" x14ac:dyDescent="0.2">
      <c r="A90" s="16">
        <f t="shared" si="30"/>
        <v>85</v>
      </c>
      <c r="B90" s="17">
        <v>45441</v>
      </c>
      <c r="C90" s="39">
        <f t="shared" ref="C90:C93" si="39">IF(B90="","",YEAR(B90))</f>
        <v>2024</v>
      </c>
      <c r="D90" s="18" t="s">
        <v>34</v>
      </c>
      <c r="E90" s="18"/>
      <c r="F90" s="37" t="s">
        <v>142</v>
      </c>
      <c r="G90" s="22" t="s">
        <v>77</v>
      </c>
      <c r="H90" s="22" t="s">
        <v>41</v>
      </c>
      <c r="I90" s="21">
        <v>-1049.08</v>
      </c>
      <c r="J90" s="19">
        <f t="shared" ref="J90:J113" si="40">IF(I90="",".",J89+I90)</f>
        <v>959736.92999999993</v>
      </c>
      <c r="M90" s="4"/>
    </row>
    <row r="91" spans="1:13" x14ac:dyDescent="0.2">
      <c r="A91" s="16">
        <f t="shared" si="30"/>
        <v>86</v>
      </c>
      <c r="B91" s="17">
        <v>45443</v>
      </c>
      <c r="C91" s="39">
        <f t="shared" si="39"/>
        <v>2024</v>
      </c>
      <c r="D91" s="18" t="s">
        <v>35</v>
      </c>
      <c r="E91" s="22" t="s">
        <v>71</v>
      </c>
      <c r="F91" s="37" t="s">
        <v>68</v>
      </c>
      <c r="G91" s="18" t="s">
        <v>155</v>
      </c>
      <c r="I91" s="21">
        <v>6405.87</v>
      </c>
      <c r="J91" s="19">
        <f t="shared" si="40"/>
        <v>966142.79999999993</v>
      </c>
      <c r="K91" s="75">
        <f>(I91+I92)/J90*12</f>
        <v>-1.9671640644275304E-2</v>
      </c>
      <c r="M91" s="4"/>
    </row>
    <row r="92" spans="1:13" x14ac:dyDescent="0.2">
      <c r="A92" s="16">
        <f t="shared" si="30"/>
        <v>87</v>
      </c>
      <c r="B92" s="17">
        <v>45443</v>
      </c>
      <c r="C92" s="39">
        <f t="shared" si="39"/>
        <v>2024</v>
      </c>
      <c r="D92" s="18" t="s">
        <v>36</v>
      </c>
      <c r="E92" s="22" t="s">
        <v>70</v>
      </c>
      <c r="F92" s="37" t="s">
        <v>79</v>
      </c>
      <c r="G92" s="18" t="s">
        <v>93</v>
      </c>
      <c r="I92" s="21">
        <v>-7979.17</v>
      </c>
      <c r="J92" s="19">
        <f t="shared" si="40"/>
        <v>958163.62999999989</v>
      </c>
      <c r="M92" s="4"/>
    </row>
    <row r="93" spans="1:13" x14ac:dyDescent="0.2">
      <c r="A93" s="16">
        <f t="shared" si="30"/>
        <v>88</v>
      </c>
      <c r="B93" s="17">
        <v>45448</v>
      </c>
      <c r="C93" s="39">
        <f t="shared" si="39"/>
        <v>2024</v>
      </c>
      <c r="D93" s="18" t="s">
        <v>34</v>
      </c>
      <c r="E93" s="18"/>
      <c r="F93" s="37" t="s">
        <v>142</v>
      </c>
      <c r="G93" s="22" t="s">
        <v>77</v>
      </c>
      <c r="H93" s="22" t="s">
        <v>41</v>
      </c>
      <c r="I93" s="21">
        <v>-72</v>
      </c>
      <c r="J93" s="19">
        <f t="shared" si="40"/>
        <v>958091.62999999989</v>
      </c>
      <c r="M93" s="4"/>
    </row>
    <row r="94" spans="1:13" x14ac:dyDescent="0.2">
      <c r="A94" s="16">
        <f t="shared" si="30"/>
        <v>89</v>
      </c>
      <c r="B94" s="17">
        <v>45471</v>
      </c>
      <c r="C94" s="39">
        <f t="shared" ref="C94:C96" si="41">IF(B94="","",YEAR(B94))</f>
        <v>2024</v>
      </c>
      <c r="D94" s="18" t="s">
        <v>35</v>
      </c>
      <c r="E94" s="22" t="s">
        <v>71</v>
      </c>
      <c r="F94" s="37" t="s">
        <v>68</v>
      </c>
      <c r="G94" s="18" t="s">
        <v>155</v>
      </c>
      <c r="I94" s="21">
        <v>6084.94</v>
      </c>
      <c r="J94" s="19">
        <f t="shared" si="40"/>
        <v>964176.56999999983</v>
      </c>
      <c r="K94" s="85">
        <f>(I94+I95)/J93*12</f>
        <v>7.6213127965641447E-2</v>
      </c>
      <c r="M94" s="4"/>
    </row>
    <row r="95" spans="1:13" x14ac:dyDescent="0.2">
      <c r="A95" s="16">
        <f t="shared" si="30"/>
        <v>90</v>
      </c>
      <c r="B95" s="17">
        <v>45471</v>
      </c>
      <c r="C95" s="39">
        <f t="shared" si="41"/>
        <v>2024</v>
      </c>
      <c r="D95" s="18" t="s">
        <v>36</v>
      </c>
      <c r="E95" s="22" t="s">
        <v>70</v>
      </c>
      <c r="F95" s="37" t="s">
        <v>79</v>
      </c>
      <c r="G95" s="18" t="s">
        <v>93</v>
      </c>
      <c r="I95" s="21">
        <v>-0.01</v>
      </c>
      <c r="J95" s="19">
        <f t="shared" si="40"/>
        <v>964176.55999999982</v>
      </c>
      <c r="M95" s="4"/>
    </row>
    <row r="96" spans="1:13" x14ac:dyDescent="0.2">
      <c r="A96" s="16">
        <f t="shared" si="30"/>
        <v>91</v>
      </c>
      <c r="B96" s="17">
        <v>45478</v>
      </c>
      <c r="C96" s="39">
        <f t="shared" si="41"/>
        <v>2024</v>
      </c>
      <c r="D96" s="18" t="s">
        <v>34</v>
      </c>
      <c r="E96" s="18"/>
      <c r="F96" s="37" t="s">
        <v>142</v>
      </c>
      <c r="G96" s="22" t="s">
        <v>77</v>
      </c>
      <c r="H96" s="22" t="s">
        <v>41</v>
      </c>
      <c r="I96" s="21">
        <v>-922</v>
      </c>
      <c r="J96" s="19">
        <f t="shared" si="40"/>
        <v>963254.55999999982</v>
      </c>
      <c r="M96" s="4"/>
    </row>
    <row r="97" spans="1:13" x14ac:dyDescent="0.2">
      <c r="A97" s="16">
        <f t="shared" si="30"/>
        <v>92</v>
      </c>
      <c r="B97" s="17">
        <v>45504</v>
      </c>
      <c r="C97" s="39">
        <f t="shared" ref="C97:C99" si="42">IF(B97="","",YEAR(B97))</f>
        <v>2024</v>
      </c>
      <c r="D97" s="18" t="s">
        <v>35</v>
      </c>
      <c r="E97" s="22" t="s">
        <v>71</v>
      </c>
      <c r="F97" s="37" t="s">
        <v>68</v>
      </c>
      <c r="G97" s="18" t="s">
        <v>155</v>
      </c>
      <c r="I97" s="21">
        <v>7046.15</v>
      </c>
      <c r="J97" s="19">
        <f t="shared" si="40"/>
        <v>970300.70999999985</v>
      </c>
      <c r="K97" s="85">
        <f>(I97+I98)/J96*12</f>
        <v>8.7760477355020267E-2</v>
      </c>
      <c r="M97" s="4"/>
    </row>
    <row r="98" spans="1:13" x14ac:dyDescent="0.2">
      <c r="A98" s="16">
        <f t="shared" si="30"/>
        <v>93</v>
      </c>
      <c r="B98" s="17">
        <v>45504</v>
      </c>
      <c r="C98" s="39">
        <f t="shared" si="42"/>
        <v>2024</v>
      </c>
      <c r="D98" s="18" t="s">
        <v>36</v>
      </c>
      <c r="E98" s="22" t="s">
        <v>70</v>
      </c>
      <c r="F98" s="37" t="s">
        <v>79</v>
      </c>
      <c r="G98" s="18" t="s">
        <v>93</v>
      </c>
      <c r="I98" s="21">
        <v>-1.51</v>
      </c>
      <c r="J98" s="19">
        <f t="shared" si="40"/>
        <v>970299.19999999984</v>
      </c>
      <c r="M98" s="4"/>
    </row>
    <row r="99" spans="1:13" x14ac:dyDescent="0.2">
      <c r="A99" s="16">
        <f t="shared" si="30"/>
        <v>94</v>
      </c>
      <c r="B99" s="17">
        <v>45509</v>
      </c>
      <c r="C99" s="39">
        <f t="shared" si="42"/>
        <v>2024</v>
      </c>
      <c r="D99" s="18" t="s">
        <v>34</v>
      </c>
      <c r="E99" s="18"/>
      <c r="F99" s="37" t="s">
        <v>142</v>
      </c>
      <c r="G99" s="22" t="s">
        <v>77</v>
      </c>
      <c r="H99" s="22" t="s">
        <v>41</v>
      </c>
      <c r="I99" s="21">
        <v>-73.8</v>
      </c>
      <c r="J99" s="19">
        <f t="shared" si="40"/>
        <v>970225.39999999979</v>
      </c>
      <c r="M99" s="4"/>
    </row>
    <row r="100" spans="1:13" x14ac:dyDescent="0.2">
      <c r="A100" s="16">
        <f t="shared" si="30"/>
        <v>95</v>
      </c>
      <c r="B100" s="17">
        <v>45535</v>
      </c>
      <c r="C100" s="39">
        <f t="shared" ref="C100:C102" si="43">IF(B100="","",YEAR(B100))</f>
        <v>2024</v>
      </c>
      <c r="D100" s="18" t="s">
        <v>35</v>
      </c>
      <c r="E100" s="22" t="s">
        <v>71</v>
      </c>
      <c r="F100" s="37" t="s">
        <v>68</v>
      </c>
      <c r="G100" s="18" t="s">
        <v>155</v>
      </c>
      <c r="I100" s="21">
        <v>6811.3</v>
      </c>
      <c r="J100" s="19">
        <f t="shared" si="40"/>
        <v>977036.69999999984</v>
      </c>
      <c r="K100" s="85">
        <f>(I100+I101)/J99*12</f>
        <v>8.4241331962655291E-2</v>
      </c>
      <c r="M100" s="4"/>
    </row>
    <row r="101" spans="1:13" x14ac:dyDescent="0.2">
      <c r="A101" s="16">
        <f t="shared" si="30"/>
        <v>96</v>
      </c>
      <c r="B101" s="17">
        <v>45535</v>
      </c>
      <c r="C101" s="39">
        <f t="shared" si="43"/>
        <v>2024</v>
      </c>
      <c r="D101" s="18" t="s">
        <v>36</v>
      </c>
      <c r="E101" s="22" t="s">
        <v>70</v>
      </c>
      <c r="F101" s="37" t="s">
        <v>79</v>
      </c>
      <c r="G101" s="18" t="s">
        <v>93</v>
      </c>
      <c r="I101" s="21">
        <v>-0.21</v>
      </c>
      <c r="J101" s="19">
        <f t="shared" si="40"/>
        <v>977036.48999999987</v>
      </c>
      <c r="M101" s="4"/>
    </row>
    <row r="102" spans="1:13" x14ac:dyDescent="0.2">
      <c r="A102" s="16">
        <f t="shared" si="30"/>
        <v>97</v>
      </c>
      <c r="B102" s="17">
        <v>45540</v>
      </c>
      <c r="C102" s="39">
        <f t="shared" si="43"/>
        <v>2024</v>
      </c>
      <c r="D102" s="18" t="s">
        <v>34</v>
      </c>
      <c r="E102" s="18"/>
      <c r="F102" s="37" t="s">
        <v>142</v>
      </c>
      <c r="G102" s="22" t="s">
        <v>77</v>
      </c>
      <c r="H102" s="22" t="s">
        <v>41</v>
      </c>
      <c r="I102" s="21">
        <v>-73.8</v>
      </c>
      <c r="J102" s="19">
        <f t="shared" si="40"/>
        <v>976962.68999999983</v>
      </c>
      <c r="M102" s="4"/>
    </row>
    <row r="103" spans="1:13" x14ac:dyDescent="0.2">
      <c r="A103" s="16">
        <f t="shared" si="30"/>
        <v>98</v>
      </c>
      <c r="B103" s="17">
        <v>45565</v>
      </c>
      <c r="C103" s="39">
        <f t="shared" ref="C103:C105" si="44">IF(B103="","",YEAR(B103))</f>
        <v>2024</v>
      </c>
      <c r="D103" s="18" t="s">
        <v>35</v>
      </c>
      <c r="E103" s="22" t="s">
        <v>71</v>
      </c>
      <c r="F103" s="37" t="s">
        <v>68</v>
      </c>
      <c r="G103" s="18" t="s">
        <v>155</v>
      </c>
      <c r="I103" s="21">
        <v>6574.94</v>
      </c>
      <c r="J103" s="19">
        <f t="shared" si="40"/>
        <v>983537.62999999977</v>
      </c>
      <c r="K103" s="85">
        <f>(I103+I104)/J102*12</f>
        <v>8.0755837257203755E-2</v>
      </c>
      <c r="M103" s="4"/>
    </row>
    <row r="104" spans="1:13" x14ac:dyDescent="0.2">
      <c r="A104" s="16">
        <f t="shared" si="30"/>
        <v>99</v>
      </c>
      <c r="B104" s="17">
        <v>45565</v>
      </c>
      <c r="C104" s="39">
        <f t="shared" si="44"/>
        <v>2024</v>
      </c>
      <c r="D104" s="18" t="s">
        <v>36</v>
      </c>
      <c r="E104" s="22" t="s">
        <v>70</v>
      </c>
      <c r="F104" s="37" t="s">
        <v>79</v>
      </c>
      <c r="G104" s="18" t="s">
        <v>93</v>
      </c>
      <c r="I104" s="21">
        <v>-0.32</v>
      </c>
      <c r="J104" s="19">
        <f t="shared" si="40"/>
        <v>983537.30999999982</v>
      </c>
      <c r="M104" s="4"/>
    </row>
    <row r="105" spans="1:13" x14ac:dyDescent="0.2">
      <c r="A105" s="16">
        <f t="shared" si="30"/>
        <v>100</v>
      </c>
      <c r="B105" s="17">
        <v>45572</v>
      </c>
      <c r="C105" s="39">
        <f t="shared" si="44"/>
        <v>2024</v>
      </c>
      <c r="D105" s="18" t="s">
        <v>34</v>
      </c>
      <c r="E105" s="18"/>
      <c r="F105" s="37" t="s">
        <v>142</v>
      </c>
      <c r="G105" s="22" t="s">
        <v>77</v>
      </c>
      <c r="H105" s="22" t="s">
        <v>41</v>
      </c>
      <c r="I105" s="21">
        <v>-73.8</v>
      </c>
      <c r="J105" s="19">
        <f t="shared" si="40"/>
        <v>983463.50999999978</v>
      </c>
      <c r="M105" s="4"/>
    </row>
    <row r="106" spans="1:13" x14ac:dyDescent="0.2">
      <c r="A106" s="16">
        <f t="shared" si="30"/>
        <v>101</v>
      </c>
      <c r="B106" s="17">
        <v>45596</v>
      </c>
      <c r="C106" s="39">
        <f t="shared" ref="C106:C113" si="45">IF(B106="","",YEAR(B106))</f>
        <v>2024</v>
      </c>
      <c r="D106" s="18" t="s">
        <v>34</v>
      </c>
      <c r="E106" s="18"/>
      <c r="F106" s="37" t="s">
        <v>142</v>
      </c>
      <c r="G106" s="22" t="s">
        <v>77</v>
      </c>
      <c r="H106" s="22" t="s">
        <v>41</v>
      </c>
      <c r="I106" s="21">
        <v>-184</v>
      </c>
      <c r="J106" s="19">
        <f t="shared" si="40"/>
        <v>983279.50999999978</v>
      </c>
      <c r="M106" s="4"/>
    </row>
    <row r="107" spans="1:13" x14ac:dyDescent="0.2">
      <c r="A107" s="16">
        <f t="shared" si="30"/>
        <v>102</v>
      </c>
      <c r="B107" s="17">
        <v>45596</v>
      </c>
      <c r="C107" s="39">
        <f t="shared" si="45"/>
        <v>2024</v>
      </c>
      <c r="D107" s="18" t="s">
        <v>35</v>
      </c>
      <c r="E107" s="22" t="s">
        <v>71</v>
      </c>
      <c r="F107" s="37" t="s">
        <v>68</v>
      </c>
      <c r="G107" s="18" t="s">
        <v>155</v>
      </c>
      <c r="I107" s="21">
        <v>7462.65</v>
      </c>
      <c r="J107" s="19">
        <f t="shared" si="40"/>
        <v>990742.1599999998</v>
      </c>
      <c r="K107" s="85">
        <f>(I107+I108)/J106*12</f>
        <v>9.1053743202683057E-2</v>
      </c>
      <c r="M107" s="4"/>
    </row>
    <row r="108" spans="1:13" x14ac:dyDescent="0.2">
      <c r="A108" s="16">
        <f t="shared" si="30"/>
        <v>103</v>
      </c>
      <c r="B108" s="17">
        <v>45596</v>
      </c>
      <c r="C108" s="39">
        <f t="shared" si="45"/>
        <v>2024</v>
      </c>
      <c r="D108" s="18" t="s">
        <v>36</v>
      </c>
      <c r="E108" s="22" t="s">
        <v>70</v>
      </c>
      <c r="F108" s="37" t="s">
        <v>79</v>
      </c>
      <c r="G108" s="18" t="s">
        <v>93</v>
      </c>
      <c r="I108" s="21">
        <v>-1.71</v>
      </c>
      <c r="J108" s="19">
        <f t="shared" si="40"/>
        <v>990740.44999999984</v>
      </c>
      <c r="M108" s="4"/>
    </row>
    <row r="109" spans="1:13" x14ac:dyDescent="0.2">
      <c r="A109" s="16">
        <f t="shared" si="30"/>
        <v>104</v>
      </c>
      <c r="B109" s="17">
        <v>45601</v>
      </c>
      <c r="C109" s="39">
        <f t="shared" si="45"/>
        <v>2024</v>
      </c>
      <c r="D109" s="18" t="s">
        <v>34</v>
      </c>
      <c r="E109" s="18"/>
      <c r="F109" s="37" t="s">
        <v>142</v>
      </c>
      <c r="G109" s="22" t="s">
        <v>77</v>
      </c>
      <c r="H109" s="22" t="s">
        <v>41</v>
      </c>
      <c r="I109" s="21">
        <v>-73.8</v>
      </c>
      <c r="J109" s="19">
        <f t="shared" si="40"/>
        <v>990666.64999999979</v>
      </c>
      <c r="M109" s="4"/>
    </row>
    <row r="110" spans="1:13" x14ac:dyDescent="0.2">
      <c r="A110" s="16">
        <f t="shared" si="30"/>
        <v>105</v>
      </c>
      <c r="B110" s="17">
        <v>45603</v>
      </c>
      <c r="C110" s="39">
        <f t="shared" si="45"/>
        <v>2024</v>
      </c>
      <c r="D110" s="18" t="s">
        <v>34</v>
      </c>
      <c r="E110" s="18"/>
      <c r="F110" t="s">
        <v>142</v>
      </c>
      <c r="G110" s="18" t="s">
        <v>144</v>
      </c>
      <c r="H110" s="22" t="s">
        <v>41</v>
      </c>
      <c r="I110" s="21">
        <v>-421.6</v>
      </c>
      <c r="J110" s="19">
        <f t="shared" si="40"/>
        <v>990245.04999999981</v>
      </c>
      <c r="M110" s="4"/>
    </row>
    <row r="111" spans="1:13" x14ac:dyDescent="0.2">
      <c r="A111" s="16">
        <f t="shared" si="30"/>
        <v>106</v>
      </c>
      <c r="B111" s="17">
        <v>45625</v>
      </c>
      <c r="C111" s="39">
        <f t="shared" si="45"/>
        <v>2024</v>
      </c>
      <c r="D111" s="18" t="s">
        <v>34</v>
      </c>
      <c r="E111" s="18"/>
      <c r="F111" t="s">
        <v>142</v>
      </c>
      <c r="G111" s="18" t="s">
        <v>144</v>
      </c>
      <c r="H111" s="22" t="s">
        <v>41</v>
      </c>
      <c r="I111" s="21">
        <v>-653</v>
      </c>
      <c r="J111" s="19">
        <f t="shared" si="40"/>
        <v>989592.04999999981</v>
      </c>
      <c r="M111" s="4"/>
    </row>
    <row r="112" spans="1:13" x14ac:dyDescent="0.2">
      <c r="A112" s="16">
        <f t="shared" si="30"/>
        <v>107</v>
      </c>
      <c r="B112" s="17">
        <v>45625</v>
      </c>
      <c r="C112" s="39">
        <f t="shared" si="45"/>
        <v>2024</v>
      </c>
      <c r="D112" s="18" t="s">
        <v>35</v>
      </c>
      <c r="E112" s="22" t="s">
        <v>71</v>
      </c>
      <c r="F112" s="37" t="s">
        <v>68</v>
      </c>
      <c r="G112" s="18" t="s">
        <v>155</v>
      </c>
      <c r="I112" s="21">
        <v>6453.93</v>
      </c>
      <c r="J112" s="19">
        <f t="shared" si="40"/>
        <v>996045.97999999986</v>
      </c>
      <c r="K112" s="85">
        <f>(I112+I113)/J111*12</f>
        <v>-1.963645524436055E-2</v>
      </c>
      <c r="M112" s="4"/>
    </row>
    <row r="113" spans="1:14" x14ac:dyDescent="0.2">
      <c r="A113" s="16">
        <f t="shared" si="30"/>
        <v>108</v>
      </c>
      <c r="B113" s="17">
        <v>45625</v>
      </c>
      <c r="C113" s="39">
        <f t="shared" si="45"/>
        <v>2024</v>
      </c>
      <c r="D113" s="18" t="s">
        <v>36</v>
      </c>
      <c r="E113" s="22" t="s">
        <v>70</v>
      </c>
      <c r="F113" s="37" t="s">
        <v>79</v>
      </c>
      <c r="G113" s="18" t="s">
        <v>93</v>
      </c>
      <c r="I113" s="21">
        <v>-8073.27</v>
      </c>
      <c r="J113" s="19">
        <f t="shared" si="40"/>
        <v>987972.70999999985</v>
      </c>
      <c r="M113" s="4"/>
    </row>
    <row r="114" spans="1:14" x14ac:dyDescent="0.2">
      <c r="A114" s="16">
        <f t="shared" si="30"/>
        <v>109</v>
      </c>
      <c r="B114" s="17">
        <v>45631</v>
      </c>
      <c r="C114" s="39">
        <f t="shared" ref="C114:C120" si="46">IF(B114="","",YEAR(B114))</f>
        <v>2024</v>
      </c>
      <c r="D114" s="18" t="s">
        <v>34</v>
      </c>
      <c r="E114" s="18"/>
      <c r="F114" s="37" t="s">
        <v>142</v>
      </c>
      <c r="G114" s="22" t="s">
        <v>77</v>
      </c>
      <c r="H114" s="22" t="s">
        <v>41</v>
      </c>
      <c r="I114" s="21">
        <v>-73.8</v>
      </c>
      <c r="J114" s="19">
        <f t="shared" ref="J114:J120" si="47">IF(I114="",".",J113+I114)</f>
        <v>987898.9099999998</v>
      </c>
      <c r="M114" s="4"/>
    </row>
    <row r="115" spans="1:14" x14ac:dyDescent="0.2">
      <c r="A115" s="16">
        <f t="shared" si="30"/>
        <v>110</v>
      </c>
      <c r="B115" s="17">
        <v>45632</v>
      </c>
      <c r="C115" s="39">
        <f t="shared" si="46"/>
        <v>2024</v>
      </c>
      <c r="D115" s="18" t="s">
        <v>34</v>
      </c>
      <c r="E115" s="18"/>
      <c r="F115" t="s">
        <v>142</v>
      </c>
      <c r="G115" s="18" t="s">
        <v>144</v>
      </c>
      <c r="H115" s="22" t="s">
        <v>41</v>
      </c>
      <c r="I115" s="21">
        <v>-653</v>
      </c>
      <c r="J115" s="19">
        <f t="shared" si="47"/>
        <v>987245.9099999998</v>
      </c>
      <c r="M115" s="4"/>
    </row>
    <row r="116" spans="1:14" x14ac:dyDescent="0.2">
      <c r="A116" s="16">
        <f t="shared" si="30"/>
        <v>111</v>
      </c>
      <c r="B116" s="17">
        <v>45635</v>
      </c>
      <c r="C116" s="39">
        <f t="shared" si="46"/>
        <v>2024</v>
      </c>
      <c r="D116" s="18" t="s">
        <v>34</v>
      </c>
      <c r="E116" s="18"/>
      <c r="F116" t="s">
        <v>142</v>
      </c>
      <c r="G116" s="18" t="s">
        <v>144</v>
      </c>
      <c r="H116" s="22" t="s">
        <v>41</v>
      </c>
      <c r="I116" s="21">
        <v>-6764.79</v>
      </c>
      <c r="J116" s="19">
        <f t="shared" si="47"/>
        <v>980481.11999999976</v>
      </c>
      <c r="M116" s="4"/>
    </row>
    <row r="117" spans="1:14" x14ac:dyDescent="0.2">
      <c r="A117" s="16">
        <f t="shared" si="30"/>
        <v>112</v>
      </c>
      <c r="B117" s="17">
        <v>45636</v>
      </c>
      <c r="C117" s="39">
        <f t="shared" ref="C117" si="48">IF(B117="","",YEAR(B117))</f>
        <v>2024</v>
      </c>
      <c r="D117" s="18" t="s">
        <v>34</v>
      </c>
      <c r="E117" s="18"/>
      <c r="F117" t="s">
        <v>142</v>
      </c>
      <c r="G117" s="18" t="s">
        <v>144</v>
      </c>
      <c r="H117" s="22" t="s">
        <v>41</v>
      </c>
      <c r="I117" s="21">
        <v>-7200</v>
      </c>
      <c r="J117" s="19">
        <f t="shared" si="47"/>
        <v>973281.11999999976</v>
      </c>
      <c r="M117" s="4"/>
    </row>
    <row r="118" spans="1:14" x14ac:dyDescent="0.2">
      <c r="A118" s="16">
        <f t="shared" si="30"/>
        <v>113</v>
      </c>
      <c r="B118" s="17">
        <v>45649</v>
      </c>
      <c r="C118" s="39">
        <f t="shared" ref="C118" si="49">IF(B118="","",YEAR(B118))</f>
        <v>2024</v>
      </c>
      <c r="D118" s="18" t="s">
        <v>34</v>
      </c>
      <c r="E118" s="18"/>
      <c r="F118" t="s">
        <v>142</v>
      </c>
      <c r="G118" s="18" t="s">
        <v>144</v>
      </c>
      <c r="H118" s="22" t="s">
        <v>41</v>
      </c>
      <c r="I118" s="21">
        <v>-3700</v>
      </c>
      <c r="J118" s="19">
        <f t="shared" si="47"/>
        <v>969581.11999999976</v>
      </c>
      <c r="M118" s="4"/>
    </row>
    <row r="119" spans="1:14" x14ac:dyDescent="0.2">
      <c r="A119" s="16">
        <f t="shared" si="30"/>
        <v>114</v>
      </c>
      <c r="B119" s="17">
        <v>45657</v>
      </c>
      <c r="C119" s="39">
        <f t="shared" si="46"/>
        <v>2024</v>
      </c>
      <c r="D119" s="18" t="s">
        <v>35</v>
      </c>
      <c r="E119" s="22" t="s">
        <v>71</v>
      </c>
      <c r="F119" s="37" t="s">
        <v>68</v>
      </c>
      <c r="G119" s="18" t="s">
        <v>155</v>
      </c>
      <c r="I119" s="21">
        <v>7197.46</v>
      </c>
      <c r="J119" s="19">
        <f t="shared" si="47"/>
        <v>976778.57999999973</v>
      </c>
      <c r="K119" s="85">
        <f>(I119+I120)/J116*12</f>
        <v>8.7944498105175156E-2</v>
      </c>
      <c r="L119" s="108">
        <f>+(+J79+J81+J83+J87+J91+J94+J97+J100+J103+J107+J112+J119)/12</f>
        <v>969277.89999999991</v>
      </c>
      <c r="M119" s="108">
        <f>('Resumo BB INV'!F31+'Resumo BB INV'!G31)/12</f>
        <v>5405.7716666666665</v>
      </c>
      <c r="N119" s="109">
        <f>(M119/L119)*12</f>
        <v>6.6925347209505145E-2</v>
      </c>
    </row>
    <row r="120" spans="1:14" x14ac:dyDescent="0.2">
      <c r="A120" s="40">
        <f t="shared" si="30"/>
        <v>115</v>
      </c>
      <c r="B120" s="41">
        <v>45657</v>
      </c>
      <c r="C120" s="42">
        <f t="shared" si="46"/>
        <v>2024</v>
      </c>
      <c r="D120" s="43" t="s">
        <v>36</v>
      </c>
      <c r="E120" s="47" t="s">
        <v>70</v>
      </c>
      <c r="F120" s="46" t="s">
        <v>79</v>
      </c>
      <c r="G120" s="43" t="s">
        <v>93</v>
      </c>
      <c r="H120" s="43"/>
      <c r="I120" s="44">
        <v>-11.8</v>
      </c>
      <c r="J120" s="45">
        <f t="shared" si="47"/>
        <v>976766.77999999968</v>
      </c>
      <c r="L120" s="110" t="s">
        <v>129</v>
      </c>
      <c r="M120" s="110" t="s">
        <v>130</v>
      </c>
      <c r="N120" s="110" t="s">
        <v>131</v>
      </c>
    </row>
    <row r="121" spans="1:14" x14ac:dyDescent="0.2">
      <c r="A121" s="16">
        <f t="shared" si="30"/>
        <v>116</v>
      </c>
      <c r="B121" s="17">
        <v>45664</v>
      </c>
      <c r="C121" s="39">
        <f t="shared" ref="C121:C127" si="50">IF(B121="","",YEAR(B121))</f>
        <v>2025</v>
      </c>
      <c r="D121" s="18" t="s">
        <v>34</v>
      </c>
      <c r="E121" s="18"/>
      <c r="F121" s="37" t="s">
        <v>142</v>
      </c>
      <c r="G121" s="22" t="s">
        <v>77</v>
      </c>
      <c r="H121" s="22" t="s">
        <v>41</v>
      </c>
      <c r="I121" s="21">
        <v>-73.8</v>
      </c>
      <c r="J121" s="19">
        <f t="shared" ref="J121:J131" si="51">IF(I121="",".",J120+I121)</f>
        <v>976692.97999999963</v>
      </c>
      <c r="M121" s="4"/>
    </row>
    <row r="122" spans="1:14" x14ac:dyDescent="0.2">
      <c r="A122" s="16">
        <f t="shared" si="30"/>
        <v>117</v>
      </c>
      <c r="B122" s="17">
        <v>45667</v>
      </c>
      <c r="C122" s="39">
        <f t="shared" si="50"/>
        <v>2025</v>
      </c>
      <c r="D122" s="18" t="s">
        <v>34</v>
      </c>
      <c r="E122" s="18"/>
      <c r="F122" t="s">
        <v>142</v>
      </c>
      <c r="G122" s="18" t="s">
        <v>144</v>
      </c>
      <c r="H122" s="22" t="s">
        <v>41</v>
      </c>
      <c r="I122" s="21">
        <v>-653</v>
      </c>
      <c r="J122" s="19">
        <f t="shared" si="51"/>
        <v>976039.97999999963</v>
      </c>
      <c r="M122" s="4"/>
    </row>
    <row r="123" spans="1:14" x14ac:dyDescent="0.2">
      <c r="A123" s="16">
        <f t="shared" si="30"/>
        <v>118</v>
      </c>
      <c r="B123" s="17">
        <v>45671</v>
      </c>
      <c r="C123" s="39">
        <f t="shared" si="50"/>
        <v>2025</v>
      </c>
      <c r="D123" s="18" t="s">
        <v>34</v>
      </c>
      <c r="E123" s="18"/>
      <c r="F123" t="s">
        <v>142</v>
      </c>
      <c r="G123" s="18" t="s">
        <v>144</v>
      </c>
      <c r="H123" s="22" t="s">
        <v>41</v>
      </c>
      <c r="I123" s="21">
        <v>-2498.14</v>
      </c>
      <c r="J123" s="19">
        <f t="shared" si="51"/>
        <v>973541.83999999962</v>
      </c>
      <c r="M123" s="4"/>
    </row>
    <row r="124" spans="1:14" x14ac:dyDescent="0.2">
      <c r="A124" s="16">
        <f t="shared" si="30"/>
        <v>119</v>
      </c>
      <c r="B124" s="17">
        <v>45673</v>
      </c>
      <c r="C124" s="39">
        <f t="shared" si="50"/>
        <v>2025</v>
      </c>
      <c r="D124" s="18" t="s">
        <v>34</v>
      </c>
      <c r="E124" s="18"/>
      <c r="F124" t="s">
        <v>142</v>
      </c>
      <c r="G124" s="18" t="s">
        <v>144</v>
      </c>
      <c r="H124" s="22" t="s">
        <v>41</v>
      </c>
      <c r="I124" s="21">
        <v>-88.25</v>
      </c>
      <c r="J124" s="19">
        <f t="shared" si="51"/>
        <v>973453.58999999962</v>
      </c>
      <c r="M124" s="4"/>
    </row>
    <row r="125" spans="1:14" x14ac:dyDescent="0.2">
      <c r="A125" s="16">
        <f t="shared" si="30"/>
        <v>120</v>
      </c>
      <c r="B125" s="17">
        <v>45688</v>
      </c>
      <c r="C125" s="39">
        <f t="shared" si="50"/>
        <v>2025</v>
      </c>
      <c r="D125" s="18" t="s">
        <v>35</v>
      </c>
      <c r="E125" s="22" t="s">
        <v>71</v>
      </c>
      <c r="F125" s="37" t="s">
        <v>68</v>
      </c>
      <c r="G125" s="18" t="s">
        <v>155</v>
      </c>
      <c r="I125" s="21">
        <v>8414.3700000000008</v>
      </c>
      <c r="J125" s="19">
        <f t="shared" si="51"/>
        <v>981867.95999999961</v>
      </c>
      <c r="K125" s="85">
        <f>(I125+I126)/J124*12</f>
        <v>0.10363538748673171</v>
      </c>
      <c r="M125" s="4"/>
    </row>
    <row r="126" spans="1:14" x14ac:dyDescent="0.2">
      <c r="A126" s="16">
        <f t="shared" si="30"/>
        <v>121</v>
      </c>
      <c r="B126" s="17">
        <v>45688</v>
      </c>
      <c r="C126" s="39">
        <f t="shared" si="50"/>
        <v>2025</v>
      </c>
      <c r="D126" s="18" t="s">
        <v>36</v>
      </c>
      <c r="E126" s="22" t="s">
        <v>70</v>
      </c>
      <c r="F126" s="37" t="s">
        <v>79</v>
      </c>
      <c r="G126" s="18" t="s">
        <v>93</v>
      </c>
      <c r="I126" s="21">
        <v>-7.35</v>
      </c>
      <c r="J126" s="19">
        <f t="shared" si="51"/>
        <v>981860.60999999964</v>
      </c>
      <c r="M126" s="4"/>
    </row>
    <row r="127" spans="1:14" x14ac:dyDescent="0.2">
      <c r="A127" s="16">
        <f t="shared" si="30"/>
        <v>122</v>
      </c>
      <c r="B127" s="17">
        <v>45693</v>
      </c>
      <c r="C127" s="39">
        <f t="shared" si="50"/>
        <v>2025</v>
      </c>
      <c r="D127" s="18" t="s">
        <v>34</v>
      </c>
      <c r="E127" s="18"/>
      <c r="F127" t="s">
        <v>142</v>
      </c>
      <c r="G127" s="18" t="s">
        <v>144</v>
      </c>
      <c r="H127" s="22" t="s">
        <v>41</v>
      </c>
      <c r="I127" s="21">
        <v>-15892.58</v>
      </c>
      <c r="J127" s="19">
        <f t="shared" si="51"/>
        <v>965968.02999999968</v>
      </c>
      <c r="M127" s="4"/>
    </row>
    <row r="128" spans="1:14" x14ac:dyDescent="0.2">
      <c r="A128" s="16">
        <f t="shared" si="30"/>
        <v>123</v>
      </c>
      <c r="B128" s="17">
        <v>45716</v>
      </c>
      <c r="C128" s="39">
        <f t="shared" ref="C128:C129" si="52">IF(B128="","",YEAR(B128))</f>
        <v>2025</v>
      </c>
      <c r="D128" s="18" t="s">
        <v>35</v>
      </c>
      <c r="E128" s="22" t="s">
        <v>71</v>
      </c>
      <c r="F128" s="37" t="s">
        <v>68</v>
      </c>
      <c r="G128" s="18" t="s">
        <v>155</v>
      </c>
      <c r="I128" s="21">
        <v>8031.03</v>
      </c>
      <c r="J128" s="19">
        <f t="shared" si="51"/>
        <v>973999.05999999971</v>
      </c>
      <c r="K128" s="85">
        <f>(I128+I129)/J127*12</f>
        <v>9.9079676581014825E-2</v>
      </c>
    </row>
    <row r="129" spans="1:11" x14ac:dyDescent="0.2">
      <c r="A129" s="16">
        <f t="shared" si="30"/>
        <v>124</v>
      </c>
      <c r="B129" s="17">
        <v>45716</v>
      </c>
      <c r="C129" s="39">
        <f t="shared" si="52"/>
        <v>2025</v>
      </c>
      <c r="D129" s="18" t="s">
        <v>36</v>
      </c>
      <c r="E129" s="22" t="s">
        <v>70</v>
      </c>
      <c r="F129" s="37" t="s">
        <v>79</v>
      </c>
      <c r="G129" s="18" t="s">
        <v>93</v>
      </c>
      <c r="I129" s="21">
        <v>-55.38</v>
      </c>
      <c r="J129" s="19">
        <f t="shared" si="51"/>
        <v>973943.6799999997</v>
      </c>
    </row>
    <row r="130" spans="1:11" x14ac:dyDescent="0.2">
      <c r="A130" s="16">
        <f t="shared" si="30"/>
        <v>125</v>
      </c>
      <c r="B130" s="17">
        <v>45747</v>
      </c>
      <c r="C130" s="39">
        <f t="shared" ref="C130:C131" si="53">IF(B130="","",YEAR(B130))</f>
        <v>2025</v>
      </c>
      <c r="D130" s="18" t="s">
        <v>35</v>
      </c>
      <c r="E130" s="22" t="s">
        <v>71</v>
      </c>
      <c r="F130" s="37" t="s">
        <v>68</v>
      </c>
      <c r="G130" s="18" t="s">
        <v>155</v>
      </c>
      <c r="I130" s="21">
        <v>7877.8</v>
      </c>
      <c r="J130" s="19">
        <f t="shared" si="51"/>
        <v>981821.47999999975</v>
      </c>
      <c r="K130" s="85">
        <f>(I130+I131)/J129*12</f>
        <v>9.7062696684884306E-2</v>
      </c>
    </row>
    <row r="131" spans="1:11" x14ac:dyDescent="0.2">
      <c r="A131" s="16">
        <f t="shared" si="30"/>
        <v>126</v>
      </c>
      <c r="B131" s="17">
        <v>45747</v>
      </c>
      <c r="C131" s="39">
        <f t="shared" si="53"/>
        <v>2025</v>
      </c>
      <c r="D131" s="18" t="s">
        <v>36</v>
      </c>
      <c r="E131" s="22" t="s">
        <v>70</v>
      </c>
      <c r="F131" s="37" t="s">
        <v>79</v>
      </c>
      <c r="G131" s="18" t="s">
        <v>93</v>
      </c>
      <c r="I131" s="21">
        <v>0</v>
      </c>
      <c r="J131" s="19">
        <f t="shared" si="51"/>
        <v>981821.47999999975</v>
      </c>
    </row>
    <row r="132" spans="1:11" x14ac:dyDescent="0.2">
      <c r="A132" s="16">
        <f t="shared" si="30"/>
        <v>127</v>
      </c>
      <c r="B132" s="17">
        <v>45777</v>
      </c>
      <c r="C132" s="39">
        <f t="shared" ref="C132:C133" si="54">IF(B132="","",YEAR(B132))</f>
        <v>2025</v>
      </c>
      <c r="D132" s="18" t="s">
        <v>35</v>
      </c>
      <c r="E132" s="22" t="s">
        <v>71</v>
      </c>
      <c r="F132" s="37" t="s">
        <v>68</v>
      </c>
      <c r="G132" s="18" t="s">
        <v>155</v>
      </c>
      <c r="I132" s="21">
        <v>8735.4</v>
      </c>
      <c r="J132" s="19">
        <f t="shared" ref="J132:J148" si="55">IF(I132="",".",J131+I132)</f>
        <v>990556.87999999977</v>
      </c>
      <c r="K132" s="85">
        <f>(I132+I133)/J131*12</f>
        <v>0.10676564134653076</v>
      </c>
    </row>
    <row r="133" spans="1:11" x14ac:dyDescent="0.2">
      <c r="A133" s="16">
        <f t="shared" si="30"/>
        <v>128</v>
      </c>
      <c r="B133" s="17">
        <v>45777</v>
      </c>
      <c r="C133" s="39">
        <f t="shared" si="54"/>
        <v>2025</v>
      </c>
      <c r="D133" s="18" t="s">
        <v>36</v>
      </c>
      <c r="E133" s="22" t="s">
        <v>70</v>
      </c>
      <c r="F133" s="37" t="s">
        <v>79</v>
      </c>
      <c r="G133" s="18" t="s">
        <v>93</v>
      </c>
      <c r="I133" s="21">
        <v>0</v>
      </c>
      <c r="J133" s="19">
        <f t="shared" si="55"/>
        <v>990556.87999999977</v>
      </c>
    </row>
    <row r="134" spans="1:11" x14ac:dyDescent="0.2">
      <c r="A134" s="16">
        <f t="shared" si="30"/>
        <v>129</v>
      </c>
      <c r="B134" s="17">
        <v>45808</v>
      </c>
      <c r="C134" s="39">
        <f t="shared" ref="C134:C137" si="56">IF(B134="","",YEAR(B134))</f>
        <v>2025</v>
      </c>
      <c r="D134" s="18" t="s">
        <v>35</v>
      </c>
      <c r="E134" s="22" t="s">
        <v>71</v>
      </c>
      <c r="F134" s="37" t="s">
        <v>68</v>
      </c>
      <c r="G134" s="18" t="s">
        <v>155</v>
      </c>
      <c r="I134" s="21">
        <v>9672.98</v>
      </c>
      <c r="J134" s="19">
        <f t="shared" si="55"/>
        <v>1000229.8599999998</v>
      </c>
      <c r="K134" s="75">
        <f>(I134+I135)/J133*12</f>
        <v>-2.6598371614964872E-3</v>
      </c>
    </row>
    <row r="135" spans="1:11" x14ac:dyDescent="0.2">
      <c r="A135" s="16">
        <f t="shared" si="30"/>
        <v>130</v>
      </c>
      <c r="B135" s="17">
        <v>45808</v>
      </c>
      <c r="C135" s="39">
        <f t="shared" si="56"/>
        <v>2025</v>
      </c>
      <c r="D135" s="18" t="s">
        <v>36</v>
      </c>
      <c r="E135" s="22" t="s">
        <v>70</v>
      </c>
      <c r="F135" s="37" t="s">
        <v>79</v>
      </c>
      <c r="G135" s="18" t="s">
        <v>93</v>
      </c>
      <c r="I135" s="21">
        <v>-9892.5400000000009</v>
      </c>
      <c r="J135" s="19">
        <f t="shared" si="55"/>
        <v>990337.31999999972</v>
      </c>
    </row>
    <row r="136" spans="1:11" x14ac:dyDescent="0.2">
      <c r="A136" s="16">
        <f t="shared" si="30"/>
        <v>131</v>
      </c>
      <c r="B136" s="17">
        <v>45825</v>
      </c>
      <c r="C136" s="39">
        <f t="shared" si="56"/>
        <v>2025</v>
      </c>
      <c r="D136" s="18" t="s">
        <v>33</v>
      </c>
      <c r="E136" s="18"/>
      <c r="F136" s="37" t="s">
        <v>38</v>
      </c>
      <c r="G136" s="18" t="s">
        <v>33</v>
      </c>
      <c r="H136" s="22" t="s">
        <v>41</v>
      </c>
      <c r="I136" s="21">
        <v>247295.96</v>
      </c>
      <c r="J136" s="19">
        <f t="shared" si="55"/>
        <v>1237633.2799999998</v>
      </c>
    </row>
    <row r="137" spans="1:11" x14ac:dyDescent="0.2">
      <c r="A137" s="16">
        <f t="shared" si="30"/>
        <v>132</v>
      </c>
      <c r="B137" s="17">
        <v>45831</v>
      </c>
      <c r="C137" s="39">
        <f t="shared" si="56"/>
        <v>2025</v>
      </c>
      <c r="D137" s="18" t="s">
        <v>34</v>
      </c>
      <c r="E137" s="18"/>
      <c r="F137" t="s">
        <v>142</v>
      </c>
      <c r="G137" s="18" t="s">
        <v>144</v>
      </c>
      <c r="H137" s="22" t="s">
        <v>41</v>
      </c>
      <c r="I137" s="21">
        <v>-353</v>
      </c>
      <c r="J137" s="19">
        <f t="shared" si="55"/>
        <v>1237280.2799999998</v>
      </c>
    </row>
    <row r="138" spans="1:11" x14ac:dyDescent="0.2">
      <c r="A138" s="16">
        <f t="shared" si="30"/>
        <v>133</v>
      </c>
      <c r="B138" s="17">
        <v>45838</v>
      </c>
      <c r="C138" s="39">
        <f t="shared" ref="C138:C140" si="57">IF(B138="","",YEAR(B138))</f>
        <v>2025</v>
      </c>
      <c r="D138" s="18" t="s">
        <v>35</v>
      </c>
      <c r="E138" s="22" t="s">
        <v>71</v>
      </c>
      <c r="F138" s="37" t="s">
        <v>68</v>
      </c>
      <c r="G138" s="18" t="s">
        <v>155</v>
      </c>
      <c r="I138" s="21">
        <v>10247.64</v>
      </c>
      <c r="J138" s="19">
        <f t="shared" si="55"/>
        <v>1247527.9199999997</v>
      </c>
      <c r="K138" s="85">
        <f>(I138+I139)/J137*12</f>
        <v>9.9383657840242973E-2</v>
      </c>
    </row>
    <row r="139" spans="1:11" x14ac:dyDescent="0.2">
      <c r="A139" s="16">
        <f t="shared" si="30"/>
        <v>134</v>
      </c>
      <c r="B139" s="17">
        <v>45838</v>
      </c>
      <c r="C139" s="39">
        <f t="shared" si="57"/>
        <v>2025</v>
      </c>
      <c r="D139" s="18" t="s">
        <v>36</v>
      </c>
      <c r="E139" s="22" t="s">
        <v>70</v>
      </c>
      <c r="F139" s="37" t="s">
        <v>79</v>
      </c>
      <c r="G139" s="18" t="s">
        <v>93</v>
      </c>
      <c r="I139" s="21">
        <v>-0.52</v>
      </c>
      <c r="J139" s="19">
        <f t="shared" si="55"/>
        <v>1247527.3999999997</v>
      </c>
    </row>
    <row r="140" spans="1:11" x14ac:dyDescent="0.2">
      <c r="A140" s="16">
        <f t="shared" si="30"/>
        <v>135</v>
      </c>
      <c r="B140" s="17">
        <v>45845</v>
      </c>
      <c r="C140" s="39">
        <f t="shared" si="57"/>
        <v>2025</v>
      </c>
      <c r="D140" s="18" t="s">
        <v>34</v>
      </c>
      <c r="E140" s="18"/>
      <c r="F140" t="s">
        <v>142</v>
      </c>
      <c r="G140" s="18" t="s">
        <v>144</v>
      </c>
      <c r="H140" s="22" t="s">
        <v>41</v>
      </c>
      <c r="I140" s="21">
        <v>-75.400000000000006</v>
      </c>
      <c r="J140" s="19">
        <f t="shared" si="55"/>
        <v>1247451.9999999998</v>
      </c>
    </row>
    <row r="141" spans="1:11" x14ac:dyDescent="0.2">
      <c r="A141" s="16">
        <f t="shared" si="30"/>
        <v>136</v>
      </c>
      <c r="B141" s="17">
        <v>45859</v>
      </c>
      <c r="C141" s="39">
        <f t="shared" ref="C141:C144" si="58">IF(B141="","",YEAR(B141))</f>
        <v>2025</v>
      </c>
      <c r="D141" s="18" t="s">
        <v>34</v>
      </c>
      <c r="E141" s="18"/>
      <c r="F141" t="s">
        <v>142</v>
      </c>
      <c r="G141" s="18" t="s">
        <v>144</v>
      </c>
      <c r="H141" s="22" t="s">
        <v>41</v>
      </c>
      <c r="I141" s="21">
        <v>-1006</v>
      </c>
      <c r="J141" s="19">
        <f t="shared" si="55"/>
        <v>1246445.9999999998</v>
      </c>
    </row>
    <row r="142" spans="1:11" x14ac:dyDescent="0.2">
      <c r="A142" s="16">
        <f t="shared" si="30"/>
        <v>137</v>
      </c>
      <c r="B142" s="17">
        <v>45869</v>
      </c>
      <c r="C142" s="39">
        <f t="shared" si="58"/>
        <v>2025</v>
      </c>
      <c r="D142" s="18" t="s">
        <v>35</v>
      </c>
      <c r="E142" s="22" t="s">
        <v>71</v>
      </c>
      <c r="F142" s="37" t="s">
        <v>68</v>
      </c>
      <c r="G142" s="18" t="s">
        <v>155</v>
      </c>
      <c r="I142" s="21">
        <v>13746.39</v>
      </c>
      <c r="J142" s="19">
        <f t="shared" si="55"/>
        <v>1260192.3899999997</v>
      </c>
      <c r="K142" s="85">
        <f>(I142+I143)/J141*12</f>
        <v>0.13230724796742099</v>
      </c>
    </row>
    <row r="143" spans="1:11" x14ac:dyDescent="0.2">
      <c r="A143" s="16">
        <f t="shared" ref="A143:A199" si="59">A142+1</f>
        <v>138</v>
      </c>
      <c r="B143" s="17">
        <v>45869</v>
      </c>
      <c r="C143" s="39">
        <f t="shared" si="58"/>
        <v>2025</v>
      </c>
      <c r="D143" s="18" t="s">
        <v>36</v>
      </c>
      <c r="E143" s="22" t="s">
        <v>70</v>
      </c>
      <c r="F143" s="37" t="s">
        <v>79</v>
      </c>
      <c r="G143" s="18" t="s">
        <v>93</v>
      </c>
      <c r="I143" s="21">
        <v>-3.57</v>
      </c>
      <c r="J143" s="19">
        <f t="shared" si="55"/>
        <v>1260188.8199999996</v>
      </c>
    </row>
    <row r="144" spans="1:11" x14ac:dyDescent="0.2">
      <c r="A144" s="16">
        <f t="shared" si="59"/>
        <v>139</v>
      </c>
      <c r="B144" s="17">
        <v>45874</v>
      </c>
      <c r="C144" s="39">
        <f t="shared" si="58"/>
        <v>2025</v>
      </c>
      <c r="D144" s="18" t="s">
        <v>34</v>
      </c>
      <c r="E144" s="18"/>
      <c r="F144" t="s">
        <v>142</v>
      </c>
      <c r="G144" s="18" t="s">
        <v>144</v>
      </c>
      <c r="H144" s="22" t="s">
        <v>41</v>
      </c>
      <c r="I144" s="21">
        <v>-728.4</v>
      </c>
      <c r="J144" s="19">
        <f t="shared" si="55"/>
        <v>1259460.4199999997</v>
      </c>
    </row>
    <row r="145" spans="1:11" x14ac:dyDescent="0.2">
      <c r="A145" s="16">
        <f t="shared" si="59"/>
        <v>140</v>
      </c>
      <c r="B145" s="17">
        <v>45890</v>
      </c>
      <c r="C145" s="39">
        <f t="shared" ref="C145" si="60">IF(B145="","",YEAR(B145))</f>
        <v>2025</v>
      </c>
      <c r="D145" s="18" t="s">
        <v>34</v>
      </c>
      <c r="E145" s="18"/>
      <c r="F145" t="s">
        <v>142</v>
      </c>
      <c r="G145" s="18" t="s">
        <v>144</v>
      </c>
      <c r="H145" s="22" t="s">
        <v>41</v>
      </c>
      <c r="I145" s="21">
        <v>-353</v>
      </c>
      <c r="J145" s="19">
        <f t="shared" si="55"/>
        <v>1259107.4199999997</v>
      </c>
    </row>
    <row r="146" spans="1:11" x14ac:dyDescent="0.2">
      <c r="A146" s="16">
        <f t="shared" si="59"/>
        <v>141</v>
      </c>
      <c r="B146" s="17">
        <v>45891</v>
      </c>
      <c r="C146" s="39">
        <f t="shared" ref="C146:C149" si="61">IF(B146="","",YEAR(B146))</f>
        <v>2025</v>
      </c>
      <c r="D146" s="18" t="s">
        <v>34</v>
      </c>
      <c r="E146" s="18"/>
      <c r="F146" t="s">
        <v>142</v>
      </c>
      <c r="G146" s="18" t="s">
        <v>144</v>
      </c>
      <c r="H146" s="22" t="s">
        <v>41</v>
      </c>
      <c r="I146" s="21">
        <v>-600</v>
      </c>
      <c r="J146" s="19">
        <f t="shared" si="55"/>
        <v>1258507.4199999997</v>
      </c>
    </row>
    <row r="147" spans="1:11" x14ac:dyDescent="0.2">
      <c r="A147" s="16">
        <f t="shared" si="59"/>
        <v>142</v>
      </c>
      <c r="B147" s="17">
        <v>45900</v>
      </c>
      <c r="C147" s="39">
        <f t="shared" si="61"/>
        <v>2025</v>
      </c>
      <c r="D147" s="18" t="s">
        <v>35</v>
      </c>
      <c r="E147" s="22" t="s">
        <v>71</v>
      </c>
      <c r="F147" s="37" t="s">
        <v>68</v>
      </c>
      <c r="G147" s="18" t="s">
        <v>155</v>
      </c>
      <c r="I147" s="21">
        <v>12573.89</v>
      </c>
      <c r="J147" s="19">
        <f t="shared" si="55"/>
        <v>1271081.3099999996</v>
      </c>
      <c r="K147" s="85">
        <f>(I147+I148)/J146*12</f>
        <v>0.11981202303916494</v>
      </c>
    </row>
    <row r="148" spans="1:11" x14ac:dyDescent="0.2">
      <c r="A148" s="16">
        <f t="shared" si="59"/>
        <v>143</v>
      </c>
      <c r="B148" s="17">
        <v>45900</v>
      </c>
      <c r="C148" s="39">
        <f t="shared" si="61"/>
        <v>2025</v>
      </c>
      <c r="D148" s="18" t="s">
        <v>36</v>
      </c>
      <c r="E148" s="22" t="s">
        <v>70</v>
      </c>
      <c r="F148" s="37" t="s">
        <v>79</v>
      </c>
      <c r="G148" s="18" t="s">
        <v>93</v>
      </c>
      <c r="I148" s="21">
        <v>-8.5299999999999994</v>
      </c>
      <c r="J148" s="19">
        <f t="shared" si="55"/>
        <v>1271072.7799999996</v>
      </c>
    </row>
    <row r="149" spans="1:11" x14ac:dyDescent="0.2">
      <c r="A149" s="16">
        <f t="shared" si="59"/>
        <v>144</v>
      </c>
      <c r="B149" s="17">
        <v>45905</v>
      </c>
      <c r="C149" s="39">
        <f t="shared" si="61"/>
        <v>2025</v>
      </c>
      <c r="D149" s="18" t="s">
        <v>34</v>
      </c>
      <c r="E149" s="18"/>
      <c r="F149" t="s">
        <v>142</v>
      </c>
      <c r="G149" s="18" t="s">
        <v>144</v>
      </c>
      <c r="H149" s="22" t="s">
        <v>41</v>
      </c>
      <c r="I149" s="21">
        <v>-734.4</v>
      </c>
      <c r="J149" s="19">
        <f t="shared" ref="J149" si="62">IF(I149="",".",J148+I149)</f>
        <v>1270338.3799999997</v>
      </c>
    </row>
    <row r="150" spans="1:11" x14ac:dyDescent="0.2">
      <c r="A150" s="16">
        <f t="shared" si="59"/>
        <v>145</v>
      </c>
      <c r="B150" s="17">
        <v>45910</v>
      </c>
      <c r="C150" s="39">
        <f t="shared" ref="C150:C154" si="63">IF(B150="","",YEAR(B150))</f>
        <v>2025</v>
      </c>
      <c r="D150" s="18" t="s">
        <v>34</v>
      </c>
      <c r="E150" s="18"/>
      <c r="F150" t="s">
        <v>142</v>
      </c>
      <c r="G150" s="18" t="s">
        <v>144</v>
      </c>
      <c r="H150" s="22" t="s">
        <v>41</v>
      </c>
      <c r="I150" s="21">
        <v>-353</v>
      </c>
      <c r="J150" s="19">
        <f t="shared" ref="J150:J164" si="64">IF(I150="",".",J149+I150)</f>
        <v>1269985.3799999997</v>
      </c>
    </row>
    <row r="151" spans="1:11" x14ac:dyDescent="0.2">
      <c r="A151" s="16">
        <f t="shared" si="59"/>
        <v>146</v>
      </c>
      <c r="B151" s="17">
        <v>45930</v>
      </c>
      <c r="C151" s="39">
        <f t="shared" si="63"/>
        <v>2025</v>
      </c>
      <c r="D151" s="18" t="s">
        <v>35</v>
      </c>
      <c r="E151" s="22" t="s">
        <v>71</v>
      </c>
      <c r="F151" s="37" t="s">
        <v>68</v>
      </c>
      <c r="G151" s="18" t="s">
        <v>155</v>
      </c>
      <c r="I151" s="21">
        <v>13347.57</v>
      </c>
      <c r="J151" s="19">
        <f t="shared" si="64"/>
        <v>1283332.9499999997</v>
      </c>
      <c r="K151" s="85">
        <f>(I151+I152)/J150*12</f>
        <v>0.12605200226793167</v>
      </c>
    </row>
    <row r="152" spans="1:11" x14ac:dyDescent="0.2">
      <c r="A152" s="16">
        <f t="shared" si="59"/>
        <v>147</v>
      </c>
      <c r="B152" s="17">
        <v>45930</v>
      </c>
      <c r="C152" s="39">
        <f t="shared" si="63"/>
        <v>2025</v>
      </c>
      <c r="D152" s="18" t="s">
        <v>36</v>
      </c>
      <c r="E152" s="22" t="s">
        <v>70</v>
      </c>
      <c r="F152" s="37" t="s">
        <v>79</v>
      </c>
      <c r="G152" s="18" t="s">
        <v>93</v>
      </c>
      <c r="I152" s="21">
        <v>-7.22</v>
      </c>
      <c r="J152" s="19">
        <f t="shared" si="64"/>
        <v>1283325.7299999997</v>
      </c>
    </row>
    <row r="153" spans="1:11" x14ac:dyDescent="0.2">
      <c r="A153" s="16">
        <f t="shared" si="59"/>
        <v>148</v>
      </c>
      <c r="B153" s="17">
        <v>45932</v>
      </c>
      <c r="C153" s="39">
        <f t="shared" si="63"/>
        <v>2025</v>
      </c>
      <c r="D153" s="18" t="s">
        <v>34</v>
      </c>
      <c r="E153" s="18"/>
      <c r="F153" t="s">
        <v>142</v>
      </c>
      <c r="G153" s="18" t="s">
        <v>144</v>
      </c>
      <c r="H153" s="22" t="s">
        <v>41</v>
      </c>
      <c r="I153" s="21">
        <v>-1871</v>
      </c>
      <c r="J153" s="19">
        <f t="shared" si="64"/>
        <v>1281454.7299999997</v>
      </c>
    </row>
    <row r="154" spans="1:11" x14ac:dyDescent="0.2">
      <c r="A154" s="16">
        <f t="shared" si="59"/>
        <v>149</v>
      </c>
      <c r="B154" s="17">
        <v>45936</v>
      </c>
      <c r="C154" s="39">
        <f t="shared" si="63"/>
        <v>2025</v>
      </c>
      <c r="D154" s="18" t="s">
        <v>34</v>
      </c>
      <c r="E154" s="18"/>
      <c r="F154" t="s">
        <v>142</v>
      </c>
      <c r="G154" s="18" t="s">
        <v>144</v>
      </c>
      <c r="H154" s="22" t="s">
        <v>41</v>
      </c>
      <c r="I154" s="21">
        <v>-81.400000000000006</v>
      </c>
      <c r="J154" s="19">
        <f t="shared" si="64"/>
        <v>1281373.3299999998</v>
      </c>
    </row>
    <row r="155" spans="1:11" x14ac:dyDescent="0.2">
      <c r="A155" s="16">
        <f t="shared" si="59"/>
        <v>150</v>
      </c>
      <c r="B155" s="17">
        <v>45940</v>
      </c>
      <c r="C155" s="39">
        <f t="shared" ref="C155:C159" si="65">IF(B155="","",YEAR(B155))</f>
        <v>2025</v>
      </c>
      <c r="D155" s="18" t="s">
        <v>34</v>
      </c>
      <c r="E155" s="18"/>
      <c r="F155" t="s">
        <v>142</v>
      </c>
      <c r="G155" s="18" t="s">
        <v>144</v>
      </c>
      <c r="H155" s="22" t="s">
        <v>41</v>
      </c>
      <c r="I155" s="21">
        <v>-353</v>
      </c>
      <c r="J155" s="19">
        <f t="shared" si="64"/>
        <v>1281020.3299999998</v>
      </c>
    </row>
    <row r="156" spans="1:11" x14ac:dyDescent="0.2">
      <c r="A156" s="16">
        <f t="shared" si="59"/>
        <v>151</v>
      </c>
      <c r="B156" s="17">
        <v>45950</v>
      </c>
      <c r="C156" s="39">
        <f t="shared" si="65"/>
        <v>2025</v>
      </c>
      <c r="D156" s="18" t="s">
        <v>33</v>
      </c>
      <c r="E156" s="18"/>
      <c r="F156" s="37" t="s">
        <v>38</v>
      </c>
      <c r="G156" s="18" t="s">
        <v>33</v>
      </c>
      <c r="H156" s="22" t="s">
        <v>41</v>
      </c>
      <c r="I156" s="21">
        <v>150000</v>
      </c>
      <c r="J156" s="19">
        <f t="shared" si="64"/>
        <v>1431020.3299999998</v>
      </c>
    </row>
    <row r="157" spans="1:11" x14ac:dyDescent="0.2">
      <c r="A157" s="16">
        <f t="shared" si="59"/>
        <v>152</v>
      </c>
      <c r="B157" s="17">
        <v>45954</v>
      </c>
      <c r="C157" s="39">
        <f t="shared" ref="C157" si="66">IF(B157="","",YEAR(B157))</f>
        <v>2025</v>
      </c>
      <c r="D157" s="18" t="s">
        <v>34</v>
      </c>
      <c r="E157" s="18"/>
      <c r="F157" t="s">
        <v>142</v>
      </c>
      <c r="G157" s="18" t="s">
        <v>144</v>
      </c>
      <c r="H157" s="22" t="s">
        <v>41</v>
      </c>
      <c r="I157" s="21">
        <v>-184</v>
      </c>
      <c r="J157" s="19">
        <f t="shared" si="64"/>
        <v>1430836.3299999998</v>
      </c>
    </row>
    <row r="158" spans="1:11" x14ac:dyDescent="0.2">
      <c r="A158" s="16">
        <f t="shared" si="59"/>
        <v>153</v>
      </c>
      <c r="B158" s="17">
        <v>45961</v>
      </c>
      <c r="C158" s="39">
        <f t="shared" si="65"/>
        <v>2025</v>
      </c>
      <c r="D158" s="18" t="s">
        <v>35</v>
      </c>
      <c r="E158" s="22" t="s">
        <v>71</v>
      </c>
      <c r="F158" s="37" t="s">
        <v>68</v>
      </c>
      <c r="G158" s="18" t="s">
        <v>155</v>
      </c>
      <c r="I158" s="21">
        <v>14703.11</v>
      </c>
      <c r="J158" s="19">
        <f t="shared" si="64"/>
        <v>1445539.44</v>
      </c>
      <c r="K158" s="85">
        <f>(I158+I159)/J157*12</f>
        <v>0.12313307700259472</v>
      </c>
    </row>
    <row r="159" spans="1:11" x14ac:dyDescent="0.2">
      <c r="A159" s="16">
        <f t="shared" si="59"/>
        <v>154</v>
      </c>
      <c r="B159" s="17">
        <v>45961</v>
      </c>
      <c r="C159" s="39">
        <f t="shared" si="65"/>
        <v>2025</v>
      </c>
      <c r="D159" s="18" t="s">
        <v>36</v>
      </c>
      <c r="E159" s="22" t="s">
        <v>70</v>
      </c>
      <c r="F159" s="37" t="s">
        <v>79</v>
      </c>
      <c r="G159" s="18" t="s">
        <v>93</v>
      </c>
      <c r="I159" s="21">
        <v>-21.17</v>
      </c>
      <c r="J159" s="19">
        <f t="shared" si="64"/>
        <v>1445518.27</v>
      </c>
    </row>
    <row r="160" spans="1:11" x14ac:dyDescent="0.2">
      <c r="A160" s="16">
        <f t="shared" si="59"/>
        <v>155</v>
      </c>
      <c r="B160" s="17">
        <v>45966</v>
      </c>
      <c r="C160" s="39">
        <f t="shared" ref="C160:C162" si="67">IF(B160="","",YEAR(B160))</f>
        <v>2025</v>
      </c>
      <c r="D160" s="18" t="s">
        <v>34</v>
      </c>
      <c r="E160" s="18"/>
      <c r="F160" t="s">
        <v>142</v>
      </c>
      <c r="G160" s="18" t="s">
        <v>144</v>
      </c>
      <c r="H160" s="22" t="s">
        <v>41</v>
      </c>
      <c r="I160" s="21">
        <v>-1952.4</v>
      </c>
      <c r="J160" s="19">
        <f t="shared" si="64"/>
        <v>1443565.87</v>
      </c>
    </row>
    <row r="161" spans="1:11" x14ac:dyDescent="0.2">
      <c r="A161" s="16">
        <f t="shared" si="59"/>
        <v>156</v>
      </c>
      <c r="B161" s="17">
        <v>45971</v>
      </c>
      <c r="C161" s="39">
        <f t="shared" si="67"/>
        <v>2025</v>
      </c>
      <c r="D161" s="18" t="s">
        <v>34</v>
      </c>
      <c r="E161" s="18"/>
      <c r="F161" t="s">
        <v>142</v>
      </c>
      <c r="G161" s="18" t="s">
        <v>144</v>
      </c>
      <c r="H161" s="22" t="s">
        <v>41</v>
      </c>
      <c r="I161" s="21">
        <v>-353</v>
      </c>
      <c r="J161" s="19">
        <f t="shared" si="64"/>
        <v>1443212.87</v>
      </c>
    </row>
    <row r="162" spans="1:11" x14ac:dyDescent="0.2">
      <c r="A162" s="16">
        <f t="shared" si="59"/>
        <v>157</v>
      </c>
      <c r="B162" s="17">
        <v>45975</v>
      </c>
      <c r="C162" s="39">
        <f t="shared" si="67"/>
        <v>2025</v>
      </c>
      <c r="D162" s="18" t="s">
        <v>34</v>
      </c>
      <c r="E162" s="18"/>
      <c r="F162" t="s">
        <v>142</v>
      </c>
      <c r="G162" s="18" t="s">
        <v>144</v>
      </c>
      <c r="H162" s="22" t="s">
        <v>41</v>
      </c>
      <c r="I162" s="21">
        <v>-353</v>
      </c>
      <c r="J162" s="19">
        <f t="shared" si="64"/>
        <v>1442859.87</v>
      </c>
    </row>
    <row r="163" spans="1:11" x14ac:dyDescent="0.2">
      <c r="A163" s="16">
        <f t="shared" si="59"/>
        <v>158</v>
      </c>
      <c r="B163" s="17">
        <v>45991</v>
      </c>
      <c r="C163" s="39">
        <f t="shared" ref="C163:C165" si="68">IF(B163="","",YEAR(B163))</f>
        <v>2025</v>
      </c>
      <c r="D163" s="18" t="s">
        <v>35</v>
      </c>
      <c r="E163" s="22" t="s">
        <v>71</v>
      </c>
      <c r="F163" s="37" t="s">
        <v>68</v>
      </c>
      <c r="G163" s="18" t="s">
        <v>155</v>
      </c>
      <c r="I163" s="21">
        <v>13050.28</v>
      </c>
      <c r="J163" s="19">
        <f t="shared" si="64"/>
        <v>1455910.1500000001</v>
      </c>
      <c r="K163" s="75">
        <f>(I163+I164)/J162*12</f>
        <v>-1.990621584062768E-2</v>
      </c>
    </row>
    <row r="164" spans="1:11" x14ac:dyDescent="0.2">
      <c r="A164" s="16">
        <f t="shared" si="59"/>
        <v>159</v>
      </c>
      <c r="B164" s="17">
        <v>45991</v>
      </c>
      <c r="C164" s="39">
        <f t="shared" si="68"/>
        <v>2025</v>
      </c>
      <c r="D164" s="18" t="s">
        <v>36</v>
      </c>
      <c r="E164" s="22" t="s">
        <v>70</v>
      </c>
      <c r="F164" s="37" t="s">
        <v>79</v>
      </c>
      <c r="G164" s="18" t="s">
        <v>93</v>
      </c>
      <c r="I164" s="21">
        <v>-15443.77</v>
      </c>
      <c r="J164" s="19">
        <f t="shared" si="64"/>
        <v>1440466.3800000001</v>
      </c>
    </row>
    <row r="165" spans="1:11" x14ac:dyDescent="0.2">
      <c r="A165" s="16">
        <f t="shared" si="59"/>
        <v>160</v>
      </c>
      <c r="B165" s="17">
        <v>45994</v>
      </c>
      <c r="C165" s="39">
        <f t="shared" si="68"/>
        <v>2025</v>
      </c>
      <c r="D165" s="18" t="s">
        <v>34</v>
      </c>
      <c r="E165" s="18"/>
      <c r="F165" t="s">
        <v>142</v>
      </c>
      <c r="G165" s="18" t="s">
        <v>143</v>
      </c>
      <c r="H165" s="22" t="s">
        <v>41</v>
      </c>
      <c r="I165" s="21">
        <v>-25000</v>
      </c>
      <c r="J165" s="19">
        <f t="shared" ref="J165:J169" si="69">IF(I165="",".",J164+I165)</f>
        <v>1415466.3800000001</v>
      </c>
    </row>
    <row r="166" spans="1:11" x14ac:dyDescent="0.2">
      <c r="A166" s="16">
        <f t="shared" si="59"/>
        <v>161</v>
      </c>
      <c r="B166" s="17">
        <v>45995</v>
      </c>
      <c r="C166" s="39">
        <f t="shared" ref="C166:C167" si="70">IF(B166="","",YEAR(B166))</f>
        <v>2025</v>
      </c>
      <c r="D166" s="18" t="s">
        <v>34</v>
      </c>
      <c r="E166" s="18"/>
      <c r="F166" t="s">
        <v>142</v>
      </c>
      <c r="G166" s="18" t="s">
        <v>143</v>
      </c>
      <c r="H166" s="22" t="s">
        <v>41</v>
      </c>
      <c r="I166" s="21">
        <v>-25000</v>
      </c>
      <c r="J166" s="19">
        <f t="shared" si="69"/>
        <v>1390466.3800000001</v>
      </c>
    </row>
    <row r="167" spans="1:11" x14ac:dyDescent="0.2">
      <c r="A167" s="16">
        <f>A165+1</f>
        <v>161</v>
      </c>
      <c r="B167" s="17">
        <v>45996</v>
      </c>
      <c r="C167" s="39">
        <f t="shared" si="70"/>
        <v>2025</v>
      </c>
      <c r="D167" s="18" t="s">
        <v>34</v>
      </c>
      <c r="E167" s="18"/>
      <c r="F167" t="s">
        <v>142</v>
      </c>
      <c r="G167" s="18" t="s">
        <v>143</v>
      </c>
      <c r="H167" s="22" t="s">
        <v>41</v>
      </c>
      <c r="I167" s="21">
        <v>-12000</v>
      </c>
      <c r="J167" s="19">
        <f t="shared" si="69"/>
        <v>1378466.3800000001</v>
      </c>
    </row>
    <row r="168" spans="1:11" x14ac:dyDescent="0.2">
      <c r="A168" s="16">
        <f>A166+1</f>
        <v>162</v>
      </c>
      <c r="B168" s="17">
        <v>45996</v>
      </c>
      <c r="C168" s="39">
        <f t="shared" ref="C168" si="71">IF(B168="","",YEAR(B168))</f>
        <v>2025</v>
      </c>
      <c r="D168" s="18" t="s">
        <v>34</v>
      </c>
      <c r="E168" s="18"/>
      <c r="F168" t="s">
        <v>142</v>
      </c>
      <c r="G168" s="18" t="s">
        <v>144</v>
      </c>
      <c r="H168" s="22" t="s">
        <v>41</v>
      </c>
      <c r="I168" s="21">
        <v>-1952.4</v>
      </c>
      <c r="J168" s="19">
        <f t="shared" si="69"/>
        <v>1376513.9800000002</v>
      </c>
    </row>
    <row r="169" spans="1:11" x14ac:dyDescent="0.2">
      <c r="A169" s="16">
        <f t="shared" si="59"/>
        <v>163</v>
      </c>
      <c r="B169" s="17">
        <v>46001</v>
      </c>
      <c r="C169" s="39">
        <f t="shared" ref="C169:C172" si="72">IF(B169="","",YEAR(B169))</f>
        <v>2025</v>
      </c>
      <c r="D169" s="18" t="s">
        <v>34</v>
      </c>
      <c r="E169" s="18"/>
      <c r="F169" t="s">
        <v>142</v>
      </c>
      <c r="G169" s="18" t="s">
        <v>144</v>
      </c>
      <c r="H169" s="22" t="s">
        <v>41</v>
      </c>
      <c r="I169" s="21">
        <v>-353</v>
      </c>
      <c r="J169" s="19">
        <f t="shared" si="69"/>
        <v>1376160.9800000002</v>
      </c>
    </row>
    <row r="170" spans="1:11" x14ac:dyDescent="0.2">
      <c r="A170" s="16">
        <f t="shared" si="59"/>
        <v>164</v>
      </c>
      <c r="B170" s="17">
        <v>46006</v>
      </c>
      <c r="C170" s="39">
        <f t="shared" si="72"/>
        <v>2025</v>
      </c>
      <c r="D170" s="18" t="s">
        <v>33</v>
      </c>
      <c r="E170" s="18"/>
      <c r="F170" s="37" t="s">
        <v>38</v>
      </c>
      <c r="G170" s="18" t="s">
        <v>33</v>
      </c>
      <c r="H170" s="22" t="s">
        <v>41</v>
      </c>
      <c r="I170" s="21">
        <v>200000</v>
      </c>
      <c r="J170" s="19">
        <f t="shared" ref="J170:J172" si="73">IF(I170="",".",J169+I170)</f>
        <v>1576160.9800000002</v>
      </c>
    </row>
    <row r="171" spans="1:11" x14ac:dyDescent="0.2">
      <c r="A171" s="16">
        <f t="shared" si="59"/>
        <v>165</v>
      </c>
      <c r="B171" s="17">
        <v>46022</v>
      </c>
      <c r="C171" s="39">
        <f t="shared" si="72"/>
        <v>2025</v>
      </c>
      <c r="D171" s="18" t="s">
        <v>35</v>
      </c>
      <c r="E171" s="22" t="s">
        <v>71</v>
      </c>
      <c r="F171" s="37" t="s">
        <v>68</v>
      </c>
      <c r="G171" s="18" t="s">
        <v>155</v>
      </c>
      <c r="I171" s="21">
        <v>15590.85</v>
      </c>
      <c r="J171" s="19">
        <f t="shared" si="73"/>
        <v>1591751.8300000003</v>
      </c>
      <c r="K171" s="85">
        <f>I171/J170*12</f>
        <v>0.11869993127224859</v>
      </c>
    </row>
    <row r="172" spans="1:11" x14ac:dyDescent="0.2">
      <c r="A172" s="16">
        <f t="shared" si="59"/>
        <v>166</v>
      </c>
      <c r="B172" s="17">
        <v>46022</v>
      </c>
      <c r="C172" s="39">
        <f t="shared" si="72"/>
        <v>2025</v>
      </c>
      <c r="D172" s="18" t="s">
        <v>36</v>
      </c>
      <c r="E172" s="22" t="s">
        <v>70</v>
      </c>
      <c r="F172" s="37" t="s">
        <v>79</v>
      </c>
      <c r="G172" s="18" t="s">
        <v>93</v>
      </c>
      <c r="I172" s="21">
        <v>-29.1</v>
      </c>
      <c r="J172" s="19">
        <f t="shared" si="73"/>
        <v>1591722.7300000002</v>
      </c>
    </row>
    <row r="173" spans="1:11" x14ac:dyDescent="0.2">
      <c r="A173" s="16">
        <f t="shared" si="59"/>
        <v>167</v>
      </c>
      <c r="B173" s="17">
        <v>46053</v>
      </c>
      <c r="C173" s="39">
        <f t="shared" ref="C173" si="74">IF(B173="","",YEAR(B173))</f>
        <v>2026</v>
      </c>
      <c r="D173" s="18" t="s">
        <v>35</v>
      </c>
      <c r="E173" s="22" t="s">
        <v>71</v>
      </c>
      <c r="F173" s="37" t="s">
        <v>68</v>
      </c>
      <c r="G173" s="18" t="s">
        <v>155</v>
      </c>
      <c r="I173" s="21">
        <v>16022.22</v>
      </c>
      <c r="J173" s="19">
        <f t="shared" ref="J173" si="75">IF(I173="",".",J172+I173)</f>
        <v>1607744.9500000002</v>
      </c>
      <c r="K173" s="85">
        <f>(I173)/J172*12</f>
        <v>0.12079154011955334</v>
      </c>
    </row>
    <row r="174" spans="1:11" x14ac:dyDescent="0.2">
      <c r="A174" s="16">
        <f t="shared" si="59"/>
        <v>168</v>
      </c>
      <c r="B174" s="17">
        <v>46080</v>
      </c>
      <c r="C174" s="39">
        <f t="shared" ref="C174" si="76">IF(B174="","",YEAR(B174))</f>
        <v>2026</v>
      </c>
      <c r="D174" s="18" t="s">
        <v>35</v>
      </c>
      <c r="E174" s="22" t="s">
        <v>71</v>
      </c>
      <c r="F174" s="37" t="s">
        <v>68</v>
      </c>
      <c r="G174" s="18" t="s">
        <v>155</v>
      </c>
      <c r="I174" s="21">
        <v>13803.51</v>
      </c>
      <c r="J174" s="19">
        <f t="shared" ref="J174" si="77">IF(I174="",".",J173+I174)</f>
        <v>1621548.4600000002</v>
      </c>
      <c r="K174" s="85">
        <f>I174/J173*12</f>
        <v>0.10302761019401738</v>
      </c>
    </row>
    <row r="175" spans="1:11" x14ac:dyDescent="0.2">
      <c r="A175" s="16">
        <f t="shared" si="59"/>
        <v>169</v>
      </c>
      <c r="B175" s="17">
        <v>46112</v>
      </c>
      <c r="C175" s="39">
        <f t="shared" ref="C175:C176" si="78">IF(B175="","",YEAR(B175))</f>
        <v>2026</v>
      </c>
      <c r="D175" s="18" t="s">
        <v>35</v>
      </c>
      <c r="E175" s="22" t="s">
        <v>71</v>
      </c>
      <c r="F175" s="37" t="s">
        <v>68</v>
      </c>
      <c r="G175" s="18" t="s">
        <v>155</v>
      </c>
      <c r="I175" s="21">
        <v>17189.88</v>
      </c>
      <c r="J175" s="19">
        <f t="shared" ref="J175:J176" si="79">IF(I175="",".",J174+I175)</f>
        <v>1638738.34</v>
      </c>
      <c r="K175" s="85">
        <f>I175/J174*12</f>
        <v>0.12721085128717027</v>
      </c>
    </row>
    <row r="176" spans="1:11" x14ac:dyDescent="0.2">
      <c r="A176" s="16">
        <f t="shared" si="59"/>
        <v>170</v>
      </c>
      <c r="B176" s="17">
        <v>46114</v>
      </c>
      <c r="C176" s="39">
        <f t="shared" si="78"/>
        <v>2026</v>
      </c>
      <c r="D176" s="18" t="s">
        <v>34</v>
      </c>
      <c r="E176" s="18"/>
      <c r="F176" t="s">
        <v>142</v>
      </c>
      <c r="G176" s="18" t="s">
        <v>144</v>
      </c>
      <c r="H176" s="22" t="s">
        <v>41</v>
      </c>
      <c r="I176" s="21">
        <v>-758.56</v>
      </c>
      <c r="J176" s="19">
        <f t="shared" si="79"/>
        <v>1637979.78</v>
      </c>
    </row>
    <row r="177" spans="1:11" x14ac:dyDescent="0.2">
      <c r="A177" s="16">
        <f t="shared" si="59"/>
        <v>171</v>
      </c>
      <c r="B177" s="17">
        <v>46118</v>
      </c>
      <c r="C177" s="39">
        <f t="shared" ref="C177" si="80">IF(B177="","",YEAR(B177))</f>
        <v>2026</v>
      </c>
      <c r="D177" s="18" t="s">
        <v>34</v>
      </c>
      <c r="E177" s="18"/>
      <c r="F177" t="s">
        <v>142</v>
      </c>
      <c r="G177" s="18" t="s">
        <v>144</v>
      </c>
      <c r="H177" s="22" t="s">
        <v>41</v>
      </c>
      <c r="I177" s="21">
        <v>-81.400000000000006</v>
      </c>
      <c r="J177" s="19">
        <f t="shared" ref="J177" si="81">IF(I177="",".",J176+I177)</f>
        <v>1637898.3800000001</v>
      </c>
    </row>
    <row r="178" spans="1:11" x14ac:dyDescent="0.2">
      <c r="A178" s="16">
        <f t="shared" si="59"/>
        <v>172</v>
      </c>
      <c r="B178" s="17">
        <v>46122</v>
      </c>
      <c r="C178" s="39">
        <f t="shared" ref="C178:C182" si="82">IF(B178="","",YEAR(B178))</f>
        <v>2026</v>
      </c>
      <c r="D178" s="18" t="s">
        <v>34</v>
      </c>
      <c r="E178" s="18"/>
      <c r="F178" t="s">
        <v>142</v>
      </c>
      <c r="G178" s="18" t="s">
        <v>144</v>
      </c>
      <c r="H178" s="22" t="s">
        <v>41</v>
      </c>
      <c r="I178" s="21">
        <v>-377</v>
      </c>
      <c r="J178" s="19">
        <f t="shared" ref="J178:J182" si="83">IF(I178="",".",J177+I178)</f>
        <v>1637521.3800000001</v>
      </c>
    </row>
    <row r="179" spans="1:11" x14ac:dyDescent="0.2">
      <c r="A179" s="16">
        <f t="shared" si="59"/>
        <v>173</v>
      </c>
      <c r="B179" s="17">
        <v>46142</v>
      </c>
      <c r="C179" s="39">
        <f t="shared" si="82"/>
        <v>2026</v>
      </c>
      <c r="D179" s="18" t="s">
        <v>35</v>
      </c>
      <c r="E179" s="22" t="s">
        <v>71</v>
      </c>
      <c r="F179" s="37" t="s">
        <v>68</v>
      </c>
      <c r="G179" s="18" t="s">
        <v>155</v>
      </c>
      <c r="I179" s="21">
        <v>15246.12</v>
      </c>
      <c r="J179" s="19">
        <f t="shared" si="83"/>
        <v>1652767.5000000002</v>
      </c>
    </row>
    <row r="180" spans="1:11" x14ac:dyDescent="0.2">
      <c r="A180" s="16">
        <f t="shared" si="59"/>
        <v>174</v>
      </c>
      <c r="B180" s="17">
        <v>46142</v>
      </c>
      <c r="C180" s="39">
        <f t="shared" si="82"/>
        <v>2026</v>
      </c>
      <c r="D180" s="18" t="s">
        <v>36</v>
      </c>
      <c r="E180" s="22" t="s">
        <v>70</v>
      </c>
      <c r="F180" s="37" t="s">
        <v>79</v>
      </c>
      <c r="G180" s="18" t="s">
        <v>93</v>
      </c>
      <c r="I180" s="21">
        <v>-10.01</v>
      </c>
      <c r="J180" s="19">
        <f t="shared" si="83"/>
        <v>1652757.4900000002</v>
      </c>
      <c r="K180" s="85">
        <f>I179/J179*12</f>
        <v>0.11069520667607513</v>
      </c>
    </row>
    <row r="181" spans="1:11" x14ac:dyDescent="0.2">
      <c r="A181" s="16">
        <f t="shared" si="59"/>
        <v>175</v>
      </c>
      <c r="B181" s="17">
        <v>46147</v>
      </c>
      <c r="C181" s="39">
        <f t="shared" si="82"/>
        <v>2026</v>
      </c>
      <c r="D181" s="18" t="s">
        <v>34</v>
      </c>
      <c r="E181" s="18"/>
      <c r="F181" t="s">
        <v>142</v>
      </c>
      <c r="G181" s="18" t="s">
        <v>144</v>
      </c>
      <c r="H181" s="22" t="s">
        <v>41</v>
      </c>
      <c r="I181" s="21">
        <v>-1998</v>
      </c>
      <c r="J181" s="19">
        <f t="shared" si="83"/>
        <v>1650759.4900000002</v>
      </c>
    </row>
    <row r="182" spans="1:11" x14ac:dyDescent="0.2">
      <c r="A182" s="16">
        <f t="shared" si="59"/>
        <v>176</v>
      </c>
      <c r="B182" s="17">
        <v>46148</v>
      </c>
      <c r="C182" s="39">
        <f t="shared" si="82"/>
        <v>2026</v>
      </c>
      <c r="D182" s="18" t="s">
        <v>34</v>
      </c>
      <c r="E182" s="18"/>
      <c r="F182" t="s">
        <v>142</v>
      </c>
      <c r="G182" s="18" t="s">
        <v>144</v>
      </c>
      <c r="H182" s="22" t="s">
        <v>41</v>
      </c>
      <c r="I182" s="21">
        <v>-93.1</v>
      </c>
      <c r="J182" s="19">
        <f t="shared" si="83"/>
        <v>1650666.3900000001</v>
      </c>
    </row>
    <row r="183" spans="1:11" x14ac:dyDescent="0.2">
      <c r="A183" s="16">
        <f t="shared" si="59"/>
        <v>177</v>
      </c>
      <c r="B183" s="17">
        <v>46153</v>
      </c>
      <c r="C183" s="39">
        <f t="shared" ref="C183:C187" si="84">IF(B183="","",YEAR(B183))</f>
        <v>2026</v>
      </c>
      <c r="D183" s="18" t="s">
        <v>34</v>
      </c>
      <c r="E183" s="18"/>
      <c r="F183" t="s">
        <v>142</v>
      </c>
      <c r="G183" s="18" t="s">
        <v>144</v>
      </c>
      <c r="H183" s="22" t="s">
        <v>41</v>
      </c>
      <c r="I183" s="21">
        <v>-377</v>
      </c>
      <c r="J183" s="19">
        <f t="shared" ref="J183:J199" si="85">IF(I183="",".",J182+I183)</f>
        <v>1650289.3900000001</v>
      </c>
    </row>
    <row r="184" spans="1:11" x14ac:dyDescent="0.2">
      <c r="A184" s="16">
        <f t="shared" si="59"/>
        <v>178</v>
      </c>
      <c r="B184" s="17">
        <v>46173</v>
      </c>
      <c r="C184" s="39">
        <f t="shared" si="84"/>
        <v>2026</v>
      </c>
      <c r="D184" s="18" t="s">
        <v>35</v>
      </c>
      <c r="E184" s="22" t="s">
        <v>71</v>
      </c>
      <c r="F184" s="37" t="s">
        <v>68</v>
      </c>
      <c r="G184" s="18" t="s">
        <v>155</v>
      </c>
      <c r="I184" s="21">
        <v>15241.93</v>
      </c>
      <c r="J184" s="19">
        <f t="shared" si="85"/>
        <v>1665531.32</v>
      </c>
    </row>
    <row r="185" spans="1:11" x14ac:dyDescent="0.2">
      <c r="A185" s="16">
        <f t="shared" si="59"/>
        <v>179</v>
      </c>
      <c r="B185" s="17">
        <v>46173</v>
      </c>
      <c r="C185" s="39">
        <f t="shared" si="84"/>
        <v>2026</v>
      </c>
      <c r="D185" s="18" t="s">
        <v>36</v>
      </c>
      <c r="E185" s="22" t="s">
        <v>70</v>
      </c>
      <c r="F185" s="37" t="s">
        <v>79</v>
      </c>
      <c r="G185" s="18" t="s">
        <v>93</v>
      </c>
      <c r="I185" s="21">
        <v>-18558.849999999999</v>
      </c>
      <c r="J185" s="19">
        <f t="shared" si="85"/>
        <v>1646972.47</v>
      </c>
      <c r="K185" s="75">
        <f>(I184+I185)/J184*12</f>
        <v>-2.3898103579343064E-2</v>
      </c>
    </row>
    <row r="186" spans="1:11" x14ac:dyDescent="0.2">
      <c r="A186" s="16">
        <f t="shared" si="59"/>
        <v>180</v>
      </c>
      <c r="B186" s="17">
        <v>46178</v>
      </c>
      <c r="C186" s="39">
        <f t="shared" si="84"/>
        <v>2026</v>
      </c>
      <c r="D186" s="18" t="s">
        <v>34</v>
      </c>
      <c r="E186" s="18"/>
      <c r="F186" t="s">
        <v>142</v>
      </c>
      <c r="G186" s="18" t="s">
        <v>144</v>
      </c>
      <c r="H186" s="22" t="s">
        <v>41</v>
      </c>
      <c r="I186" s="21">
        <v>-2091.1</v>
      </c>
      <c r="J186" s="19">
        <f t="shared" si="85"/>
        <v>1644881.3699999999</v>
      </c>
    </row>
    <row r="187" spans="1:11" x14ac:dyDescent="0.2">
      <c r="A187" s="16">
        <f t="shared" si="59"/>
        <v>181</v>
      </c>
      <c r="B187" s="17">
        <v>46183</v>
      </c>
      <c r="C187" s="39">
        <f t="shared" si="84"/>
        <v>2026</v>
      </c>
      <c r="D187" s="18" t="s">
        <v>34</v>
      </c>
      <c r="E187" s="18"/>
      <c r="F187" t="s">
        <v>142</v>
      </c>
      <c r="G187" s="18" t="s">
        <v>144</v>
      </c>
      <c r="H187" s="22" t="s">
        <v>41</v>
      </c>
      <c r="I187" s="21">
        <v>-377</v>
      </c>
      <c r="J187" s="19">
        <f t="shared" si="85"/>
        <v>1644504.3699999999</v>
      </c>
    </row>
    <row r="188" spans="1:11" x14ac:dyDescent="0.2">
      <c r="A188" s="16">
        <f t="shared" si="59"/>
        <v>182</v>
      </c>
      <c r="B188" s="17">
        <v>46190</v>
      </c>
      <c r="C188" s="39">
        <f t="shared" ref="C188:C191" si="86">IF(B188="","",YEAR(B188))</f>
        <v>2026</v>
      </c>
      <c r="D188" s="18" t="s">
        <v>34</v>
      </c>
      <c r="E188" s="18"/>
      <c r="F188" t="s">
        <v>142</v>
      </c>
      <c r="G188" s="18" t="s">
        <v>144</v>
      </c>
      <c r="H188" s="22" t="s">
        <v>41</v>
      </c>
      <c r="I188" s="21">
        <v>-935.39</v>
      </c>
      <c r="J188" s="19">
        <f t="shared" si="85"/>
        <v>1643568.98</v>
      </c>
    </row>
    <row r="189" spans="1:11" x14ac:dyDescent="0.2">
      <c r="A189" s="16">
        <f t="shared" si="59"/>
        <v>183</v>
      </c>
      <c r="B189" s="17">
        <v>46203</v>
      </c>
      <c r="C189" s="39">
        <f t="shared" si="86"/>
        <v>2026</v>
      </c>
      <c r="D189" s="18" t="s">
        <v>35</v>
      </c>
      <c r="E189" s="22" t="s">
        <v>71</v>
      </c>
      <c r="F189" s="37" t="s">
        <v>68</v>
      </c>
      <c r="G189" s="18" t="s">
        <v>155</v>
      </c>
      <c r="I189" s="21">
        <v>15694.11</v>
      </c>
      <c r="J189" s="19">
        <f t="shared" si="85"/>
        <v>1659263.09</v>
      </c>
    </row>
    <row r="190" spans="1:11" x14ac:dyDescent="0.2">
      <c r="A190" s="16">
        <f t="shared" si="59"/>
        <v>184</v>
      </c>
      <c r="B190" s="17">
        <v>46203</v>
      </c>
      <c r="C190" s="39">
        <f t="shared" si="86"/>
        <v>2026</v>
      </c>
      <c r="D190" s="18" t="s">
        <v>36</v>
      </c>
      <c r="E190" s="22" t="s">
        <v>70</v>
      </c>
      <c r="F190" s="37" t="s">
        <v>79</v>
      </c>
      <c r="G190" s="18" t="s">
        <v>93</v>
      </c>
      <c r="I190" s="21">
        <v>-2.33</v>
      </c>
      <c r="J190" s="19">
        <f t="shared" si="85"/>
        <v>1659260.76</v>
      </c>
      <c r="K190" s="75">
        <f>(I189+I190)/J189*12</f>
        <v>0.1134849326395852</v>
      </c>
    </row>
    <row r="191" spans="1:11" x14ac:dyDescent="0.2">
      <c r="A191" s="16">
        <f t="shared" si="59"/>
        <v>185</v>
      </c>
      <c r="B191" s="17">
        <v>46209</v>
      </c>
      <c r="C191" s="39">
        <f t="shared" si="86"/>
        <v>2026</v>
      </c>
      <c r="D191" s="18" t="s">
        <v>34</v>
      </c>
      <c r="E191" s="18"/>
      <c r="F191" t="s">
        <v>142</v>
      </c>
      <c r="G191" s="18" t="s">
        <v>144</v>
      </c>
      <c r="H191" s="22" t="s">
        <v>41</v>
      </c>
      <c r="I191" s="21">
        <v>-93.1</v>
      </c>
      <c r="J191" s="19">
        <f t="shared" si="85"/>
        <v>1659167.66</v>
      </c>
    </row>
    <row r="192" spans="1:11" x14ac:dyDescent="0.2">
      <c r="A192" s="16">
        <f t="shared" si="59"/>
        <v>186</v>
      </c>
      <c r="B192" s="17">
        <v>46213</v>
      </c>
      <c r="C192" s="39">
        <f t="shared" ref="C192:C195" si="87">IF(B192="","",YEAR(B192))</f>
        <v>2026</v>
      </c>
      <c r="D192" s="18" t="s">
        <v>34</v>
      </c>
      <c r="E192" s="18"/>
      <c r="F192" t="s">
        <v>142</v>
      </c>
      <c r="G192" s="18" t="s">
        <v>144</v>
      </c>
      <c r="H192" s="22" t="s">
        <v>41</v>
      </c>
      <c r="I192" s="21">
        <v>-2375</v>
      </c>
      <c r="J192" s="19">
        <f t="shared" si="85"/>
        <v>1656792.66</v>
      </c>
    </row>
    <row r="193" spans="1:14" x14ac:dyDescent="0.2">
      <c r="A193" s="16">
        <f t="shared" si="59"/>
        <v>187</v>
      </c>
      <c r="B193" s="17">
        <v>46234</v>
      </c>
      <c r="C193" s="39">
        <f t="shared" si="87"/>
        <v>2026</v>
      </c>
      <c r="D193" s="18" t="s">
        <v>35</v>
      </c>
      <c r="E193" s="22" t="s">
        <v>71</v>
      </c>
      <c r="F193" s="37" t="s">
        <v>68</v>
      </c>
      <c r="G193" s="18" t="s">
        <v>155</v>
      </c>
      <c r="I193" s="21">
        <v>17203.96</v>
      </c>
      <c r="J193" s="19">
        <f t="shared" si="85"/>
        <v>1673996.6199999999</v>
      </c>
    </row>
    <row r="194" spans="1:14" x14ac:dyDescent="0.2">
      <c r="A194" s="16">
        <f t="shared" si="59"/>
        <v>188</v>
      </c>
      <c r="B194" s="17">
        <v>46234</v>
      </c>
      <c r="C194" s="39">
        <f t="shared" si="87"/>
        <v>2026</v>
      </c>
      <c r="D194" s="18" t="s">
        <v>36</v>
      </c>
      <c r="E194" s="22" t="s">
        <v>70</v>
      </c>
      <c r="F194" s="37" t="s">
        <v>79</v>
      </c>
      <c r="G194" s="18" t="s">
        <v>93</v>
      </c>
      <c r="I194" s="21">
        <v>-6.63</v>
      </c>
      <c r="J194" s="19">
        <f t="shared" si="85"/>
        <v>1673989.99</v>
      </c>
      <c r="K194" s="75">
        <f>(I193+I194)/J193*12</f>
        <v>0.1232786001682608</v>
      </c>
    </row>
    <row r="195" spans="1:14" x14ac:dyDescent="0.2">
      <c r="A195" s="16">
        <f t="shared" si="59"/>
        <v>189</v>
      </c>
      <c r="B195" s="17">
        <v>46239</v>
      </c>
      <c r="C195" s="39">
        <f t="shared" si="87"/>
        <v>2026</v>
      </c>
      <c r="D195" s="18" t="s">
        <v>34</v>
      </c>
      <c r="E195" s="18"/>
      <c r="F195" t="s">
        <v>142</v>
      </c>
      <c r="G195" s="18" t="s">
        <v>144</v>
      </c>
      <c r="H195" s="22" t="s">
        <v>41</v>
      </c>
      <c r="I195" s="21">
        <v>-2091.1</v>
      </c>
      <c r="J195" s="19">
        <f t="shared" si="85"/>
        <v>1671898.89</v>
      </c>
    </row>
    <row r="196" spans="1:14" x14ac:dyDescent="0.2">
      <c r="A196" s="16">
        <f t="shared" si="59"/>
        <v>190</v>
      </c>
      <c r="B196" s="17">
        <v>46244</v>
      </c>
      <c r="C196" s="39">
        <f t="shared" ref="C196:C198" si="88">IF(B196="","",YEAR(B196))</f>
        <v>2026</v>
      </c>
      <c r="D196" s="18" t="s">
        <v>34</v>
      </c>
      <c r="E196" s="18"/>
      <c r="F196" t="s">
        <v>142</v>
      </c>
      <c r="G196" s="18" t="s">
        <v>144</v>
      </c>
      <c r="H196" s="22" t="s">
        <v>41</v>
      </c>
      <c r="I196" s="21">
        <v>-377</v>
      </c>
      <c r="J196" s="19">
        <f t="shared" si="85"/>
        <v>1671521.89</v>
      </c>
    </row>
    <row r="197" spans="1:14" x14ac:dyDescent="0.2">
      <c r="A197" s="16">
        <f t="shared" si="59"/>
        <v>191</v>
      </c>
      <c r="B197" s="17">
        <v>46265</v>
      </c>
      <c r="C197" s="39">
        <f t="shared" si="88"/>
        <v>2026</v>
      </c>
      <c r="D197" s="18" t="s">
        <v>35</v>
      </c>
      <c r="E197" s="22" t="s">
        <v>71</v>
      </c>
      <c r="F197" s="37" t="s">
        <v>68</v>
      </c>
      <c r="G197" s="18" t="s">
        <v>155</v>
      </c>
      <c r="I197" s="21">
        <v>15667.56</v>
      </c>
      <c r="J197" s="19">
        <f t="shared" si="85"/>
        <v>1687189.45</v>
      </c>
    </row>
    <row r="198" spans="1:14" x14ac:dyDescent="0.2">
      <c r="A198" s="16">
        <f t="shared" si="59"/>
        <v>192</v>
      </c>
      <c r="B198" s="17">
        <v>46265</v>
      </c>
      <c r="C198" s="39">
        <f t="shared" si="88"/>
        <v>2026</v>
      </c>
      <c r="D198" s="18" t="s">
        <v>36</v>
      </c>
      <c r="E198" s="22" t="s">
        <v>70</v>
      </c>
      <c r="F198" s="37" t="s">
        <v>79</v>
      </c>
      <c r="G198" s="18" t="s">
        <v>93</v>
      </c>
      <c r="I198" s="21">
        <v>-10.71</v>
      </c>
      <c r="J198" s="19">
        <f t="shared" si="85"/>
        <v>1687178.74</v>
      </c>
      <c r="K198" s="75">
        <f>(I197+I198)/J197*12</f>
        <v>0.11135809318864577</v>
      </c>
    </row>
    <row r="199" spans="1:14" x14ac:dyDescent="0.2">
      <c r="A199" s="16">
        <f t="shared" si="59"/>
        <v>193</v>
      </c>
      <c r="B199" s="17">
        <v>46295</v>
      </c>
      <c r="C199" s="39">
        <f t="shared" ref="C199" si="89">IF(B199="","",YEAR(B199))</f>
        <v>2026</v>
      </c>
      <c r="D199" s="18" t="s">
        <v>35</v>
      </c>
      <c r="E199" s="22" t="s">
        <v>71</v>
      </c>
      <c r="F199" s="37" t="s">
        <v>68</v>
      </c>
      <c r="G199" s="18" t="s">
        <v>155</v>
      </c>
      <c r="I199" s="21">
        <v>15176.21</v>
      </c>
      <c r="J199" s="19">
        <f t="shared" si="85"/>
        <v>1702354.95</v>
      </c>
      <c r="K199" s="75">
        <f>(+I199)/J198*12</f>
        <v>0.10794026482339387</v>
      </c>
      <c r="L199" s="53">
        <f>J199/M199</f>
        <v>288534.73728813557</v>
      </c>
      <c r="M199" s="86">
        <f>'Conta corrente'!M263</f>
        <v>5.9</v>
      </c>
      <c r="N199" s="18" t="s">
        <v>104</v>
      </c>
    </row>
    <row r="200" spans="1:14" x14ac:dyDescent="0.2">
      <c r="A200" s="16"/>
      <c r="I200" s="21"/>
      <c r="J200" s="19" t="str">
        <f>IF(I200="",".",J11+I200)</f>
        <v>.</v>
      </c>
    </row>
    <row r="201" spans="1:14" s="10" customFormat="1" x14ac:dyDescent="0.2">
      <c r="A201" s="23"/>
      <c r="B201" s="24"/>
      <c r="C201" s="24"/>
      <c r="D201" s="25"/>
      <c r="E201" s="25"/>
      <c r="F201" s="25"/>
      <c r="G201" s="26"/>
      <c r="H201" s="26"/>
      <c r="I201" s="27"/>
      <c r="J201" s="28">
        <f>INDEX(J6:J200,COUNTIF(J6:J200,"&lt;&gt;."))</f>
        <v>1702354.95</v>
      </c>
      <c r="K201" s="5"/>
      <c r="L201" s="8"/>
    </row>
    <row r="202" spans="1:14" x14ac:dyDescent="0.2">
      <c r="J202" s="7"/>
    </row>
    <row r="205" spans="1:14" x14ac:dyDescent="0.2">
      <c r="K205" s="125">
        <v>2025</v>
      </c>
      <c r="L205" s="108">
        <f>(J125+J128+J130+J132+J134+J138+J142+J147+J151+J159+J164+J170)/12</f>
        <v>1204396.2866666664</v>
      </c>
      <c r="M205" s="108">
        <f>('Resumo BB INV'!F32+'Resumo BB INV'!G32)/12</f>
        <v>9210.18</v>
      </c>
      <c r="N205" s="109">
        <f>(M205/L205)*12</f>
        <v>9.1765610060028827E-2</v>
      </c>
    </row>
    <row r="206" spans="1:14" x14ac:dyDescent="0.2">
      <c r="K206" s="125" t="s">
        <v>150</v>
      </c>
      <c r="L206" s="108">
        <f>(+J173+J174+J175+J179+J184+J189+J193)/7</f>
        <v>1645655.7542857141</v>
      </c>
      <c r="M206" s="108">
        <f>('Resumo BB INV'!F33+'Resumo BB INV'!G33)/7</f>
        <v>17522.424285714285</v>
      </c>
      <c r="N206" s="109">
        <f>(M206/L206)*7</f>
        <v>7.453379583218997E-2</v>
      </c>
    </row>
    <row r="207" spans="1:14" x14ac:dyDescent="0.2">
      <c r="L207" s="110" t="s">
        <v>149</v>
      </c>
      <c r="M207" s="110" t="s">
        <v>130</v>
      </c>
      <c r="N207" s="110" t="s">
        <v>131</v>
      </c>
    </row>
    <row r="209" spans="12:12" x14ac:dyDescent="0.2">
      <c r="L209" s="37" t="s">
        <v>133</v>
      </c>
    </row>
  </sheetData>
  <autoFilter ref="A5:J202" xr:uid="{00000000-0009-0000-0000-000003000000}"/>
  <pageMargins left="0.78740157499999996" right="0.78740157499999996" top="0.984251969" bottom="0.984251969" header="0.4921259845" footer="0.4921259845"/>
  <pageSetup paperSize="9" orientation="landscape" horizontalDpi="4294967293" vertic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J98"/>
  <sheetViews>
    <sheetView workbookViewId="0">
      <selection activeCell="F11" sqref="F11"/>
    </sheetView>
  </sheetViews>
  <sheetFormatPr defaultColWidth="11.42578125" defaultRowHeight="12.75" x14ac:dyDescent="0.2"/>
  <cols>
    <col min="1" max="1" width="33.7109375" customWidth="1"/>
    <col min="2" max="2" width="20.140625" bestFit="1" customWidth="1"/>
    <col min="3" max="3" width="15.28515625" bestFit="1" customWidth="1"/>
    <col min="4" max="4" width="15.28515625" style="7" bestFit="1" customWidth="1"/>
    <col min="5" max="8" width="15.28515625" bestFit="1" customWidth="1"/>
    <col min="9" max="10" width="21" bestFit="1" customWidth="1"/>
    <col min="11" max="11" width="10.5703125" customWidth="1"/>
    <col min="12" max="12" width="17.7109375" customWidth="1"/>
    <col min="13" max="13" width="16.140625" customWidth="1"/>
    <col min="14" max="14" width="9.85546875" customWidth="1"/>
  </cols>
  <sheetData>
    <row r="3" spans="1:10" ht="15" x14ac:dyDescent="0.25">
      <c r="A3" s="29" t="s">
        <v>67</v>
      </c>
      <c r="B3" s="30"/>
      <c r="C3" s="30" t="s">
        <v>40</v>
      </c>
      <c r="D3" s="30"/>
      <c r="E3" s="30"/>
      <c r="F3" s="30"/>
      <c r="G3" s="113"/>
      <c r="H3" s="30"/>
      <c r="I3" s="30"/>
    </row>
    <row r="4" spans="1:10" s="4" customFormat="1" ht="15" x14ac:dyDescent="0.25">
      <c r="A4" s="59" t="s">
        <v>23</v>
      </c>
      <c r="B4" s="59" t="s">
        <v>24</v>
      </c>
      <c r="C4" s="59">
        <v>2021</v>
      </c>
      <c r="D4" s="59">
        <v>2022</v>
      </c>
      <c r="E4" s="59">
        <v>2023</v>
      </c>
      <c r="F4" s="59">
        <v>2024</v>
      </c>
      <c r="G4" s="59">
        <v>2025</v>
      </c>
      <c r="H4" s="59">
        <v>2026</v>
      </c>
      <c r="I4" s="84" t="s">
        <v>158</v>
      </c>
      <c r="J4"/>
    </row>
    <row r="5" spans="1:10" ht="15.75" thickBot="1" x14ac:dyDescent="0.3">
      <c r="A5" s="31" t="s">
        <v>38</v>
      </c>
      <c r="B5" s="18"/>
      <c r="C5" s="48"/>
      <c r="D5" s="48"/>
      <c r="E5" s="48"/>
      <c r="F5" s="48"/>
      <c r="G5" s="48"/>
      <c r="H5" s="48"/>
      <c r="I5" s="83"/>
    </row>
    <row r="6" spans="1:10" ht="13.5" thickTop="1" x14ac:dyDescent="0.2">
      <c r="A6" s="18"/>
      <c r="B6" s="32" t="s">
        <v>33</v>
      </c>
      <c r="C6" s="49">
        <v>600000</v>
      </c>
      <c r="D6" s="49">
        <v>583210.91</v>
      </c>
      <c r="E6" s="49">
        <v>255040.77</v>
      </c>
      <c r="F6" s="49"/>
      <c r="G6" s="49">
        <v>597295.96</v>
      </c>
      <c r="H6" s="49"/>
      <c r="I6" s="81">
        <v>2035547.6400000001</v>
      </c>
    </row>
    <row r="7" spans="1:10" x14ac:dyDescent="0.2">
      <c r="A7" s="18"/>
      <c r="B7" s="32" t="s">
        <v>34</v>
      </c>
      <c r="C7" s="49">
        <v>-600000</v>
      </c>
      <c r="D7" s="49"/>
      <c r="E7" s="49"/>
      <c r="F7" s="49"/>
      <c r="G7" s="49"/>
      <c r="H7" s="49"/>
      <c r="I7" s="81">
        <v>-600000</v>
      </c>
    </row>
    <row r="8" spans="1:10" ht="13.5" thickBot="1" x14ac:dyDescent="0.25">
      <c r="A8" s="18"/>
      <c r="B8" s="18"/>
      <c r="C8" s="48"/>
      <c r="D8" s="48"/>
      <c r="E8" s="48"/>
      <c r="F8" s="48"/>
      <c r="G8" s="48"/>
      <c r="H8" s="48"/>
      <c r="I8" s="80"/>
    </row>
    <row r="9" spans="1:10" ht="15.75" thickTop="1" x14ac:dyDescent="0.25">
      <c r="A9" s="31" t="s">
        <v>68</v>
      </c>
      <c r="B9" s="18"/>
      <c r="C9" s="48"/>
      <c r="D9" s="48"/>
      <c r="E9" s="48"/>
      <c r="F9" s="48"/>
      <c r="G9" s="48"/>
      <c r="H9" s="48"/>
      <c r="I9" s="80"/>
    </row>
    <row r="10" spans="1:10" ht="13.5" thickTop="1" x14ac:dyDescent="0.2">
      <c r="A10" s="18"/>
      <c r="B10" s="32" t="s">
        <v>155</v>
      </c>
      <c r="C10" s="49">
        <v>536.34</v>
      </c>
      <c r="D10" s="49">
        <v>33780.47</v>
      </c>
      <c r="E10" s="49">
        <v>90650.189999999988</v>
      </c>
      <c r="F10" s="49">
        <v>80942.61</v>
      </c>
      <c r="G10" s="49">
        <v>135991.31</v>
      </c>
      <c r="H10" s="49">
        <v>141245.5</v>
      </c>
      <c r="I10" s="81">
        <v>483146.42</v>
      </c>
    </row>
    <row r="11" spans="1:10" x14ac:dyDescent="0.2">
      <c r="A11" s="18"/>
      <c r="B11" s="18"/>
      <c r="C11" s="48"/>
      <c r="D11" s="48"/>
      <c r="E11" s="48"/>
      <c r="F11" s="48"/>
      <c r="G11" s="48"/>
      <c r="H11" s="48"/>
      <c r="I11" s="80"/>
    </row>
    <row r="12" spans="1:10" ht="15.75" thickBot="1" x14ac:dyDescent="0.3">
      <c r="A12" s="31" t="s">
        <v>79</v>
      </c>
      <c r="B12" s="18"/>
      <c r="C12" s="48"/>
      <c r="D12" s="48"/>
      <c r="E12" s="48"/>
      <c r="F12" s="48"/>
      <c r="G12" s="48"/>
      <c r="H12" s="48"/>
      <c r="I12" s="80"/>
    </row>
    <row r="13" spans="1:10" ht="13.5" thickTop="1" x14ac:dyDescent="0.2">
      <c r="A13" s="18"/>
      <c r="B13" s="32" t="s">
        <v>78</v>
      </c>
      <c r="C13" s="49">
        <v>-445.05</v>
      </c>
      <c r="D13" s="49">
        <v>-0.21000000000000002</v>
      </c>
      <c r="E13" s="49"/>
      <c r="F13" s="49"/>
      <c r="G13" s="49"/>
      <c r="H13" s="49"/>
      <c r="I13" s="81">
        <v>-445.26</v>
      </c>
    </row>
    <row r="14" spans="1:10" x14ac:dyDescent="0.2">
      <c r="A14" s="18"/>
      <c r="B14" s="32" t="s">
        <v>93</v>
      </c>
      <c r="C14" s="49">
        <v>-20.5</v>
      </c>
      <c r="D14" s="49">
        <v>-5609.9299999999994</v>
      </c>
      <c r="E14" s="49">
        <v>-17894.579999999998</v>
      </c>
      <c r="F14" s="49">
        <v>-16073.35</v>
      </c>
      <c r="G14" s="49">
        <v>-25469.15</v>
      </c>
      <c r="H14" s="49">
        <v>-18588.53</v>
      </c>
      <c r="I14" s="81">
        <v>-83656.040000000008</v>
      </c>
    </row>
    <row r="15" spans="1:10" x14ac:dyDescent="0.2">
      <c r="A15" s="18"/>
      <c r="B15" s="18"/>
      <c r="C15" s="48"/>
      <c r="D15" s="48"/>
      <c r="E15" s="48"/>
      <c r="F15" s="48"/>
      <c r="G15" s="48"/>
      <c r="H15" s="48"/>
      <c r="I15" s="80"/>
    </row>
    <row r="16" spans="1:10" ht="15" x14ac:dyDescent="0.25">
      <c r="A16" s="31" t="s">
        <v>142</v>
      </c>
      <c r="B16" s="18"/>
      <c r="C16" s="48"/>
      <c r="D16" s="48"/>
      <c r="E16" s="48"/>
      <c r="F16" s="48"/>
      <c r="G16" s="48"/>
      <c r="H16" s="48"/>
      <c r="I16" s="80"/>
    </row>
    <row r="17" spans="1:9" x14ac:dyDescent="0.2">
      <c r="A17" s="18"/>
      <c r="B17" s="32" t="s">
        <v>144</v>
      </c>
      <c r="C17" s="49"/>
      <c r="D17" s="49">
        <v>-1050</v>
      </c>
      <c r="E17" s="49">
        <v>-2050</v>
      </c>
      <c r="F17" s="49">
        <v>-20209.989999999998</v>
      </c>
      <c r="G17" s="49">
        <v>-30788.37000000001</v>
      </c>
      <c r="H17" s="49">
        <v>-12024.750000000002</v>
      </c>
      <c r="I17" s="81">
        <v>-66123.110000000015</v>
      </c>
    </row>
    <row r="18" spans="1:9" x14ac:dyDescent="0.2">
      <c r="A18" s="18"/>
      <c r="B18" s="32" t="s">
        <v>143</v>
      </c>
      <c r="C18" s="49"/>
      <c r="D18" s="49"/>
      <c r="E18" s="49"/>
      <c r="F18" s="49"/>
      <c r="G18" s="49">
        <v>-62000</v>
      </c>
      <c r="H18" s="49"/>
      <c r="I18" s="81">
        <v>-62000</v>
      </c>
    </row>
    <row r="19" spans="1:9" x14ac:dyDescent="0.2">
      <c r="A19" s="18"/>
      <c r="B19" s="32" t="s">
        <v>77</v>
      </c>
      <c r="C19" s="49"/>
      <c r="D19" s="49">
        <v>-466.82</v>
      </c>
      <c r="E19" s="49">
        <v>-762</v>
      </c>
      <c r="F19" s="49">
        <v>-2812.0800000000008</v>
      </c>
      <c r="G19" s="49">
        <v>-73.8</v>
      </c>
      <c r="H19" s="49"/>
      <c r="I19" s="81">
        <v>-4114.7000000000007</v>
      </c>
    </row>
    <row r="20" spans="1:9" x14ac:dyDescent="0.2">
      <c r="A20" s="18"/>
      <c r="B20" s="18"/>
      <c r="C20" s="48"/>
      <c r="D20" s="48"/>
      <c r="E20" s="48"/>
      <c r="F20" s="48"/>
      <c r="G20" s="48"/>
      <c r="H20" s="48"/>
      <c r="I20" s="80"/>
    </row>
    <row r="21" spans="1:9" ht="15" x14ac:dyDescent="0.25">
      <c r="A21" s="29" t="s">
        <v>158</v>
      </c>
      <c r="B21" s="29"/>
      <c r="C21" s="50">
        <v>70.79000000000002</v>
      </c>
      <c r="D21" s="50">
        <v>609864.42000000004</v>
      </c>
      <c r="E21" s="50">
        <v>324984.37999999995</v>
      </c>
      <c r="F21" s="50">
        <v>41847.19</v>
      </c>
      <c r="G21" s="50">
        <v>614955.94999999995</v>
      </c>
      <c r="H21" s="50">
        <v>110632.22</v>
      </c>
      <c r="I21" s="82">
        <v>1702354.95</v>
      </c>
    </row>
    <row r="22" spans="1:9" x14ac:dyDescent="0.2">
      <c r="D22"/>
    </row>
    <row r="23" spans="1:9" x14ac:dyDescent="0.2">
      <c r="D23"/>
    </row>
    <row r="24" spans="1:9" x14ac:dyDescent="0.2">
      <c r="D24"/>
    </row>
    <row r="25" spans="1:9" x14ac:dyDescent="0.2">
      <c r="D25"/>
    </row>
    <row r="26" spans="1:9" x14ac:dyDescent="0.2">
      <c r="E26" s="121" t="s">
        <v>119</v>
      </c>
      <c r="F26" s="122"/>
      <c r="G26" s="122"/>
      <c r="H26" s="123"/>
    </row>
    <row r="27" spans="1:9" x14ac:dyDescent="0.2">
      <c r="E27" s="12" t="s">
        <v>80</v>
      </c>
      <c r="F27" s="13" t="s">
        <v>68</v>
      </c>
      <c r="G27" s="69" t="s">
        <v>43</v>
      </c>
      <c r="H27" s="70" t="s">
        <v>138</v>
      </c>
    </row>
    <row r="28" spans="1:9" x14ac:dyDescent="0.2">
      <c r="E28" s="68">
        <f>C4</f>
        <v>2021</v>
      </c>
      <c r="F28" s="7">
        <f>C10</f>
        <v>536.34</v>
      </c>
      <c r="G28" s="7">
        <f>C13+C14</f>
        <v>-465.55</v>
      </c>
      <c r="H28" s="66">
        <f>-G28/F28</f>
        <v>0.86801282768393184</v>
      </c>
    </row>
    <row r="29" spans="1:9" x14ac:dyDescent="0.2">
      <c r="E29" s="68">
        <f>D4</f>
        <v>2022</v>
      </c>
      <c r="F29" s="7">
        <f>D10</f>
        <v>33780.47</v>
      </c>
      <c r="G29" s="7">
        <f>D13+D14</f>
        <v>-5610.1399999999994</v>
      </c>
      <c r="H29" s="66">
        <f t="shared" ref="H29:H33" si="0">-G29/F29</f>
        <v>0.16607643410526848</v>
      </c>
    </row>
    <row r="30" spans="1:9" x14ac:dyDescent="0.2">
      <c r="E30" s="68">
        <f>E4</f>
        <v>2023</v>
      </c>
      <c r="F30" s="7">
        <f>E10</f>
        <v>90650.189999999988</v>
      </c>
      <c r="G30" s="7">
        <f>E13+E14</f>
        <v>-17894.579999999998</v>
      </c>
      <c r="H30" s="66">
        <f t="shared" si="0"/>
        <v>0.19740256473814341</v>
      </c>
    </row>
    <row r="31" spans="1:9" x14ac:dyDescent="0.2">
      <c r="E31" s="68">
        <f>F4</f>
        <v>2024</v>
      </c>
      <c r="F31" s="7">
        <f>F10</f>
        <v>80942.61</v>
      </c>
      <c r="G31" s="7">
        <f>+F13+F14</f>
        <v>-16073.35</v>
      </c>
      <c r="H31" s="66">
        <f t="shared" si="0"/>
        <v>0.19857711531664224</v>
      </c>
    </row>
    <row r="32" spans="1:9" x14ac:dyDescent="0.2">
      <c r="E32" s="68">
        <f>G4</f>
        <v>2025</v>
      </c>
      <c r="F32" s="7">
        <f>G10</f>
        <v>135991.31</v>
      </c>
      <c r="G32" s="7">
        <f>+G13+G14</f>
        <v>-25469.15</v>
      </c>
      <c r="H32" s="66">
        <f>-G32/F32</f>
        <v>0.18728512873359335</v>
      </c>
    </row>
    <row r="33" spans="4:8" x14ac:dyDescent="0.2">
      <c r="E33" s="68">
        <f>H4</f>
        <v>2026</v>
      </c>
      <c r="F33" s="7">
        <f>H10</f>
        <v>141245.5</v>
      </c>
      <c r="G33" s="7">
        <f>H13+H14</f>
        <v>-18588.53</v>
      </c>
      <c r="H33" s="66">
        <f t="shared" si="0"/>
        <v>0.13160440509609156</v>
      </c>
    </row>
    <row r="34" spans="4:8" x14ac:dyDescent="0.2">
      <c r="E34" s="68"/>
      <c r="F34" s="7"/>
      <c r="G34" s="7"/>
      <c r="H34" s="66"/>
    </row>
    <row r="35" spans="4:8" x14ac:dyDescent="0.2">
      <c r="E35" s="68"/>
      <c r="F35" s="7"/>
      <c r="G35" s="7"/>
      <c r="H35" s="66"/>
    </row>
    <row r="36" spans="4:8" x14ac:dyDescent="0.2">
      <c r="D36"/>
      <c r="E36" s="12" t="s">
        <v>74</v>
      </c>
      <c r="F36" s="105">
        <f>SUM(F28:F35)</f>
        <v>483146.42</v>
      </c>
      <c r="G36" s="105">
        <f>SUM(G28:G35)</f>
        <v>-84101.299999999988</v>
      </c>
      <c r="H36" s="106">
        <f>-G36/F36</f>
        <v>0.17407000552751689</v>
      </c>
    </row>
    <row r="37" spans="4:8" x14ac:dyDescent="0.2">
      <c r="D37"/>
    </row>
    <row r="38" spans="4:8" x14ac:dyDescent="0.2">
      <c r="D38"/>
    </row>
    <row r="39" spans="4:8" x14ac:dyDescent="0.2">
      <c r="D39"/>
    </row>
    <row r="40" spans="4:8" x14ac:dyDescent="0.2">
      <c r="D40"/>
    </row>
    <row r="41" spans="4:8" x14ac:dyDescent="0.2">
      <c r="D41"/>
    </row>
    <row r="42" spans="4:8" x14ac:dyDescent="0.2">
      <c r="D42"/>
    </row>
    <row r="43" spans="4:8" x14ac:dyDescent="0.2">
      <c r="D43"/>
    </row>
    <row r="44" spans="4:8" x14ac:dyDescent="0.2">
      <c r="D44"/>
    </row>
    <row r="45" spans="4:8" x14ac:dyDescent="0.2">
      <c r="D45"/>
    </row>
    <row r="46" spans="4:8" x14ac:dyDescent="0.2">
      <c r="D46"/>
    </row>
    <row r="47" spans="4:8" x14ac:dyDescent="0.2">
      <c r="D47"/>
    </row>
    <row r="48" spans="4:8" x14ac:dyDescent="0.2">
      <c r="D48"/>
    </row>
    <row r="49" spans="4:4" x14ac:dyDescent="0.2">
      <c r="D49"/>
    </row>
    <row r="50" spans="4:4" x14ac:dyDescent="0.2">
      <c r="D50"/>
    </row>
    <row r="51" spans="4:4" x14ac:dyDescent="0.2">
      <c r="D51"/>
    </row>
    <row r="52" spans="4:4" x14ac:dyDescent="0.2">
      <c r="D52"/>
    </row>
    <row r="53" spans="4:4" x14ac:dyDescent="0.2">
      <c r="D53"/>
    </row>
    <row r="54" spans="4:4" x14ac:dyDescent="0.2">
      <c r="D54"/>
    </row>
    <row r="55" spans="4:4" x14ac:dyDescent="0.2">
      <c r="D55"/>
    </row>
    <row r="56" spans="4:4" x14ac:dyDescent="0.2">
      <c r="D56"/>
    </row>
    <row r="57" spans="4:4" x14ac:dyDescent="0.2">
      <c r="D57"/>
    </row>
    <row r="58" spans="4:4" x14ac:dyDescent="0.2">
      <c r="D58"/>
    </row>
    <row r="59" spans="4:4" x14ac:dyDescent="0.2">
      <c r="D59"/>
    </row>
    <row r="60" spans="4:4" x14ac:dyDescent="0.2">
      <c r="D60"/>
    </row>
    <row r="61" spans="4:4" x14ac:dyDescent="0.2">
      <c r="D61"/>
    </row>
    <row r="62" spans="4:4" x14ac:dyDescent="0.2">
      <c r="D62"/>
    </row>
    <row r="63" spans="4:4" x14ac:dyDescent="0.2">
      <c r="D63"/>
    </row>
    <row r="64" spans="4:4" x14ac:dyDescent="0.2">
      <c r="D64"/>
    </row>
    <row r="65" spans="4:4" x14ac:dyDescent="0.2">
      <c r="D65"/>
    </row>
    <row r="66" spans="4:4" x14ac:dyDescent="0.2">
      <c r="D66"/>
    </row>
    <row r="67" spans="4:4" x14ac:dyDescent="0.2">
      <c r="D67"/>
    </row>
    <row r="68" spans="4:4" x14ac:dyDescent="0.2">
      <c r="D68"/>
    </row>
    <row r="69" spans="4:4" x14ac:dyDescent="0.2">
      <c r="D69"/>
    </row>
    <row r="70" spans="4:4" x14ac:dyDescent="0.2">
      <c r="D70"/>
    </row>
    <row r="71" spans="4:4" x14ac:dyDescent="0.2">
      <c r="D71"/>
    </row>
    <row r="72" spans="4:4" x14ac:dyDescent="0.2">
      <c r="D72"/>
    </row>
    <row r="73" spans="4:4" x14ac:dyDescent="0.2">
      <c r="D73"/>
    </row>
    <row r="74" spans="4:4" x14ac:dyDescent="0.2">
      <c r="D74"/>
    </row>
    <row r="75" spans="4:4" x14ac:dyDescent="0.2">
      <c r="D75"/>
    </row>
    <row r="76" spans="4:4" x14ac:dyDescent="0.2">
      <c r="D76"/>
    </row>
    <row r="77" spans="4:4" x14ac:dyDescent="0.2">
      <c r="D77"/>
    </row>
    <row r="78" spans="4:4" x14ac:dyDescent="0.2">
      <c r="D78"/>
    </row>
    <row r="79" spans="4:4" x14ac:dyDescent="0.2">
      <c r="D79"/>
    </row>
    <row r="80" spans="4:4" x14ac:dyDescent="0.2">
      <c r="D80"/>
    </row>
    <row r="81" spans="4:4" x14ac:dyDescent="0.2">
      <c r="D81"/>
    </row>
    <row r="82" spans="4:4" x14ac:dyDescent="0.2">
      <c r="D82"/>
    </row>
    <row r="83" spans="4:4" x14ac:dyDescent="0.2">
      <c r="D83"/>
    </row>
    <row r="84" spans="4:4" x14ac:dyDescent="0.2">
      <c r="D84"/>
    </row>
    <row r="85" spans="4:4" x14ac:dyDescent="0.2">
      <c r="D85"/>
    </row>
    <row r="86" spans="4:4" x14ac:dyDescent="0.2">
      <c r="D86"/>
    </row>
    <row r="87" spans="4:4" x14ac:dyDescent="0.2">
      <c r="D87"/>
    </row>
    <row r="88" spans="4:4" x14ac:dyDescent="0.2">
      <c r="D88"/>
    </row>
    <row r="89" spans="4:4" x14ac:dyDescent="0.2">
      <c r="D89"/>
    </row>
    <row r="90" spans="4:4" x14ac:dyDescent="0.2">
      <c r="D90"/>
    </row>
    <row r="91" spans="4:4" x14ac:dyDescent="0.2">
      <c r="D91"/>
    </row>
    <row r="92" spans="4:4" x14ac:dyDescent="0.2">
      <c r="D92"/>
    </row>
    <row r="93" spans="4:4" x14ac:dyDescent="0.2">
      <c r="D93"/>
    </row>
    <row r="94" spans="4:4" x14ac:dyDescent="0.2">
      <c r="D94"/>
    </row>
    <row r="95" spans="4:4" x14ac:dyDescent="0.2">
      <c r="D95"/>
    </row>
    <row r="96" spans="4:4" x14ac:dyDescent="0.2">
      <c r="D96"/>
    </row>
    <row r="97" spans="4:4" x14ac:dyDescent="0.2">
      <c r="D97"/>
    </row>
    <row r="98" spans="4:4" x14ac:dyDescent="0.2">
      <c r="D98"/>
    </row>
  </sheetData>
  <pageMargins left="0.25" right="0.25" top="0.75" bottom="0.75" header="0.3" footer="0.3"/>
  <pageSetup paperSize="9" orientation="portrait" r:id="rId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62"/>
  <sheetViews>
    <sheetView tabSelected="1" workbookViewId="0">
      <pane ySplit="1" topLeftCell="A426" activePane="bottomLeft" state="frozen"/>
      <selection pane="bottomLeft" activeCell="M453" sqref="M453"/>
    </sheetView>
  </sheetViews>
  <sheetFormatPr defaultColWidth="9.140625" defaultRowHeight="12.75" x14ac:dyDescent="0.2"/>
  <cols>
    <col min="1" max="1" width="8" customWidth="1"/>
    <col min="2" max="2" width="10.140625" bestFit="1" customWidth="1"/>
    <col min="3" max="3" width="9.42578125" customWidth="1"/>
    <col min="4" max="4" width="33.140625" customWidth="1"/>
    <col min="5" max="5" width="14.140625" customWidth="1"/>
    <col min="6" max="6" width="26.7109375" customWidth="1"/>
    <col min="7" max="7" width="24.85546875" customWidth="1"/>
    <col min="8" max="8" width="27.5703125" customWidth="1"/>
    <col min="9" max="9" width="14.28515625" bestFit="1" customWidth="1"/>
    <col min="10" max="10" width="16.28515625" customWidth="1"/>
    <col min="11" max="11" width="10.7109375" customWidth="1"/>
    <col min="12" max="12" width="16.5703125" customWidth="1"/>
    <col min="13" max="13" width="9.140625" style="73"/>
  </cols>
  <sheetData>
    <row r="1" spans="1:13" s="5" customFormat="1" x14ac:dyDescent="0.2">
      <c r="A1" s="12" t="s">
        <v>12</v>
      </c>
      <c r="B1" s="13" t="s">
        <v>13</v>
      </c>
      <c r="C1" s="52" t="s">
        <v>40</v>
      </c>
      <c r="D1" s="13" t="s">
        <v>14</v>
      </c>
      <c r="E1" s="13" t="s">
        <v>69</v>
      </c>
      <c r="F1" s="13" t="s">
        <v>23</v>
      </c>
      <c r="G1" s="13" t="s">
        <v>24</v>
      </c>
      <c r="H1" s="13" t="s">
        <v>15</v>
      </c>
      <c r="I1" s="14" t="s">
        <v>16</v>
      </c>
      <c r="J1" s="15" t="s">
        <v>17</v>
      </c>
      <c r="M1" s="72"/>
    </row>
    <row r="2" spans="1:13" x14ac:dyDescent="0.2">
      <c r="A2" s="16">
        <v>1</v>
      </c>
      <c r="B2" s="17">
        <v>44538</v>
      </c>
      <c r="C2" s="39">
        <f t="shared" ref="C2:C65" si="0">IF(B2="","",YEAR(B2))</f>
        <v>2021</v>
      </c>
      <c r="D2" s="18" t="s">
        <v>27</v>
      </c>
      <c r="E2" s="18"/>
      <c r="G2" s="18"/>
      <c r="H2" s="18"/>
      <c r="I2" s="21">
        <v>0</v>
      </c>
      <c r="J2" s="19">
        <f>I2</f>
        <v>0</v>
      </c>
      <c r="M2"/>
    </row>
    <row r="3" spans="1:13" x14ac:dyDescent="0.2">
      <c r="A3" s="16">
        <f t="shared" ref="A3:A66" si="1">A2+1</f>
        <v>2</v>
      </c>
      <c r="B3" s="17">
        <v>44552</v>
      </c>
      <c r="C3" s="39">
        <f t="shared" si="0"/>
        <v>2021</v>
      </c>
      <c r="D3" s="18" t="s">
        <v>28</v>
      </c>
      <c r="E3" s="22" t="s">
        <v>71</v>
      </c>
      <c r="F3" s="37" t="s">
        <v>48</v>
      </c>
      <c r="G3" s="22" t="s">
        <v>49</v>
      </c>
      <c r="H3" s="18" t="s">
        <v>84</v>
      </c>
      <c r="I3" s="21">
        <v>600000</v>
      </c>
      <c r="J3" s="19">
        <f t="shared" ref="J3:J66" si="2">IF(I3="",".",J2+I3)</f>
        <v>600000</v>
      </c>
      <c r="M3"/>
    </row>
    <row r="4" spans="1:13" x14ac:dyDescent="0.2">
      <c r="A4" s="16">
        <f t="shared" si="1"/>
        <v>3</v>
      </c>
      <c r="B4" s="17">
        <v>44553</v>
      </c>
      <c r="C4" s="39">
        <f t="shared" si="0"/>
        <v>2021</v>
      </c>
      <c r="D4" s="18" t="s">
        <v>33</v>
      </c>
      <c r="E4" s="18"/>
      <c r="F4" s="37" t="s">
        <v>38</v>
      </c>
      <c r="G4" s="18" t="s">
        <v>33</v>
      </c>
      <c r="H4" s="22" t="s">
        <v>41</v>
      </c>
      <c r="I4" s="21">
        <v>-600000</v>
      </c>
      <c r="J4" s="19">
        <f t="shared" si="2"/>
        <v>0</v>
      </c>
      <c r="M4"/>
    </row>
    <row r="5" spans="1:13" x14ac:dyDescent="0.2">
      <c r="A5" s="16">
        <f t="shared" si="1"/>
        <v>4</v>
      </c>
      <c r="B5" s="17">
        <v>44558</v>
      </c>
      <c r="C5" s="39">
        <f t="shared" si="0"/>
        <v>2021</v>
      </c>
      <c r="D5" s="18" t="s">
        <v>34</v>
      </c>
      <c r="E5" s="18"/>
      <c r="F5" s="37" t="s">
        <v>38</v>
      </c>
      <c r="G5" s="18" t="s">
        <v>34</v>
      </c>
      <c r="H5" s="22" t="s">
        <v>41</v>
      </c>
      <c r="I5" s="21">
        <v>600000</v>
      </c>
      <c r="J5" s="19">
        <f t="shared" si="2"/>
        <v>600000</v>
      </c>
      <c r="M5"/>
    </row>
    <row r="6" spans="1:13" x14ac:dyDescent="0.2">
      <c r="A6" s="40">
        <f t="shared" si="1"/>
        <v>5</v>
      </c>
      <c r="B6" s="41">
        <v>44558</v>
      </c>
      <c r="C6" s="42">
        <f t="shared" si="0"/>
        <v>2021</v>
      </c>
      <c r="D6" s="43" t="s">
        <v>29</v>
      </c>
      <c r="E6" s="47" t="s">
        <v>70</v>
      </c>
      <c r="F6" s="46" t="s">
        <v>72</v>
      </c>
      <c r="G6" s="47" t="s">
        <v>39</v>
      </c>
      <c r="H6" s="43" t="s">
        <v>30</v>
      </c>
      <c r="I6" s="44">
        <v>-600000</v>
      </c>
      <c r="J6" s="45">
        <f t="shared" si="2"/>
        <v>0</v>
      </c>
      <c r="K6" s="67"/>
      <c r="M6"/>
    </row>
    <row r="7" spans="1:13" x14ac:dyDescent="0.2">
      <c r="A7" s="16">
        <f t="shared" si="1"/>
        <v>6</v>
      </c>
      <c r="B7" s="17">
        <v>44566</v>
      </c>
      <c r="C7" s="39">
        <f t="shared" si="0"/>
        <v>2022</v>
      </c>
      <c r="D7" s="18" t="s">
        <v>34</v>
      </c>
      <c r="E7" s="18"/>
      <c r="F7" t="s">
        <v>38</v>
      </c>
      <c r="G7" s="22" t="s">
        <v>34</v>
      </c>
      <c r="H7" s="22" t="s">
        <v>41</v>
      </c>
      <c r="I7" s="21">
        <v>60</v>
      </c>
      <c r="J7" s="19">
        <f t="shared" si="2"/>
        <v>60</v>
      </c>
      <c r="M7"/>
    </row>
    <row r="8" spans="1:13" x14ac:dyDescent="0.2">
      <c r="A8" s="16">
        <f t="shared" si="1"/>
        <v>7</v>
      </c>
      <c r="B8" s="17">
        <v>44566</v>
      </c>
      <c r="C8" s="39">
        <f t="shared" si="0"/>
        <v>2022</v>
      </c>
      <c r="D8" s="18" t="s">
        <v>31</v>
      </c>
      <c r="E8" s="22" t="s">
        <v>70</v>
      </c>
      <c r="F8" s="37" t="s">
        <v>92</v>
      </c>
      <c r="G8" s="22" t="s">
        <v>77</v>
      </c>
      <c r="H8" s="22" t="s">
        <v>41</v>
      </c>
      <c r="I8" s="21">
        <v>-60</v>
      </c>
      <c r="J8" s="19">
        <f t="shared" si="2"/>
        <v>0</v>
      </c>
      <c r="M8"/>
    </row>
    <row r="9" spans="1:13" x14ac:dyDescent="0.2">
      <c r="A9" s="16">
        <f t="shared" si="1"/>
        <v>8</v>
      </c>
      <c r="B9" s="17">
        <v>44599</v>
      </c>
      <c r="C9" s="39">
        <f t="shared" si="0"/>
        <v>2022</v>
      </c>
      <c r="D9" s="18" t="s">
        <v>31</v>
      </c>
      <c r="E9" s="22" t="s">
        <v>70</v>
      </c>
      <c r="F9" s="37" t="s">
        <v>92</v>
      </c>
      <c r="G9" s="22" t="s">
        <v>77</v>
      </c>
      <c r="H9" s="22" t="s">
        <v>41</v>
      </c>
      <c r="I9" s="21">
        <v>-10.82</v>
      </c>
      <c r="J9" s="19">
        <f t="shared" si="2"/>
        <v>-10.82</v>
      </c>
      <c r="M9"/>
    </row>
    <row r="10" spans="1:13" x14ac:dyDescent="0.2">
      <c r="A10" s="16">
        <f t="shared" si="1"/>
        <v>9</v>
      </c>
      <c r="B10" s="17">
        <v>44599</v>
      </c>
      <c r="C10" s="39">
        <f t="shared" si="0"/>
        <v>2022</v>
      </c>
      <c r="D10" s="18" t="s">
        <v>34</v>
      </c>
      <c r="E10" s="18"/>
      <c r="F10" t="s">
        <v>38</v>
      </c>
      <c r="G10" s="22" t="s">
        <v>34</v>
      </c>
      <c r="H10" s="22" t="s">
        <v>41</v>
      </c>
      <c r="I10" s="21">
        <v>10.82</v>
      </c>
      <c r="J10" s="19">
        <f t="shared" si="2"/>
        <v>0</v>
      </c>
      <c r="M10"/>
    </row>
    <row r="11" spans="1:13" x14ac:dyDescent="0.2">
      <c r="A11" s="16">
        <f t="shared" si="1"/>
        <v>10</v>
      </c>
      <c r="B11" s="17">
        <v>44607</v>
      </c>
      <c r="C11" s="39">
        <f t="shared" si="0"/>
        <v>2022</v>
      </c>
      <c r="D11" s="18" t="s">
        <v>28</v>
      </c>
      <c r="E11" s="22" t="s">
        <v>71</v>
      </c>
      <c r="F11" s="37" t="s">
        <v>48</v>
      </c>
      <c r="G11" s="22" t="s">
        <v>49</v>
      </c>
      <c r="H11" s="18" t="s">
        <v>83</v>
      </c>
      <c r="I11" s="21">
        <v>183947.11</v>
      </c>
      <c r="J11" s="19">
        <f t="shared" si="2"/>
        <v>183947.11</v>
      </c>
      <c r="M11"/>
    </row>
    <row r="12" spans="1:13" x14ac:dyDescent="0.2">
      <c r="A12" s="16">
        <f t="shared" si="1"/>
        <v>11</v>
      </c>
      <c r="B12" s="17">
        <v>44607</v>
      </c>
      <c r="C12" s="39">
        <f t="shared" si="0"/>
        <v>2022</v>
      </c>
      <c r="D12" s="18" t="s">
        <v>31</v>
      </c>
      <c r="E12" s="22" t="s">
        <v>70</v>
      </c>
      <c r="F12" s="37" t="s">
        <v>92</v>
      </c>
      <c r="G12" s="22" t="s">
        <v>77</v>
      </c>
      <c r="H12" s="22" t="s">
        <v>41</v>
      </c>
      <c r="I12" s="21">
        <v>-55.18</v>
      </c>
      <c r="J12" s="19">
        <f t="shared" si="2"/>
        <v>183891.93</v>
      </c>
      <c r="M12"/>
    </row>
    <row r="13" spans="1:13" x14ac:dyDescent="0.2">
      <c r="A13" s="16">
        <f t="shared" si="1"/>
        <v>12</v>
      </c>
      <c r="B13" s="17">
        <v>44608</v>
      </c>
      <c r="C13" s="39">
        <f t="shared" si="0"/>
        <v>2022</v>
      </c>
      <c r="D13" s="18" t="s">
        <v>28</v>
      </c>
      <c r="E13" s="22" t="s">
        <v>71</v>
      </c>
      <c r="F13" s="37" t="s">
        <v>48</v>
      </c>
      <c r="G13" s="22" t="s">
        <v>49</v>
      </c>
      <c r="H13" s="18" t="s">
        <v>83</v>
      </c>
      <c r="I13" s="21">
        <v>200000</v>
      </c>
      <c r="J13" s="19">
        <f t="shared" si="2"/>
        <v>383891.93</v>
      </c>
      <c r="M13"/>
    </row>
    <row r="14" spans="1:13" x14ac:dyDescent="0.2">
      <c r="A14" s="16">
        <f t="shared" si="1"/>
        <v>13</v>
      </c>
      <c r="B14" s="17">
        <v>44609</v>
      </c>
      <c r="C14" s="39">
        <f t="shared" si="0"/>
        <v>2022</v>
      </c>
      <c r="D14" s="18" t="s">
        <v>28</v>
      </c>
      <c r="E14" s="22" t="s">
        <v>71</v>
      </c>
      <c r="F14" s="37" t="s">
        <v>48</v>
      </c>
      <c r="G14" s="22" t="s">
        <v>49</v>
      </c>
      <c r="H14" s="18" t="s">
        <v>83</v>
      </c>
      <c r="I14" s="21">
        <v>200000</v>
      </c>
      <c r="J14" s="19">
        <f t="shared" si="2"/>
        <v>583891.92999999993</v>
      </c>
      <c r="K14" s="7">
        <v>-72.87</v>
      </c>
      <c r="L14" t="s">
        <v>62</v>
      </c>
      <c r="M14"/>
    </row>
    <row r="15" spans="1:13" x14ac:dyDescent="0.2">
      <c r="A15" s="16">
        <f t="shared" si="1"/>
        <v>14</v>
      </c>
      <c r="B15" s="17">
        <v>44627</v>
      </c>
      <c r="C15" s="39">
        <f t="shared" si="0"/>
        <v>2022</v>
      </c>
      <c r="D15" s="18" t="s">
        <v>31</v>
      </c>
      <c r="E15" s="22" t="s">
        <v>70</v>
      </c>
      <c r="F15" s="37" t="s">
        <v>92</v>
      </c>
      <c r="G15" s="22" t="s">
        <v>77</v>
      </c>
      <c r="H15" s="22" t="s">
        <v>41</v>
      </c>
      <c r="I15" s="21">
        <v>-66</v>
      </c>
      <c r="J15" s="19">
        <f t="shared" si="2"/>
        <v>583825.92999999993</v>
      </c>
      <c r="K15" s="60">
        <v>-320.77999999999997</v>
      </c>
      <c r="L15" t="s">
        <v>63</v>
      </c>
      <c r="M15"/>
    </row>
    <row r="16" spans="1:13" x14ac:dyDescent="0.2">
      <c r="A16" s="16">
        <f t="shared" si="1"/>
        <v>15</v>
      </c>
      <c r="B16" s="17">
        <v>44630</v>
      </c>
      <c r="C16" s="39">
        <f t="shared" si="0"/>
        <v>2022</v>
      </c>
      <c r="D16" s="22" t="s">
        <v>42</v>
      </c>
      <c r="E16" s="22" t="s">
        <v>70</v>
      </c>
      <c r="F16" s="37" t="s">
        <v>79</v>
      </c>
      <c r="G16" s="22" t="s">
        <v>147</v>
      </c>
      <c r="H16" s="22" t="s">
        <v>52</v>
      </c>
      <c r="I16" s="21">
        <v>-72.87</v>
      </c>
      <c r="J16" s="19">
        <f t="shared" si="2"/>
        <v>583753.05999999994</v>
      </c>
      <c r="K16" s="7">
        <f>SUM(K14:K15)</f>
        <v>-393.65</v>
      </c>
      <c r="M16"/>
    </row>
    <row r="17" spans="1:13" x14ac:dyDescent="0.2">
      <c r="A17" s="16">
        <f t="shared" si="1"/>
        <v>16</v>
      </c>
      <c r="B17" s="17">
        <v>44631</v>
      </c>
      <c r="C17" s="39">
        <f t="shared" si="0"/>
        <v>2022</v>
      </c>
      <c r="D17" s="22" t="s">
        <v>42</v>
      </c>
      <c r="E17" s="22" t="s">
        <v>70</v>
      </c>
      <c r="F17" s="37" t="s">
        <v>79</v>
      </c>
      <c r="G17" s="22" t="s">
        <v>148</v>
      </c>
      <c r="H17" s="22" t="s">
        <v>52</v>
      </c>
      <c r="I17" s="21">
        <v>-320.77999999999997</v>
      </c>
      <c r="J17" s="19">
        <f t="shared" si="2"/>
        <v>583432.27999999991</v>
      </c>
      <c r="K17" s="60">
        <v>-23.37</v>
      </c>
      <c r="L17" t="s">
        <v>64</v>
      </c>
      <c r="M17"/>
    </row>
    <row r="18" spans="1:13" x14ac:dyDescent="0.2">
      <c r="A18" s="16">
        <f t="shared" si="1"/>
        <v>17</v>
      </c>
      <c r="B18" s="17">
        <v>44632</v>
      </c>
      <c r="C18" s="39">
        <f t="shared" si="0"/>
        <v>2022</v>
      </c>
      <c r="D18" s="22" t="s">
        <v>42</v>
      </c>
      <c r="E18" s="22" t="s">
        <v>70</v>
      </c>
      <c r="F18" s="37" t="s">
        <v>79</v>
      </c>
      <c r="G18" s="22" t="s">
        <v>65</v>
      </c>
      <c r="H18" s="22" t="s">
        <v>52</v>
      </c>
      <c r="I18" s="21">
        <v>-23.37</v>
      </c>
      <c r="J18" s="19">
        <f t="shared" si="2"/>
        <v>583408.90999999992</v>
      </c>
      <c r="K18" s="7">
        <f>SUM(K16:K17)</f>
        <v>-417.02</v>
      </c>
      <c r="M18"/>
    </row>
    <row r="19" spans="1:13" x14ac:dyDescent="0.2">
      <c r="A19" s="16">
        <f t="shared" si="1"/>
        <v>18</v>
      </c>
      <c r="B19" s="17">
        <v>44656</v>
      </c>
      <c r="C19" s="39">
        <f t="shared" si="0"/>
        <v>2022</v>
      </c>
      <c r="D19" s="18" t="s">
        <v>31</v>
      </c>
      <c r="E19" s="22" t="s">
        <v>70</v>
      </c>
      <c r="F19" s="37" t="s">
        <v>92</v>
      </c>
      <c r="G19" s="22" t="s">
        <v>77</v>
      </c>
      <c r="H19" s="22" t="s">
        <v>41</v>
      </c>
      <c r="I19" s="21">
        <v>-66</v>
      </c>
      <c r="J19" s="19">
        <f t="shared" si="2"/>
        <v>583342.90999999992</v>
      </c>
      <c r="M19"/>
    </row>
    <row r="20" spans="1:13" x14ac:dyDescent="0.2">
      <c r="A20" s="16">
        <f t="shared" si="1"/>
        <v>19</v>
      </c>
      <c r="B20" s="17">
        <v>44686</v>
      </c>
      <c r="C20" s="39">
        <f t="shared" si="0"/>
        <v>2022</v>
      </c>
      <c r="D20" s="18" t="s">
        <v>31</v>
      </c>
      <c r="E20" s="22" t="s">
        <v>70</v>
      </c>
      <c r="F20" s="37" t="s">
        <v>92</v>
      </c>
      <c r="G20" s="22" t="s">
        <v>77</v>
      </c>
      <c r="H20" s="22" t="s">
        <v>41</v>
      </c>
      <c r="I20" s="21">
        <v>-66</v>
      </c>
      <c r="J20" s="19">
        <f t="shared" si="2"/>
        <v>583276.90999999992</v>
      </c>
      <c r="M20"/>
    </row>
    <row r="21" spans="1:13" x14ac:dyDescent="0.2">
      <c r="A21" s="16">
        <f t="shared" si="1"/>
        <v>20</v>
      </c>
      <c r="B21" s="17">
        <v>44718</v>
      </c>
      <c r="C21" s="39">
        <f t="shared" si="0"/>
        <v>2022</v>
      </c>
      <c r="D21" s="18" t="s">
        <v>31</v>
      </c>
      <c r="E21" s="22" t="s">
        <v>70</v>
      </c>
      <c r="F21" s="37" t="s">
        <v>92</v>
      </c>
      <c r="G21" s="22" t="s">
        <v>77</v>
      </c>
      <c r="H21" s="22" t="s">
        <v>41</v>
      </c>
      <c r="I21" s="21">
        <v>-66</v>
      </c>
      <c r="J21" s="19">
        <f t="shared" si="2"/>
        <v>583210.90999999992</v>
      </c>
      <c r="M21"/>
    </row>
    <row r="22" spans="1:13" x14ac:dyDescent="0.2">
      <c r="A22" s="16">
        <f t="shared" si="1"/>
        <v>21</v>
      </c>
      <c r="B22" s="17">
        <v>44735</v>
      </c>
      <c r="C22" s="39">
        <f t="shared" si="0"/>
        <v>2022</v>
      </c>
      <c r="D22" s="18" t="s">
        <v>33</v>
      </c>
      <c r="E22" s="18"/>
      <c r="F22" s="37" t="s">
        <v>38</v>
      </c>
      <c r="G22" s="18" t="s">
        <v>33</v>
      </c>
      <c r="H22" s="22" t="s">
        <v>41</v>
      </c>
      <c r="I22" s="21">
        <v>-583210.91</v>
      </c>
      <c r="J22" s="19">
        <f t="shared" si="2"/>
        <v>-1.1641532182693481E-10</v>
      </c>
      <c r="M22"/>
    </row>
    <row r="23" spans="1:13" x14ac:dyDescent="0.2">
      <c r="A23" s="16">
        <f t="shared" si="1"/>
        <v>22</v>
      </c>
      <c r="B23" s="17">
        <v>44748</v>
      </c>
      <c r="C23" s="39">
        <f t="shared" si="0"/>
        <v>2022</v>
      </c>
      <c r="D23" s="18" t="s">
        <v>31</v>
      </c>
      <c r="E23" s="22" t="s">
        <v>70</v>
      </c>
      <c r="F23" s="37" t="s">
        <v>92</v>
      </c>
      <c r="G23" s="22" t="s">
        <v>77</v>
      </c>
      <c r="H23" s="22" t="s">
        <v>41</v>
      </c>
      <c r="I23" s="21">
        <v>-66</v>
      </c>
      <c r="J23" s="19">
        <f t="shared" si="2"/>
        <v>-66.000000000116415</v>
      </c>
      <c r="M23"/>
    </row>
    <row r="24" spans="1:13" x14ac:dyDescent="0.2">
      <c r="A24" s="16">
        <f t="shared" si="1"/>
        <v>23</v>
      </c>
      <c r="B24" s="17">
        <v>44748</v>
      </c>
      <c r="C24" s="39">
        <f t="shared" si="0"/>
        <v>2022</v>
      </c>
      <c r="D24" s="18" t="s">
        <v>34</v>
      </c>
      <c r="E24" s="18"/>
      <c r="F24" t="s">
        <v>38</v>
      </c>
      <c r="G24" s="22" t="s">
        <v>34</v>
      </c>
      <c r="H24" s="22" t="s">
        <v>41</v>
      </c>
      <c r="I24" s="21">
        <v>66</v>
      </c>
      <c r="J24" s="19">
        <f t="shared" si="2"/>
        <v>-1.1641532182693481E-10</v>
      </c>
      <c r="M24"/>
    </row>
    <row r="25" spans="1:13" x14ac:dyDescent="0.2">
      <c r="A25" s="16">
        <f t="shared" si="1"/>
        <v>24</v>
      </c>
      <c r="B25" s="17">
        <v>44778</v>
      </c>
      <c r="C25" s="39">
        <f t="shared" si="0"/>
        <v>2022</v>
      </c>
      <c r="D25" s="18" t="s">
        <v>31</v>
      </c>
      <c r="E25" s="22" t="s">
        <v>70</v>
      </c>
      <c r="F25" s="37" t="s">
        <v>92</v>
      </c>
      <c r="G25" s="22" t="s">
        <v>77</v>
      </c>
      <c r="H25" s="22" t="s">
        <v>41</v>
      </c>
      <c r="I25" s="21">
        <v>-66</v>
      </c>
      <c r="J25" s="19">
        <f t="shared" si="2"/>
        <v>-66.000000000116415</v>
      </c>
      <c r="M25"/>
    </row>
    <row r="26" spans="1:13" x14ac:dyDescent="0.2">
      <c r="A26" s="16">
        <f t="shared" si="1"/>
        <v>25</v>
      </c>
      <c r="B26" s="17">
        <v>44778</v>
      </c>
      <c r="C26" s="39">
        <f t="shared" si="0"/>
        <v>2022</v>
      </c>
      <c r="D26" s="18" t="s">
        <v>34</v>
      </c>
      <c r="E26" s="18"/>
      <c r="F26" t="s">
        <v>38</v>
      </c>
      <c r="G26" s="22" t="s">
        <v>34</v>
      </c>
      <c r="H26" s="22" t="s">
        <v>41</v>
      </c>
      <c r="I26" s="21">
        <v>66</v>
      </c>
      <c r="J26" s="19">
        <f t="shared" si="2"/>
        <v>-1.1641532182693481E-10</v>
      </c>
      <c r="M26"/>
    </row>
    <row r="27" spans="1:13" x14ac:dyDescent="0.2">
      <c r="A27" s="16">
        <f t="shared" si="1"/>
        <v>26</v>
      </c>
      <c r="B27" s="17">
        <v>44809</v>
      </c>
      <c r="C27" s="39">
        <f t="shared" si="0"/>
        <v>2022</v>
      </c>
      <c r="D27" s="18" t="s">
        <v>31</v>
      </c>
      <c r="E27" s="22" t="s">
        <v>70</v>
      </c>
      <c r="F27" s="37" t="s">
        <v>92</v>
      </c>
      <c r="G27" s="22" t="s">
        <v>77</v>
      </c>
      <c r="H27" s="22" t="s">
        <v>41</v>
      </c>
      <c r="I27" s="21">
        <v>-66</v>
      </c>
      <c r="J27" s="19">
        <f t="shared" si="2"/>
        <v>-66.000000000116415</v>
      </c>
      <c r="M27"/>
    </row>
    <row r="28" spans="1:13" x14ac:dyDescent="0.2">
      <c r="A28" s="16">
        <f t="shared" si="1"/>
        <v>27</v>
      </c>
      <c r="B28" s="17">
        <v>44809</v>
      </c>
      <c r="C28" s="39">
        <f t="shared" si="0"/>
        <v>2022</v>
      </c>
      <c r="D28" s="18" t="s">
        <v>34</v>
      </c>
      <c r="E28" s="18"/>
      <c r="F28" t="s">
        <v>38</v>
      </c>
      <c r="G28" s="22" t="s">
        <v>34</v>
      </c>
      <c r="H28" s="22" t="s">
        <v>41</v>
      </c>
      <c r="I28" s="21">
        <v>66</v>
      </c>
      <c r="J28" s="19">
        <f t="shared" si="2"/>
        <v>-1.1641532182693481E-10</v>
      </c>
      <c r="M28"/>
    </row>
    <row r="29" spans="1:13" x14ac:dyDescent="0.2">
      <c r="A29" s="16">
        <f t="shared" si="1"/>
        <v>28</v>
      </c>
      <c r="B29" s="17">
        <v>44839</v>
      </c>
      <c r="C29" s="39">
        <f t="shared" si="0"/>
        <v>2022</v>
      </c>
      <c r="D29" s="18" t="s">
        <v>31</v>
      </c>
      <c r="E29" s="22" t="s">
        <v>70</v>
      </c>
      <c r="F29" s="37" t="s">
        <v>92</v>
      </c>
      <c r="G29" s="22" t="s">
        <v>77</v>
      </c>
      <c r="H29" s="22" t="s">
        <v>41</v>
      </c>
      <c r="I29" s="21">
        <v>-66</v>
      </c>
      <c r="J29" s="19">
        <f t="shared" si="2"/>
        <v>-66.000000000116415</v>
      </c>
      <c r="M29"/>
    </row>
    <row r="30" spans="1:13" x14ac:dyDescent="0.2">
      <c r="A30" s="16">
        <f t="shared" si="1"/>
        <v>29</v>
      </c>
      <c r="B30" s="17">
        <v>44839</v>
      </c>
      <c r="C30" s="39">
        <f t="shared" si="0"/>
        <v>2022</v>
      </c>
      <c r="D30" s="18" t="s">
        <v>34</v>
      </c>
      <c r="E30" s="18"/>
      <c r="F30" t="s">
        <v>38</v>
      </c>
      <c r="G30" s="22" t="s">
        <v>34</v>
      </c>
      <c r="H30" s="22" t="s">
        <v>41</v>
      </c>
      <c r="I30" s="21">
        <v>66</v>
      </c>
      <c r="J30" s="19">
        <f t="shared" si="2"/>
        <v>-1.1641532182693481E-10</v>
      </c>
      <c r="M30"/>
    </row>
    <row r="31" spans="1:13" x14ac:dyDescent="0.2">
      <c r="A31" s="16">
        <f t="shared" si="1"/>
        <v>30</v>
      </c>
      <c r="B31" s="17">
        <v>44872</v>
      </c>
      <c r="C31" s="39">
        <f t="shared" si="0"/>
        <v>2022</v>
      </c>
      <c r="D31" s="18" t="s">
        <v>31</v>
      </c>
      <c r="E31" s="22" t="s">
        <v>70</v>
      </c>
      <c r="F31" s="37" t="s">
        <v>92</v>
      </c>
      <c r="G31" s="22" t="s">
        <v>77</v>
      </c>
      <c r="H31" s="22" t="s">
        <v>41</v>
      </c>
      <c r="I31" s="21">
        <v>-66</v>
      </c>
      <c r="J31" s="19">
        <f t="shared" si="2"/>
        <v>-66.000000000116415</v>
      </c>
      <c r="M31"/>
    </row>
    <row r="32" spans="1:13" x14ac:dyDescent="0.2">
      <c r="A32" s="16">
        <f t="shared" si="1"/>
        <v>31</v>
      </c>
      <c r="B32" s="17">
        <v>44872</v>
      </c>
      <c r="C32" s="39">
        <f t="shared" si="0"/>
        <v>2022</v>
      </c>
      <c r="D32" s="18" t="s">
        <v>34</v>
      </c>
      <c r="E32" s="18"/>
      <c r="F32" t="s">
        <v>38</v>
      </c>
      <c r="G32" s="22" t="s">
        <v>34</v>
      </c>
      <c r="H32" s="22" t="s">
        <v>41</v>
      </c>
      <c r="I32" s="21">
        <v>66</v>
      </c>
      <c r="J32" s="19">
        <f t="shared" si="2"/>
        <v>-1.1641532182693481E-10</v>
      </c>
      <c r="M32"/>
    </row>
    <row r="33" spans="1:13" x14ac:dyDescent="0.2">
      <c r="A33" s="16">
        <f t="shared" si="1"/>
        <v>32</v>
      </c>
      <c r="B33" s="17">
        <v>44900</v>
      </c>
      <c r="C33" s="39">
        <f t="shared" si="0"/>
        <v>2022</v>
      </c>
      <c r="D33" s="18" t="s">
        <v>31</v>
      </c>
      <c r="E33" s="22" t="s">
        <v>70</v>
      </c>
      <c r="F33" s="37" t="s">
        <v>92</v>
      </c>
      <c r="G33" s="22" t="s">
        <v>77</v>
      </c>
      <c r="H33" s="22" t="s">
        <v>41</v>
      </c>
      <c r="I33" s="21">
        <v>-66</v>
      </c>
      <c r="J33" s="19">
        <f t="shared" si="2"/>
        <v>-66.000000000116415</v>
      </c>
      <c r="M33"/>
    </row>
    <row r="34" spans="1:13" x14ac:dyDescent="0.2">
      <c r="A34" s="16">
        <f t="shared" si="1"/>
        <v>33</v>
      </c>
      <c r="B34" s="17">
        <v>44900</v>
      </c>
      <c r="C34" s="39">
        <f t="shared" si="0"/>
        <v>2022</v>
      </c>
      <c r="D34" s="18" t="s">
        <v>34</v>
      </c>
      <c r="E34" s="18"/>
      <c r="F34" t="s">
        <v>38</v>
      </c>
      <c r="G34" s="22" t="s">
        <v>34</v>
      </c>
      <c r="H34" s="22" t="s">
        <v>41</v>
      </c>
      <c r="I34" s="21">
        <v>66</v>
      </c>
      <c r="J34" s="19">
        <f t="shared" si="2"/>
        <v>-1.1641532182693481E-10</v>
      </c>
      <c r="M34"/>
    </row>
    <row r="35" spans="1:13" x14ac:dyDescent="0.2">
      <c r="A35" s="16">
        <f t="shared" si="1"/>
        <v>34</v>
      </c>
      <c r="B35" s="17">
        <v>44918</v>
      </c>
      <c r="C35" s="4">
        <f t="shared" si="0"/>
        <v>2022</v>
      </c>
      <c r="D35" s="18" t="s">
        <v>50</v>
      </c>
      <c r="E35" s="22" t="s">
        <v>70</v>
      </c>
      <c r="F35" t="s">
        <v>91</v>
      </c>
      <c r="G35" s="22" t="s">
        <v>47</v>
      </c>
      <c r="H35" s="18" t="s">
        <v>46</v>
      </c>
      <c r="I35" s="21">
        <v>-1050</v>
      </c>
      <c r="J35" s="19">
        <f t="shared" si="2"/>
        <v>-1050.0000000001164</v>
      </c>
      <c r="M35"/>
    </row>
    <row r="36" spans="1:13" x14ac:dyDescent="0.2">
      <c r="A36" s="16">
        <f t="shared" si="1"/>
        <v>35</v>
      </c>
      <c r="B36" s="17">
        <v>44918</v>
      </c>
      <c r="C36" s="39">
        <f t="shared" si="0"/>
        <v>2022</v>
      </c>
      <c r="D36" s="18" t="s">
        <v>34</v>
      </c>
      <c r="E36" s="18"/>
      <c r="F36" t="s">
        <v>38</v>
      </c>
      <c r="G36" s="22" t="s">
        <v>34</v>
      </c>
      <c r="H36" s="22" t="s">
        <v>41</v>
      </c>
      <c r="I36" s="21">
        <v>1050</v>
      </c>
      <c r="J36" s="19">
        <f t="shared" si="2"/>
        <v>-1.1641532182693481E-10</v>
      </c>
      <c r="M36"/>
    </row>
    <row r="37" spans="1:13" x14ac:dyDescent="0.2">
      <c r="A37" s="40">
        <f t="shared" si="1"/>
        <v>36</v>
      </c>
      <c r="B37" s="41">
        <v>44924</v>
      </c>
      <c r="C37" s="42">
        <f t="shared" si="0"/>
        <v>2022</v>
      </c>
      <c r="D37" s="43" t="s">
        <v>28</v>
      </c>
      <c r="E37" s="47" t="s">
        <v>71</v>
      </c>
      <c r="F37" s="46" t="s">
        <v>48</v>
      </c>
      <c r="G37" s="47" t="s">
        <v>49</v>
      </c>
      <c r="H37" s="43" t="s">
        <v>84</v>
      </c>
      <c r="I37" s="44">
        <v>255109.77</v>
      </c>
      <c r="J37" s="45">
        <f t="shared" si="2"/>
        <v>255109.76999999987</v>
      </c>
      <c r="K37" s="67"/>
      <c r="M37"/>
    </row>
    <row r="38" spans="1:13" x14ac:dyDescent="0.2">
      <c r="A38" s="16">
        <f t="shared" si="1"/>
        <v>37</v>
      </c>
      <c r="B38" s="17">
        <v>44931</v>
      </c>
      <c r="C38" s="39">
        <f t="shared" si="0"/>
        <v>2023</v>
      </c>
      <c r="D38" s="18" t="s">
        <v>31</v>
      </c>
      <c r="E38" s="22" t="s">
        <v>70</v>
      </c>
      <c r="F38" s="37" t="s">
        <v>92</v>
      </c>
      <c r="G38" s="22" t="s">
        <v>77</v>
      </c>
      <c r="H38" s="22" t="s">
        <v>41</v>
      </c>
      <c r="I38" s="21">
        <v>-69</v>
      </c>
      <c r="J38" s="19">
        <f t="shared" si="2"/>
        <v>255040.76999999987</v>
      </c>
      <c r="M38"/>
    </row>
    <row r="39" spans="1:13" x14ac:dyDescent="0.2">
      <c r="A39" s="16">
        <f t="shared" si="1"/>
        <v>38</v>
      </c>
      <c r="B39" s="17">
        <v>44958</v>
      </c>
      <c r="C39" s="39">
        <f t="shared" si="0"/>
        <v>2023</v>
      </c>
      <c r="D39" s="18" t="s">
        <v>33</v>
      </c>
      <c r="E39" s="18"/>
      <c r="F39" s="37" t="s">
        <v>38</v>
      </c>
      <c r="G39" s="18" t="s">
        <v>33</v>
      </c>
      <c r="H39" s="22" t="s">
        <v>41</v>
      </c>
      <c r="I39" s="21">
        <v>-255040.77</v>
      </c>
      <c r="J39" s="19">
        <f t="shared" si="2"/>
        <v>-1.1641532182693481E-10</v>
      </c>
      <c r="M39"/>
    </row>
    <row r="40" spans="1:13" x14ac:dyDescent="0.2">
      <c r="A40" s="16">
        <f t="shared" si="1"/>
        <v>39</v>
      </c>
      <c r="B40" s="17">
        <v>44963</v>
      </c>
      <c r="C40" s="39">
        <f t="shared" si="0"/>
        <v>2023</v>
      </c>
      <c r="D40" s="18" t="s">
        <v>31</v>
      </c>
      <c r="E40" s="22" t="s">
        <v>70</v>
      </c>
      <c r="F40" s="37" t="s">
        <v>92</v>
      </c>
      <c r="G40" s="22" t="s">
        <v>77</v>
      </c>
      <c r="H40" s="22" t="s">
        <v>41</v>
      </c>
      <c r="I40" s="21">
        <v>-69</v>
      </c>
      <c r="J40" s="19">
        <f t="shared" si="2"/>
        <v>-69.000000000116415</v>
      </c>
      <c r="M40"/>
    </row>
    <row r="41" spans="1:13" x14ac:dyDescent="0.2">
      <c r="A41" s="16">
        <f t="shared" si="1"/>
        <v>40</v>
      </c>
      <c r="B41" s="17">
        <v>44963</v>
      </c>
      <c r="C41" s="39">
        <f t="shared" si="0"/>
        <v>2023</v>
      </c>
      <c r="D41" s="18" t="s">
        <v>34</v>
      </c>
      <c r="E41" s="18"/>
      <c r="F41" t="s">
        <v>38</v>
      </c>
      <c r="G41" s="22" t="s">
        <v>34</v>
      </c>
      <c r="H41" s="22" t="s">
        <v>41</v>
      </c>
      <c r="I41" s="21">
        <v>69</v>
      </c>
      <c r="J41" s="19">
        <f t="shared" si="2"/>
        <v>-1.1641532182693481E-10</v>
      </c>
      <c r="M41"/>
    </row>
    <row r="42" spans="1:13" x14ac:dyDescent="0.2">
      <c r="A42" s="16">
        <f t="shared" si="1"/>
        <v>41</v>
      </c>
      <c r="B42" s="17">
        <v>44991</v>
      </c>
      <c r="C42" s="39">
        <f t="shared" si="0"/>
        <v>2023</v>
      </c>
      <c r="D42" s="18" t="s">
        <v>31</v>
      </c>
      <c r="E42" s="22" t="s">
        <v>70</v>
      </c>
      <c r="F42" s="37" t="s">
        <v>92</v>
      </c>
      <c r="G42" s="22" t="s">
        <v>77</v>
      </c>
      <c r="H42" s="22" t="s">
        <v>41</v>
      </c>
      <c r="I42" s="21">
        <v>-69</v>
      </c>
      <c r="J42" s="19">
        <f t="shared" si="2"/>
        <v>-69.000000000116415</v>
      </c>
      <c r="M42"/>
    </row>
    <row r="43" spans="1:13" x14ac:dyDescent="0.2">
      <c r="A43" s="16">
        <f t="shared" si="1"/>
        <v>42</v>
      </c>
      <c r="B43" s="17">
        <v>44991</v>
      </c>
      <c r="C43" s="39">
        <f t="shared" si="0"/>
        <v>2023</v>
      </c>
      <c r="D43" s="18" t="s">
        <v>34</v>
      </c>
      <c r="E43" s="18"/>
      <c r="F43" t="s">
        <v>38</v>
      </c>
      <c r="G43" s="22" t="s">
        <v>34</v>
      </c>
      <c r="H43" s="22" t="s">
        <v>41</v>
      </c>
      <c r="I43" s="21">
        <v>69</v>
      </c>
      <c r="J43" s="19">
        <f t="shared" si="2"/>
        <v>-1.1641532182693481E-10</v>
      </c>
      <c r="M43"/>
    </row>
    <row r="44" spans="1:13" x14ac:dyDescent="0.2">
      <c r="A44" s="16">
        <f t="shared" si="1"/>
        <v>43</v>
      </c>
      <c r="B44" s="17">
        <v>45022</v>
      </c>
      <c r="C44" s="39">
        <f t="shared" si="0"/>
        <v>2023</v>
      </c>
      <c r="D44" s="18" t="s">
        <v>31</v>
      </c>
      <c r="E44" s="22" t="s">
        <v>70</v>
      </c>
      <c r="F44" s="37" t="s">
        <v>92</v>
      </c>
      <c r="G44" s="22" t="s">
        <v>77</v>
      </c>
      <c r="H44" s="22" t="s">
        <v>41</v>
      </c>
      <c r="I44" s="21">
        <v>-69</v>
      </c>
      <c r="J44" s="19">
        <f t="shared" si="2"/>
        <v>-69.000000000116415</v>
      </c>
      <c r="M44"/>
    </row>
    <row r="45" spans="1:13" x14ac:dyDescent="0.2">
      <c r="A45" s="16">
        <f t="shared" si="1"/>
        <v>44</v>
      </c>
      <c r="B45" s="17">
        <v>45022</v>
      </c>
      <c r="C45" s="39">
        <f t="shared" si="0"/>
        <v>2023</v>
      </c>
      <c r="D45" s="18" t="s">
        <v>34</v>
      </c>
      <c r="E45" s="18"/>
      <c r="F45" t="s">
        <v>38</v>
      </c>
      <c r="G45" s="22" t="s">
        <v>34</v>
      </c>
      <c r="H45" s="22" t="s">
        <v>41</v>
      </c>
      <c r="I45" s="21">
        <v>69</v>
      </c>
      <c r="J45" s="19">
        <f t="shared" si="2"/>
        <v>-1.1641532182693481E-10</v>
      </c>
      <c r="M45"/>
    </row>
    <row r="46" spans="1:13" x14ac:dyDescent="0.2">
      <c r="A46" s="16">
        <f t="shared" si="1"/>
        <v>45</v>
      </c>
      <c r="B46" s="17">
        <v>45051</v>
      </c>
      <c r="C46" s="39">
        <f t="shared" si="0"/>
        <v>2023</v>
      </c>
      <c r="D46" s="18" t="s">
        <v>31</v>
      </c>
      <c r="E46" s="22" t="s">
        <v>70</v>
      </c>
      <c r="F46" s="37" t="s">
        <v>92</v>
      </c>
      <c r="G46" s="22" t="s">
        <v>77</v>
      </c>
      <c r="H46" s="22" t="s">
        <v>41</v>
      </c>
      <c r="I46" s="21">
        <v>-69</v>
      </c>
      <c r="J46" s="19">
        <f t="shared" si="2"/>
        <v>-69.000000000116415</v>
      </c>
      <c r="M46"/>
    </row>
    <row r="47" spans="1:13" x14ac:dyDescent="0.2">
      <c r="A47" s="16">
        <f t="shared" si="1"/>
        <v>46</v>
      </c>
      <c r="B47" s="17">
        <v>45051</v>
      </c>
      <c r="C47" s="39">
        <f t="shared" si="0"/>
        <v>2023</v>
      </c>
      <c r="D47" s="18" t="s">
        <v>34</v>
      </c>
      <c r="E47" s="18"/>
      <c r="F47" t="s">
        <v>38</v>
      </c>
      <c r="G47" s="22" t="s">
        <v>34</v>
      </c>
      <c r="H47" s="22" t="s">
        <v>41</v>
      </c>
      <c r="I47" s="21">
        <v>69</v>
      </c>
      <c r="J47" s="19">
        <f t="shared" si="2"/>
        <v>-1.1641532182693481E-10</v>
      </c>
      <c r="M47"/>
    </row>
    <row r="48" spans="1:13" x14ac:dyDescent="0.2">
      <c r="A48" s="16">
        <f t="shared" si="1"/>
        <v>47</v>
      </c>
      <c r="B48" s="17">
        <v>45077</v>
      </c>
      <c r="C48" s="4">
        <f t="shared" si="0"/>
        <v>2023</v>
      </c>
      <c r="D48" s="18" t="s">
        <v>73</v>
      </c>
      <c r="E48" s="22" t="s">
        <v>70</v>
      </c>
      <c r="F48" t="s">
        <v>91</v>
      </c>
      <c r="G48" s="22" t="s">
        <v>47</v>
      </c>
      <c r="H48" s="22" t="s">
        <v>75</v>
      </c>
      <c r="I48" s="21">
        <v>-850</v>
      </c>
      <c r="J48" s="19">
        <f t="shared" si="2"/>
        <v>-850.00000000011642</v>
      </c>
      <c r="M48"/>
    </row>
    <row r="49" spans="1:13" x14ac:dyDescent="0.2">
      <c r="A49" s="16">
        <f t="shared" si="1"/>
        <v>48</v>
      </c>
      <c r="B49" s="17">
        <v>45077</v>
      </c>
      <c r="C49" s="39">
        <f t="shared" si="0"/>
        <v>2023</v>
      </c>
      <c r="D49" s="18" t="s">
        <v>34</v>
      </c>
      <c r="E49" s="18"/>
      <c r="F49" t="s">
        <v>38</v>
      </c>
      <c r="G49" s="22" t="s">
        <v>34</v>
      </c>
      <c r="H49" s="22" t="s">
        <v>41</v>
      </c>
      <c r="I49" s="21">
        <v>850</v>
      </c>
      <c r="J49" s="19">
        <f t="shared" si="2"/>
        <v>-1.1641532182693481E-10</v>
      </c>
      <c r="M49"/>
    </row>
    <row r="50" spans="1:13" x14ac:dyDescent="0.2">
      <c r="A50" s="16">
        <f t="shared" si="1"/>
        <v>49</v>
      </c>
      <c r="B50" s="17">
        <v>45082</v>
      </c>
      <c r="C50" s="39">
        <f t="shared" si="0"/>
        <v>2023</v>
      </c>
      <c r="D50" s="18" t="s">
        <v>31</v>
      </c>
      <c r="E50" s="22" t="s">
        <v>70</v>
      </c>
      <c r="F50" s="37" t="s">
        <v>92</v>
      </c>
      <c r="G50" s="22" t="s">
        <v>77</v>
      </c>
      <c r="H50" s="22" t="s">
        <v>41</v>
      </c>
      <c r="I50" s="21">
        <v>-69</v>
      </c>
      <c r="J50" s="19">
        <f t="shared" si="2"/>
        <v>-69.000000000116415</v>
      </c>
      <c r="M50"/>
    </row>
    <row r="51" spans="1:13" x14ac:dyDescent="0.2">
      <c r="A51" s="16">
        <f t="shared" si="1"/>
        <v>50</v>
      </c>
      <c r="B51" s="17">
        <v>45082</v>
      </c>
      <c r="C51" s="39">
        <f t="shared" si="0"/>
        <v>2023</v>
      </c>
      <c r="D51" s="18" t="s">
        <v>34</v>
      </c>
      <c r="E51" s="18"/>
      <c r="F51" t="s">
        <v>38</v>
      </c>
      <c r="G51" s="22" t="s">
        <v>34</v>
      </c>
      <c r="H51" s="22" t="s">
        <v>41</v>
      </c>
      <c r="I51" s="21">
        <v>69</v>
      </c>
      <c r="J51" s="19">
        <f t="shared" si="2"/>
        <v>-1.1641532182693481E-10</v>
      </c>
      <c r="M51"/>
    </row>
    <row r="52" spans="1:13" x14ac:dyDescent="0.2">
      <c r="A52" s="16">
        <f t="shared" si="1"/>
        <v>51</v>
      </c>
      <c r="B52" s="17">
        <v>45112</v>
      </c>
      <c r="C52" s="39">
        <f t="shared" si="0"/>
        <v>2023</v>
      </c>
      <c r="D52" s="18" t="s">
        <v>31</v>
      </c>
      <c r="E52" s="22" t="s">
        <v>70</v>
      </c>
      <c r="F52" s="37" t="s">
        <v>92</v>
      </c>
      <c r="G52" s="22" t="s">
        <v>77</v>
      </c>
      <c r="H52" s="22" t="s">
        <v>41</v>
      </c>
      <c r="I52" s="21">
        <v>-69</v>
      </c>
      <c r="J52" s="19">
        <f t="shared" si="2"/>
        <v>-69.000000000116415</v>
      </c>
      <c r="M52"/>
    </row>
    <row r="53" spans="1:13" x14ac:dyDescent="0.2">
      <c r="A53" s="16">
        <f t="shared" si="1"/>
        <v>52</v>
      </c>
      <c r="B53" s="17">
        <v>45112</v>
      </c>
      <c r="C53" s="39">
        <f t="shared" si="0"/>
        <v>2023</v>
      </c>
      <c r="D53" s="18" t="s">
        <v>34</v>
      </c>
      <c r="E53" s="18"/>
      <c r="F53" t="s">
        <v>38</v>
      </c>
      <c r="G53" s="22" t="s">
        <v>34</v>
      </c>
      <c r="H53" s="22" t="s">
        <v>41</v>
      </c>
      <c r="I53" s="21">
        <v>69</v>
      </c>
      <c r="J53" s="19">
        <f t="shared" si="2"/>
        <v>-1.1641532182693481E-10</v>
      </c>
      <c r="M53"/>
    </row>
    <row r="54" spans="1:13" x14ac:dyDescent="0.2">
      <c r="A54" s="16">
        <f t="shared" si="1"/>
        <v>53</v>
      </c>
      <c r="B54" s="17">
        <v>45124</v>
      </c>
      <c r="C54" s="4">
        <f t="shared" si="0"/>
        <v>2023</v>
      </c>
      <c r="D54" s="18" t="s">
        <v>81</v>
      </c>
      <c r="E54" s="22" t="s">
        <v>70</v>
      </c>
      <c r="F54" t="s">
        <v>91</v>
      </c>
      <c r="G54" s="22" t="s">
        <v>47</v>
      </c>
      <c r="H54" s="22" t="s">
        <v>82</v>
      </c>
      <c r="I54" s="21">
        <v>-1200</v>
      </c>
      <c r="J54" s="19">
        <f t="shared" si="2"/>
        <v>-1200.0000000001164</v>
      </c>
      <c r="M54"/>
    </row>
    <row r="55" spans="1:13" x14ac:dyDescent="0.2">
      <c r="A55" s="16">
        <f t="shared" si="1"/>
        <v>54</v>
      </c>
      <c r="B55" s="17">
        <v>45124</v>
      </c>
      <c r="C55" s="39">
        <f t="shared" si="0"/>
        <v>2023</v>
      </c>
      <c r="D55" s="18" t="s">
        <v>34</v>
      </c>
      <c r="E55" s="18"/>
      <c r="F55" t="s">
        <v>38</v>
      </c>
      <c r="G55" s="22" t="s">
        <v>34</v>
      </c>
      <c r="H55" s="22" t="s">
        <v>41</v>
      </c>
      <c r="I55" s="21">
        <v>1200</v>
      </c>
      <c r="J55" s="19">
        <f t="shared" si="2"/>
        <v>-1.1641532182693481E-10</v>
      </c>
      <c r="M55"/>
    </row>
    <row r="56" spans="1:13" x14ac:dyDescent="0.2">
      <c r="A56" s="16">
        <f t="shared" si="1"/>
        <v>55</v>
      </c>
      <c r="B56" s="17">
        <v>45145</v>
      </c>
      <c r="C56" s="39">
        <f t="shared" si="0"/>
        <v>2023</v>
      </c>
      <c r="D56" s="18" t="s">
        <v>31</v>
      </c>
      <c r="E56" s="22" t="s">
        <v>70</v>
      </c>
      <c r="F56" s="37" t="s">
        <v>92</v>
      </c>
      <c r="G56" s="22" t="s">
        <v>77</v>
      </c>
      <c r="H56" s="22" t="s">
        <v>41</v>
      </c>
      <c r="I56" s="21">
        <v>-69</v>
      </c>
      <c r="J56" s="19">
        <f t="shared" si="2"/>
        <v>-69.000000000116415</v>
      </c>
      <c r="M56"/>
    </row>
    <row r="57" spans="1:13" x14ac:dyDescent="0.2">
      <c r="A57" s="16">
        <f t="shared" si="1"/>
        <v>56</v>
      </c>
      <c r="B57" s="17">
        <v>45145</v>
      </c>
      <c r="C57" s="39">
        <f t="shared" si="0"/>
        <v>2023</v>
      </c>
      <c r="D57" s="18" t="s">
        <v>34</v>
      </c>
      <c r="E57" s="18"/>
      <c r="F57" t="s">
        <v>38</v>
      </c>
      <c r="G57" s="22" t="s">
        <v>34</v>
      </c>
      <c r="H57" s="22" t="s">
        <v>41</v>
      </c>
      <c r="I57" s="21">
        <v>69</v>
      </c>
      <c r="J57" s="19">
        <f t="shared" si="2"/>
        <v>-1.1641532182693481E-10</v>
      </c>
      <c r="M57"/>
    </row>
    <row r="58" spans="1:13" x14ac:dyDescent="0.2">
      <c r="A58" s="16">
        <f t="shared" si="1"/>
        <v>57</v>
      </c>
      <c r="B58" s="17">
        <v>45174</v>
      </c>
      <c r="C58" s="39">
        <f t="shared" si="0"/>
        <v>2023</v>
      </c>
      <c r="D58" s="18" t="s">
        <v>31</v>
      </c>
      <c r="E58" s="22" t="s">
        <v>70</v>
      </c>
      <c r="F58" s="37" t="s">
        <v>92</v>
      </c>
      <c r="G58" s="22" t="s">
        <v>77</v>
      </c>
      <c r="H58" s="22" t="s">
        <v>41</v>
      </c>
      <c r="I58" s="21">
        <v>-69</v>
      </c>
      <c r="J58" s="19">
        <f t="shared" si="2"/>
        <v>-69.000000000116415</v>
      </c>
      <c r="M58"/>
    </row>
    <row r="59" spans="1:13" x14ac:dyDescent="0.2">
      <c r="A59" s="16">
        <f t="shared" si="1"/>
        <v>58</v>
      </c>
      <c r="B59" s="17">
        <v>45174</v>
      </c>
      <c r="C59" s="39">
        <f t="shared" si="0"/>
        <v>2023</v>
      </c>
      <c r="D59" s="18" t="s">
        <v>34</v>
      </c>
      <c r="E59" s="18"/>
      <c r="F59" t="s">
        <v>38</v>
      </c>
      <c r="G59" s="22" t="s">
        <v>34</v>
      </c>
      <c r="H59" s="22" t="s">
        <v>41</v>
      </c>
      <c r="I59" s="21">
        <v>69</v>
      </c>
      <c r="J59" s="19">
        <f t="shared" si="2"/>
        <v>-1.1641532182693481E-10</v>
      </c>
      <c r="M59"/>
    </row>
    <row r="60" spans="1:13" x14ac:dyDescent="0.2">
      <c r="A60" s="16">
        <f t="shared" si="1"/>
        <v>59</v>
      </c>
      <c r="B60" s="17">
        <v>45204</v>
      </c>
      <c r="C60" s="39">
        <f t="shared" si="0"/>
        <v>2023</v>
      </c>
      <c r="D60" s="18" t="s">
        <v>31</v>
      </c>
      <c r="E60" s="22" t="s">
        <v>70</v>
      </c>
      <c r="F60" s="37" t="s">
        <v>92</v>
      </c>
      <c r="G60" s="22" t="s">
        <v>77</v>
      </c>
      <c r="H60" s="22" t="s">
        <v>41</v>
      </c>
      <c r="I60" s="21">
        <v>-69</v>
      </c>
      <c r="J60" s="19">
        <f t="shared" si="2"/>
        <v>-69.000000000116415</v>
      </c>
      <c r="M60"/>
    </row>
    <row r="61" spans="1:13" x14ac:dyDescent="0.2">
      <c r="A61" s="16">
        <f t="shared" si="1"/>
        <v>60</v>
      </c>
      <c r="B61" s="17">
        <v>45204</v>
      </c>
      <c r="C61" s="39">
        <f t="shared" si="0"/>
        <v>2023</v>
      </c>
      <c r="D61" s="18" t="s">
        <v>34</v>
      </c>
      <c r="E61" s="18"/>
      <c r="F61" t="s">
        <v>38</v>
      </c>
      <c r="G61" s="22" t="s">
        <v>34</v>
      </c>
      <c r="H61" s="22" t="s">
        <v>41</v>
      </c>
      <c r="I61" s="21">
        <v>69</v>
      </c>
      <c r="J61" s="19">
        <f t="shared" si="2"/>
        <v>-1.1641532182693481E-10</v>
      </c>
      <c r="M61"/>
    </row>
    <row r="62" spans="1:13" x14ac:dyDescent="0.2">
      <c r="A62" s="16">
        <f t="shared" si="1"/>
        <v>61</v>
      </c>
      <c r="B62" s="17">
        <v>45236</v>
      </c>
      <c r="C62" s="39">
        <f t="shared" si="0"/>
        <v>2023</v>
      </c>
      <c r="D62" s="18" t="s">
        <v>31</v>
      </c>
      <c r="E62" s="22" t="s">
        <v>70</v>
      </c>
      <c r="F62" s="37" t="s">
        <v>92</v>
      </c>
      <c r="G62" s="22" t="s">
        <v>77</v>
      </c>
      <c r="H62" s="22" t="s">
        <v>41</v>
      </c>
      <c r="I62" s="21">
        <v>-69</v>
      </c>
      <c r="J62" s="19">
        <f t="shared" si="2"/>
        <v>-69.000000000116415</v>
      </c>
      <c r="M62"/>
    </row>
    <row r="63" spans="1:13" x14ac:dyDescent="0.2">
      <c r="A63" s="16">
        <f t="shared" si="1"/>
        <v>62</v>
      </c>
      <c r="B63" s="17">
        <v>45236</v>
      </c>
      <c r="C63" s="39">
        <f t="shared" si="0"/>
        <v>2023</v>
      </c>
      <c r="D63" s="18" t="s">
        <v>34</v>
      </c>
      <c r="E63" s="18"/>
      <c r="F63" t="s">
        <v>38</v>
      </c>
      <c r="G63" s="22" t="s">
        <v>34</v>
      </c>
      <c r="H63" s="22" t="s">
        <v>41</v>
      </c>
      <c r="I63" s="21">
        <v>69</v>
      </c>
      <c r="J63" s="19">
        <f t="shared" si="2"/>
        <v>-1.1641532182693481E-10</v>
      </c>
      <c r="M63"/>
    </row>
    <row r="64" spans="1:13" x14ac:dyDescent="0.2">
      <c r="A64" s="16">
        <f t="shared" si="1"/>
        <v>63</v>
      </c>
      <c r="B64" s="17">
        <v>45265</v>
      </c>
      <c r="C64" s="39">
        <f t="shared" si="0"/>
        <v>2023</v>
      </c>
      <c r="D64" s="18" t="s">
        <v>31</v>
      </c>
      <c r="E64" s="22" t="s">
        <v>70</v>
      </c>
      <c r="F64" s="37" t="s">
        <v>92</v>
      </c>
      <c r="G64" s="22" t="s">
        <v>77</v>
      </c>
      <c r="H64" s="22" t="s">
        <v>41</v>
      </c>
      <c r="I64" s="21">
        <v>-72</v>
      </c>
      <c r="J64" s="19">
        <f t="shared" si="2"/>
        <v>-72.000000000116415</v>
      </c>
      <c r="M64"/>
    </row>
    <row r="65" spans="1:13" x14ac:dyDescent="0.2">
      <c r="A65" s="40">
        <f t="shared" si="1"/>
        <v>64</v>
      </c>
      <c r="B65" s="41">
        <v>45265</v>
      </c>
      <c r="C65" s="42">
        <f t="shared" si="0"/>
        <v>2023</v>
      </c>
      <c r="D65" s="43" t="s">
        <v>34</v>
      </c>
      <c r="E65" s="43"/>
      <c r="F65" s="65" t="s">
        <v>38</v>
      </c>
      <c r="G65" s="47" t="s">
        <v>34</v>
      </c>
      <c r="H65" s="47" t="s">
        <v>41</v>
      </c>
      <c r="I65" s="44">
        <v>72</v>
      </c>
      <c r="J65" s="45">
        <f t="shared" si="2"/>
        <v>-1.1641532182693481E-10</v>
      </c>
      <c r="M65"/>
    </row>
    <row r="66" spans="1:13" x14ac:dyDescent="0.2">
      <c r="A66" s="16">
        <f t="shared" si="1"/>
        <v>65</v>
      </c>
      <c r="B66" s="17">
        <v>45296</v>
      </c>
      <c r="C66" s="39">
        <f t="shared" ref="C66:C123" si="3">IF(B66="","",YEAR(B66))</f>
        <v>2024</v>
      </c>
      <c r="D66" s="18" t="s">
        <v>31</v>
      </c>
      <c r="E66" s="22" t="s">
        <v>70</v>
      </c>
      <c r="F66" s="37" t="s">
        <v>92</v>
      </c>
      <c r="G66" s="22" t="s">
        <v>77</v>
      </c>
      <c r="H66" s="22" t="s">
        <v>41</v>
      </c>
      <c r="I66" s="21">
        <v>-72</v>
      </c>
      <c r="J66" s="19">
        <f t="shared" si="2"/>
        <v>-72.000000000116415</v>
      </c>
      <c r="M66"/>
    </row>
    <row r="67" spans="1:13" x14ac:dyDescent="0.2">
      <c r="A67" s="16">
        <f t="shared" ref="A67:A130" si="4">A66+1</f>
        <v>66</v>
      </c>
      <c r="B67" s="17">
        <v>45296</v>
      </c>
      <c r="C67" s="39">
        <f t="shared" si="3"/>
        <v>2024</v>
      </c>
      <c r="D67" s="18" t="s">
        <v>34</v>
      </c>
      <c r="E67" s="18"/>
      <c r="F67" t="s">
        <v>38</v>
      </c>
      <c r="G67" s="22" t="s">
        <v>34</v>
      </c>
      <c r="H67" s="22" t="s">
        <v>41</v>
      </c>
      <c r="I67" s="21">
        <v>72</v>
      </c>
      <c r="J67" s="19">
        <f t="shared" ref="J67:J262" si="5">IF(I67="",".",J66+I67)</f>
        <v>-1.1641532182693481E-10</v>
      </c>
      <c r="M67"/>
    </row>
    <row r="68" spans="1:13" x14ac:dyDescent="0.2">
      <c r="A68" s="16">
        <f t="shared" si="4"/>
        <v>67</v>
      </c>
      <c r="B68" s="17">
        <v>45385</v>
      </c>
      <c r="C68" s="4">
        <f t="shared" si="3"/>
        <v>2024</v>
      </c>
      <c r="D68" s="18" t="s">
        <v>89</v>
      </c>
      <c r="E68" s="22" t="s">
        <v>70</v>
      </c>
      <c r="F68" t="s">
        <v>79</v>
      </c>
      <c r="G68" s="18" t="s">
        <v>95</v>
      </c>
      <c r="H68" s="22" t="s">
        <v>86</v>
      </c>
      <c r="I68" s="21">
        <v>-408.82</v>
      </c>
      <c r="J68" s="19">
        <f t="shared" si="5"/>
        <v>-408.82000000011641</v>
      </c>
      <c r="M68"/>
    </row>
    <row r="69" spans="1:13" x14ac:dyDescent="0.2">
      <c r="A69" s="16">
        <f t="shared" si="4"/>
        <v>68</v>
      </c>
      <c r="B69" s="17">
        <v>45385</v>
      </c>
      <c r="C69" s="4">
        <f t="shared" si="3"/>
        <v>2024</v>
      </c>
      <c r="D69" s="18" t="s">
        <v>90</v>
      </c>
      <c r="E69" s="22" t="s">
        <v>70</v>
      </c>
      <c r="F69" t="s">
        <v>79</v>
      </c>
      <c r="G69" s="18" t="s">
        <v>94</v>
      </c>
      <c r="H69" s="22" t="s">
        <v>86</v>
      </c>
      <c r="I69" s="21">
        <v>-408.78</v>
      </c>
      <c r="J69" s="19">
        <f t="shared" si="5"/>
        <v>-817.60000000011632</v>
      </c>
      <c r="M69"/>
    </row>
    <row r="70" spans="1:13" x14ac:dyDescent="0.2">
      <c r="A70" s="16">
        <f t="shared" si="4"/>
        <v>69</v>
      </c>
      <c r="B70" s="17">
        <v>45385</v>
      </c>
      <c r="C70" s="39">
        <f t="shared" si="3"/>
        <v>2024</v>
      </c>
      <c r="D70" s="18" t="s">
        <v>34</v>
      </c>
      <c r="E70" s="18"/>
      <c r="F70" t="s">
        <v>38</v>
      </c>
      <c r="G70" s="22" t="s">
        <v>34</v>
      </c>
      <c r="H70" s="22" t="s">
        <v>41</v>
      </c>
      <c r="I70" s="21">
        <v>817.6</v>
      </c>
      <c r="J70" s="19">
        <f t="shared" si="5"/>
        <v>-1.163016349892132E-10</v>
      </c>
      <c r="M70"/>
    </row>
    <row r="71" spans="1:13" x14ac:dyDescent="0.2">
      <c r="A71" s="16">
        <f t="shared" si="4"/>
        <v>70</v>
      </c>
      <c r="B71" s="17">
        <v>45387</v>
      </c>
      <c r="C71" s="39">
        <f t="shared" si="3"/>
        <v>2024</v>
      </c>
      <c r="D71" s="18" t="s">
        <v>31</v>
      </c>
      <c r="E71" s="22" t="s">
        <v>70</v>
      </c>
      <c r="F71" s="37" t="s">
        <v>92</v>
      </c>
      <c r="G71" s="22" t="s">
        <v>77</v>
      </c>
      <c r="H71" s="22" t="s">
        <v>41</v>
      </c>
      <c r="I71" s="21">
        <v>-72</v>
      </c>
      <c r="J71" s="19">
        <f t="shared" si="5"/>
        <v>-72.000000000116302</v>
      </c>
      <c r="M71"/>
    </row>
    <row r="72" spans="1:13" x14ac:dyDescent="0.2">
      <c r="A72" s="16">
        <f t="shared" si="4"/>
        <v>71</v>
      </c>
      <c r="B72" s="17">
        <v>45387</v>
      </c>
      <c r="C72" s="39">
        <f t="shared" si="3"/>
        <v>2024</v>
      </c>
      <c r="D72" s="18" t="s">
        <v>34</v>
      </c>
      <c r="E72" s="18"/>
      <c r="F72" t="s">
        <v>38</v>
      </c>
      <c r="G72" s="22" t="s">
        <v>34</v>
      </c>
      <c r="H72" s="22" t="s">
        <v>41</v>
      </c>
      <c r="I72" s="21">
        <v>72</v>
      </c>
      <c r="J72" s="19">
        <f t="shared" si="5"/>
        <v>-1.163016349892132E-10</v>
      </c>
      <c r="M72"/>
    </row>
    <row r="73" spans="1:13" x14ac:dyDescent="0.2">
      <c r="A73" s="16">
        <f t="shared" si="4"/>
        <v>72</v>
      </c>
      <c r="B73" s="17">
        <v>45418</v>
      </c>
      <c r="C73" s="39">
        <f t="shared" si="3"/>
        <v>2024</v>
      </c>
      <c r="D73" s="18" t="s">
        <v>31</v>
      </c>
      <c r="E73" s="22" t="s">
        <v>70</v>
      </c>
      <c r="F73" s="37" t="s">
        <v>92</v>
      </c>
      <c r="G73" s="22" t="s">
        <v>77</v>
      </c>
      <c r="H73" s="22" t="s">
        <v>41</v>
      </c>
      <c r="I73" s="21">
        <v>-72</v>
      </c>
      <c r="J73" s="19">
        <f t="shared" si="5"/>
        <v>-72.000000000116302</v>
      </c>
      <c r="M73"/>
    </row>
    <row r="74" spans="1:13" x14ac:dyDescent="0.2">
      <c r="A74" s="16">
        <f t="shared" si="4"/>
        <v>73</v>
      </c>
      <c r="B74" s="17">
        <v>45418</v>
      </c>
      <c r="C74" s="39">
        <f t="shared" si="3"/>
        <v>2024</v>
      </c>
      <c r="D74" s="18" t="s">
        <v>34</v>
      </c>
      <c r="E74" s="18"/>
      <c r="F74" t="s">
        <v>38</v>
      </c>
      <c r="G74" s="22" t="s">
        <v>34</v>
      </c>
      <c r="H74" s="22" t="s">
        <v>41</v>
      </c>
      <c r="I74" s="21">
        <v>72</v>
      </c>
      <c r="J74" s="19">
        <f t="shared" si="5"/>
        <v>-1.163016349892132E-10</v>
      </c>
      <c r="M74"/>
    </row>
    <row r="75" spans="1:13" x14ac:dyDescent="0.2">
      <c r="A75" s="16">
        <f t="shared" si="4"/>
        <v>74</v>
      </c>
      <c r="B75" s="17">
        <v>45441</v>
      </c>
      <c r="C75" s="4">
        <f t="shared" si="3"/>
        <v>2024</v>
      </c>
      <c r="D75" s="18" t="s">
        <v>88</v>
      </c>
      <c r="E75" s="22" t="s">
        <v>70</v>
      </c>
      <c r="F75" t="s">
        <v>91</v>
      </c>
      <c r="G75" s="22" t="s">
        <v>47</v>
      </c>
      <c r="H75" s="22" t="s">
        <v>87</v>
      </c>
      <c r="I75" s="21">
        <v>-1049.08</v>
      </c>
      <c r="J75" s="19">
        <f t="shared" si="5"/>
        <v>-1049.0800000001163</v>
      </c>
      <c r="M75"/>
    </row>
    <row r="76" spans="1:13" x14ac:dyDescent="0.2">
      <c r="A76" s="16">
        <f t="shared" si="4"/>
        <v>75</v>
      </c>
      <c r="B76" s="17">
        <v>45441</v>
      </c>
      <c r="C76" s="39">
        <f t="shared" si="3"/>
        <v>2024</v>
      </c>
      <c r="D76" s="18" t="s">
        <v>34</v>
      </c>
      <c r="E76" s="18"/>
      <c r="F76" t="s">
        <v>38</v>
      </c>
      <c r="G76" s="22" t="s">
        <v>34</v>
      </c>
      <c r="H76" s="22" t="s">
        <v>41</v>
      </c>
      <c r="I76" s="21">
        <v>1049.08</v>
      </c>
      <c r="J76" s="19">
        <f t="shared" si="5"/>
        <v>-1.1641532182693481E-10</v>
      </c>
      <c r="M76"/>
    </row>
    <row r="77" spans="1:13" x14ac:dyDescent="0.2">
      <c r="A77" s="16">
        <f t="shared" si="4"/>
        <v>76</v>
      </c>
      <c r="B77" s="17">
        <v>45448</v>
      </c>
      <c r="C77" s="39">
        <f t="shared" si="3"/>
        <v>2024</v>
      </c>
      <c r="D77" s="18" t="s">
        <v>31</v>
      </c>
      <c r="E77" s="22" t="s">
        <v>70</v>
      </c>
      <c r="F77" s="37" t="s">
        <v>92</v>
      </c>
      <c r="G77" s="22" t="s">
        <v>77</v>
      </c>
      <c r="H77" s="22" t="s">
        <v>41</v>
      </c>
      <c r="I77" s="21">
        <v>-72</v>
      </c>
      <c r="J77" s="19">
        <f t="shared" si="5"/>
        <v>-72.000000000116415</v>
      </c>
      <c r="M77"/>
    </row>
    <row r="78" spans="1:13" x14ac:dyDescent="0.2">
      <c r="A78" s="16">
        <f t="shared" si="4"/>
        <v>77</v>
      </c>
      <c r="B78" s="17">
        <v>45448</v>
      </c>
      <c r="C78" s="39">
        <f t="shared" si="3"/>
        <v>2024</v>
      </c>
      <c r="D78" s="18" t="s">
        <v>34</v>
      </c>
      <c r="E78" s="18"/>
      <c r="F78" t="s">
        <v>38</v>
      </c>
      <c r="G78" s="22" t="s">
        <v>34</v>
      </c>
      <c r="H78" s="22" t="s">
        <v>41</v>
      </c>
      <c r="I78" s="21">
        <v>72</v>
      </c>
      <c r="J78" s="19">
        <f t="shared" si="5"/>
        <v>-1.1641532182693481E-10</v>
      </c>
      <c r="M78"/>
    </row>
    <row r="79" spans="1:13" x14ac:dyDescent="0.2">
      <c r="A79" s="16">
        <f t="shared" si="4"/>
        <v>78</v>
      </c>
      <c r="B79" s="17">
        <v>45478</v>
      </c>
      <c r="C79" s="4">
        <f t="shared" si="3"/>
        <v>2024</v>
      </c>
      <c r="D79" s="18" t="s">
        <v>73</v>
      </c>
      <c r="E79" s="22" t="s">
        <v>70</v>
      </c>
      <c r="F79" t="s">
        <v>91</v>
      </c>
      <c r="G79" s="22" t="s">
        <v>47</v>
      </c>
      <c r="H79" s="22" t="s">
        <v>75</v>
      </c>
      <c r="I79" s="21">
        <v>-850</v>
      </c>
      <c r="J79" s="19">
        <f t="shared" si="5"/>
        <v>-850.00000000011642</v>
      </c>
      <c r="M79"/>
    </row>
    <row r="80" spans="1:13" x14ac:dyDescent="0.2">
      <c r="A80" s="16">
        <f t="shared" si="4"/>
        <v>79</v>
      </c>
      <c r="B80" s="17">
        <v>45478</v>
      </c>
      <c r="C80" s="39">
        <f t="shared" si="3"/>
        <v>2024</v>
      </c>
      <c r="D80" s="18" t="s">
        <v>31</v>
      </c>
      <c r="E80" s="22" t="s">
        <v>70</v>
      </c>
      <c r="F80" s="37" t="s">
        <v>92</v>
      </c>
      <c r="G80" s="22" t="s">
        <v>77</v>
      </c>
      <c r="H80" s="22" t="s">
        <v>41</v>
      </c>
      <c r="I80" s="21">
        <v>-72</v>
      </c>
      <c r="J80" s="19">
        <f t="shared" si="5"/>
        <v>-922.00000000011642</v>
      </c>
      <c r="M80"/>
    </row>
    <row r="81" spans="1:13" x14ac:dyDescent="0.2">
      <c r="A81" s="16">
        <f t="shared" si="4"/>
        <v>80</v>
      </c>
      <c r="B81" s="17">
        <v>45478</v>
      </c>
      <c r="C81" s="39">
        <f t="shared" si="3"/>
        <v>2024</v>
      </c>
      <c r="D81" s="18" t="s">
        <v>34</v>
      </c>
      <c r="E81" s="18"/>
      <c r="F81" t="s">
        <v>38</v>
      </c>
      <c r="G81" s="22" t="s">
        <v>34</v>
      </c>
      <c r="H81" s="22" t="s">
        <v>41</v>
      </c>
      <c r="I81" s="21">
        <v>922</v>
      </c>
      <c r="J81" s="19">
        <f t="shared" si="5"/>
        <v>-1.1641532182693481E-10</v>
      </c>
    </row>
    <row r="82" spans="1:13" x14ac:dyDescent="0.2">
      <c r="A82" s="16">
        <f t="shared" si="4"/>
        <v>81</v>
      </c>
      <c r="B82" s="17">
        <v>45509</v>
      </c>
      <c r="C82" s="39">
        <f t="shared" si="3"/>
        <v>2024</v>
      </c>
      <c r="D82" s="18" t="s">
        <v>31</v>
      </c>
      <c r="E82" s="22" t="s">
        <v>70</v>
      </c>
      <c r="F82" s="37" t="s">
        <v>92</v>
      </c>
      <c r="G82" s="22" t="s">
        <v>77</v>
      </c>
      <c r="H82" s="22" t="s">
        <v>41</v>
      </c>
      <c r="I82" s="21">
        <v>-73.8</v>
      </c>
      <c r="J82" s="19">
        <f t="shared" si="5"/>
        <v>-73.800000000116412</v>
      </c>
      <c r="M82"/>
    </row>
    <row r="83" spans="1:13" x14ac:dyDescent="0.2">
      <c r="A83" s="16">
        <f t="shared" si="4"/>
        <v>82</v>
      </c>
      <c r="B83" s="17">
        <v>45509</v>
      </c>
      <c r="C83" s="39">
        <f t="shared" si="3"/>
        <v>2024</v>
      </c>
      <c r="D83" s="18" t="s">
        <v>34</v>
      </c>
      <c r="E83" s="18"/>
      <c r="F83" t="s">
        <v>38</v>
      </c>
      <c r="G83" s="22" t="s">
        <v>34</v>
      </c>
      <c r="H83" s="22" t="s">
        <v>41</v>
      </c>
      <c r="I83" s="21">
        <v>73.8</v>
      </c>
      <c r="J83" s="19">
        <f t="shared" si="5"/>
        <v>-1.1641532182693481E-10</v>
      </c>
    </row>
    <row r="84" spans="1:13" x14ac:dyDescent="0.2">
      <c r="A84" s="16">
        <f t="shared" si="4"/>
        <v>83</v>
      </c>
      <c r="B84" s="17">
        <v>45540</v>
      </c>
      <c r="C84" s="39">
        <f t="shared" si="3"/>
        <v>2024</v>
      </c>
      <c r="D84" s="18" t="s">
        <v>31</v>
      </c>
      <c r="E84" s="22" t="s">
        <v>70</v>
      </c>
      <c r="F84" s="37" t="s">
        <v>92</v>
      </c>
      <c r="G84" s="22" t="s">
        <v>77</v>
      </c>
      <c r="H84" s="22" t="s">
        <v>41</v>
      </c>
      <c r="I84" s="21">
        <v>-73.8</v>
      </c>
      <c r="J84" s="19">
        <f t="shared" si="5"/>
        <v>-73.800000000116412</v>
      </c>
    </row>
    <row r="85" spans="1:13" x14ac:dyDescent="0.2">
      <c r="A85" s="16">
        <f t="shared" si="4"/>
        <v>84</v>
      </c>
      <c r="B85" s="17">
        <v>45540</v>
      </c>
      <c r="C85" s="39">
        <f t="shared" si="3"/>
        <v>2024</v>
      </c>
      <c r="D85" s="18" t="s">
        <v>34</v>
      </c>
      <c r="E85" s="18"/>
      <c r="F85" t="s">
        <v>38</v>
      </c>
      <c r="G85" s="22" t="s">
        <v>34</v>
      </c>
      <c r="H85" s="22" t="s">
        <v>41</v>
      </c>
      <c r="I85" s="21">
        <v>73.8</v>
      </c>
      <c r="J85" s="19">
        <f t="shared" si="5"/>
        <v>-1.1641532182693481E-10</v>
      </c>
    </row>
    <row r="86" spans="1:13" x14ac:dyDescent="0.2">
      <c r="A86" s="16">
        <f t="shared" si="4"/>
        <v>85</v>
      </c>
      <c r="B86" s="17">
        <v>45572</v>
      </c>
      <c r="C86" s="39">
        <f t="shared" si="3"/>
        <v>2024</v>
      </c>
      <c r="D86" s="18" t="s">
        <v>31</v>
      </c>
      <c r="E86" s="22" t="s">
        <v>70</v>
      </c>
      <c r="F86" s="37" t="s">
        <v>92</v>
      </c>
      <c r="G86" s="22" t="s">
        <v>77</v>
      </c>
      <c r="H86" s="22" t="s">
        <v>41</v>
      </c>
      <c r="I86" s="21">
        <v>-73.8</v>
      </c>
      <c r="J86" s="19">
        <f t="shared" si="5"/>
        <v>-73.800000000116412</v>
      </c>
      <c r="M86"/>
    </row>
    <row r="87" spans="1:13" x14ac:dyDescent="0.2">
      <c r="A87" s="16">
        <f t="shared" si="4"/>
        <v>86</v>
      </c>
      <c r="B87" s="17">
        <v>45572</v>
      </c>
      <c r="C87" s="39">
        <f t="shared" si="3"/>
        <v>2024</v>
      </c>
      <c r="D87" s="18" t="s">
        <v>34</v>
      </c>
      <c r="E87" s="18"/>
      <c r="F87" t="s">
        <v>38</v>
      </c>
      <c r="G87" s="22" t="s">
        <v>34</v>
      </c>
      <c r="H87" s="22" t="s">
        <v>41</v>
      </c>
      <c r="I87" s="21">
        <v>73.8</v>
      </c>
      <c r="J87" s="19">
        <f t="shared" si="5"/>
        <v>-1.1641532182693481E-10</v>
      </c>
      <c r="M87"/>
    </row>
    <row r="88" spans="1:13" x14ac:dyDescent="0.2">
      <c r="A88" s="16">
        <f t="shared" si="4"/>
        <v>87</v>
      </c>
      <c r="B88" s="17">
        <v>45596</v>
      </c>
      <c r="C88" s="4">
        <f t="shared" si="3"/>
        <v>2024</v>
      </c>
      <c r="D88" s="18" t="s">
        <v>88</v>
      </c>
      <c r="E88" s="22" t="s">
        <v>70</v>
      </c>
      <c r="F88" t="s">
        <v>91</v>
      </c>
      <c r="G88" s="22" t="s">
        <v>47</v>
      </c>
      <c r="H88" s="22" t="s">
        <v>96</v>
      </c>
      <c r="I88" s="21">
        <v>-184</v>
      </c>
      <c r="J88" s="19">
        <f t="shared" si="5"/>
        <v>-184.00000000011642</v>
      </c>
      <c r="M88"/>
    </row>
    <row r="89" spans="1:13" x14ac:dyDescent="0.2">
      <c r="A89" s="16">
        <f t="shared" si="4"/>
        <v>88</v>
      </c>
      <c r="B89" s="17">
        <v>45596</v>
      </c>
      <c r="C89" s="39">
        <f t="shared" si="3"/>
        <v>2024</v>
      </c>
      <c r="D89" s="18" t="s">
        <v>34</v>
      </c>
      <c r="E89" s="18"/>
      <c r="F89" t="s">
        <v>38</v>
      </c>
      <c r="G89" s="22" t="s">
        <v>34</v>
      </c>
      <c r="H89" s="22" t="s">
        <v>41</v>
      </c>
      <c r="I89" s="21">
        <v>184</v>
      </c>
      <c r="J89" s="19">
        <f t="shared" si="5"/>
        <v>-1.1641532182693481E-10</v>
      </c>
    </row>
    <row r="90" spans="1:13" x14ac:dyDescent="0.2">
      <c r="A90" s="16">
        <f t="shared" si="4"/>
        <v>89</v>
      </c>
      <c r="B90" s="17">
        <v>45601</v>
      </c>
      <c r="C90" s="39">
        <f t="shared" si="3"/>
        <v>2024</v>
      </c>
      <c r="D90" s="18" t="s">
        <v>31</v>
      </c>
      <c r="E90" s="22" t="s">
        <v>70</v>
      </c>
      <c r="F90" s="37" t="s">
        <v>92</v>
      </c>
      <c r="G90" s="22" t="s">
        <v>77</v>
      </c>
      <c r="H90" s="22" t="s">
        <v>41</v>
      </c>
      <c r="I90" s="21">
        <v>-73.8</v>
      </c>
      <c r="J90" s="19">
        <f t="shared" si="5"/>
        <v>-73.800000000116412</v>
      </c>
      <c r="M90"/>
    </row>
    <row r="91" spans="1:13" x14ac:dyDescent="0.2">
      <c r="A91" s="16">
        <f t="shared" si="4"/>
        <v>90</v>
      </c>
      <c r="B91" s="17">
        <v>45601</v>
      </c>
      <c r="C91" s="39">
        <f t="shared" si="3"/>
        <v>2024</v>
      </c>
      <c r="D91" s="18" t="s">
        <v>34</v>
      </c>
      <c r="E91" s="18"/>
      <c r="F91" t="s">
        <v>38</v>
      </c>
      <c r="G91" s="22" t="s">
        <v>34</v>
      </c>
      <c r="H91" s="22" t="s">
        <v>41</v>
      </c>
      <c r="I91" s="21">
        <v>73.8</v>
      </c>
      <c r="J91" s="19">
        <f t="shared" si="5"/>
        <v>-1.1641532182693481E-10</v>
      </c>
      <c r="M91"/>
    </row>
    <row r="92" spans="1:13" x14ac:dyDescent="0.2">
      <c r="A92" s="16">
        <f t="shared" si="4"/>
        <v>91</v>
      </c>
      <c r="B92" s="17">
        <v>45603</v>
      </c>
      <c r="C92" s="4">
        <f t="shared" si="3"/>
        <v>2024</v>
      </c>
      <c r="D92" s="18" t="s">
        <v>98</v>
      </c>
      <c r="E92" s="22" t="s">
        <v>70</v>
      </c>
      <c r="F92" t="s">
        <v>91</v>
      </c>
      <c r="G92" s="22" t="s">
        <v>47</v>
      </c>
      <c r="H92" s="22" t="s">
        <v>97</v>
      </c>
      <c r="I92" s="21">
        <v>-421.6</v>
      </c>
      <c r="J92" s="19">
        <f t="shared" si="5"/>
        <v>-421.60000000011644</v>
      </c>
      <c r="M92"/>
    </row>
    <row r="93" spans="1:13" x14ac:dyDescent="0.2">
      <c r="A93" s="16">
        <f t="shared" si="4"/>
        <v>92</v>
      </c>
      <c r="B93" s="17">
        <v>45603</v>
      </c>
      <c r="C93" s="39">
        <f t="shared" si="3"/>
        <v>2024</v>
      </c>
      <c r="D93" s="18" t="s">
        <v>34</v>
      </c>
      <c r="E93" s="18"/>
      <c r="F93" t="s">
        <v>38</v>
      </c>
      <c r="G93" s="22" t="s">
        <v>34</v>
      </c>
      <c r="H93" s="22" t="s">
        <v>41</v>
      </c>
      <c r="I93" s="21">
        <v>421.6</v>
      </c>
      <c r="J93" s="19">
        <f t="shared" si="5"/>
        <v>-1.1641532182693481E-10</v>
      </c>
      <c r="M93"/>
    </row>
    <row r="94" spans="1:13" x14ac:dyDescent="0.2">
      <c r="A94" s="16">
        <f t="shared" si="4"/>
        <v>93</v>
      </c>
      <c r="B94" s="17">
        <v>45625</v>
      </c>
      <c r="C94" s="4">
        <f t="shared" si="3"/>
        <v>2024</v>
      </c>
      <c r="D94" s="18" t="s">
        <v>100</v>
      </c>
      <c r="E94" s="22" t="s">
        <v>70</v>
      </c>
      <c r="F94" t="s">
        <v>91</v>
      </c>
      <c r="G94" s="22" t="s">
        <v>47</v>
      </c>
      <c r="H94" s="22" t="s">
        <v>99</v>
      </c>
      <c r="I94" s="21">
        <v>-300</v>
      </c>
      <c r="J94" s="19">
        <f t="shared" si="5"/>
        <v>-300.00000000011642</v>
      </c>
      <c r="M94"/>
    </row>
    <row r="95" spans="1:13" x14ac:dyDescent="0.2">
      <c r="A95" s="16">
        <f t="shared" si="4"/>
        <v>94</v>
      </c>
      <c r="B95" s="17">
        <v>45625</v>
      </c>
      <c r="C95" s="4">
        <f t="shared" si="3"/>
        <v>2024</v>
      </c>
      <c r="D95" s="18" t="s">
        <v>101</v>
      </c>
      <c r="E95" s="22" t="s">
        <v>70</v>
      </c>
      <c r="F95" t="s">
        <v>91</v>
      </c>
      <c r="G95" s="22" t="s">
        <v>47</v>
      </c>
      <c r="H95" s="22" t="s">
        <v>99</v>
      </c>
      <c r="I95" s="21">
        <v>-353</v>
      </c>
      <c r="J95" s="19">
        <f t="shared" si="5"/>
        <v>-653.00000000011642</v>
      </c>
      <c r="M95"/>
    </row>
    <row r="96" spans="1:13" x14ac:dyDescent="0.2">
      <c r="A96" s="16">
        <f t="shared" si="4"/>
        <v>95</v>
      </c>
      <c r="B96" s="17">
        <v>45625</v>
      </c>
      <c r="C96" s="39">
        <f t="shared" si="3"/>
        <v>2024</v>
      </c>
      <c r="D96" s="18" t="s">
        <v>34</v>
      </c>
      <c r="E96" s="18"/>
      <c r="F96" t="s">
        <v>38</v>
      </c>
      <c r="G96" s="22" t="s">
        <v>34</v>
      </c>
      <c r="H96" s="22" t="s">
        <v>41</v>
      </c>
      <c r="I96" s="21">
        <v>653</v>
      </c>
      <c r="J96" s="19">
        <f t="shared" si="5"/>
        <v>-1.1641532182693481E-10</v>
      </c>
    </row>
    <row r="97" spans="1:13" x14ac:dyDescent="0.2">
      <c r="A97" s="16">
        <f t="shared" si="4"/>
        <v>96</v>
      </c>
      <c r="B97" s="17">
        <v>45631</v>
      </c>
      <c r="C97" s="39">
        <f t="shared" si="3"/>
        <v>2024</v>
      </c>
      <c r="D97" s="18" t="s">
        <v>31</v>
      </c>
      <c r="E97" s="22" t="s">
        <v>70</v>
      </c>
      <c r="F97" s="37" t="s">
        <v>92</v>
      </c>
      <c r="G97" s="22" t="s">
        <v>77</v>
      </c>
      <c r="H97" s="22" t="s">
        <v>41</v>
      </c>
      <c r="I97" s="21">
        <v>-73.8</v>
      </c>
      <c r="J97" s="19">
        <f t="shared" si="5"/>
        <v>-73.800000000116412</v>
      </c>
      <c r="M97"/>
    </row>
    <row r="98" spans="1:13" x14ac:dyDescent="0.2">
      <c r="A98" s="16">
        <f t="shared" si="4"/>
        <v>97</v>
      </c>
      <c r="B98" s="17">
        <v>45631</v>
      </c>
      <c r="C98" s="39">
        <f t="shared" si="3"/>
        <v>2024</v>
      </c>
      <c r="D98" s="18" t="s">
        <v>34</v>
      </c>
      <c r="E98" s="18"/>
      <c r="F98" t="s">
        <v>38</v>
      </c>
      <c r="G98" s="22" t="s">
        <v>34</v>
      </c>
      <c r="H98" s="22" t="s">
        <v>41</v>
      </c>
      <c r="I98" s="21">
        <v>73.8</v>
      </c>
      <c r="J98" s="19">
        <f t="shared" si="5"/>
        <v>-1.1641532182693481E-10</v>
      </c>
      <c r="M98"/>
    </row>
    <row r="99" spans="1:13" x14ac:dyDescent="0.2">
      <c r="A99" s="16">
        <f t="shared" si="4"/>
        <v>98</v>
      </c>
      <c r="B99" s="17">
        <v>45632</v>
      </c>
      <c r="C99" s="4">
        <f t="shared" si="3"/>
        <v>2024</v>
      </c>
      <c r="D99" s="18" t="s">
        <v>101</v>
      </c>
      <c r="E99" s="22" t="s">
        <v>70</v>
      </c>
      <c r="F99" t="s">
        <v>91</v>
      </c>
      <c r="G99" s="22" t="s">
        <v>47</v>
      </c>
      <c r="H99" s="22" t="s">
        <v>102</v>
      </c>
      <c r="I99" s="21">
        <v>-653</v>
      </c>
      <c r="J99" s="19">
        <f t="shared" si="5"/>
        <v>-653.00000000011642</v>
      </c>
      <c r="M99"/>
    </row>
    <row r="100" spans="1:13" x14ac:dyDescent="0.2">
      <c r="A100" s="16">
        <f t="shared" si="4"/>
        <v>99</v>
      </c>
      <c r="B100" s="17">
        <v>45632</v>
      </c>
      <c r="C100" s="39">
        <f t="shared" si="3"/>
        <v>2024</v>
      </c>
      <c r="D100" s="18" t="s">
        <v>34</v>
      </c>
      <c r="E100" s="18"/>
      <c r="F100" t="s">
        <v>38</v>
      </c>
      <c r="G100" s="22" t="s">
        <v>34</v>
      </c>
      <c r="H100" s="22" t="s">
        <v>41</v>
      </c>
      <c r="I100" s="21">
        <v>653</v>
      </c>
      <c r="J100" s="19">
        <f t="shared" si="5"/>
        <v>-1.1641532182693481E-10</v>
      </c>
      <c r="M100"/>
    </row>
    <row r="101" spans="1:13" x14ac:dyDescent="0.2">
      <c r="A101" s="16">
        <f t="shared" si="4"/>
        <v>100</v>
      </c>
      <c r="B101" s="17">
        <v>45635</v>
      </c>
      <c r="C101" s="4">
        <f t="shared" si="3"/>
        <v>2024</v>
      </c>
      <c r="D101" s="22" t="s">
        <v>128</v>
      </c>
      <c r="E101" s="22" t="s">
        <v>70</v>
      </c>
      <c r="F101" t="s">
        <v>91</v>
      </c>
      <c r="G101" s="22" t="s">
        <v>47</v>
      </c>
      <c r="H101" s="103" t="s">
        <v>117</v>
      </c>
      <c r="I101" s="21">
        <v>-6764.79</v>
      </c>
      <c r="J101" s="19">
        <f t="shared" si="5"/>
        <v>-6764.7900000001164</v>
      </c>
      <c r="M101"/>
    </row>
    <row r="102" spans="1:13" x14ac:dyDescent="0.2">
      <c r="A102" s="16">
        <f t="shared" si="4"/>
        <v>101</v>
      </c>
      <c r="B102" s="17">
        <v>45635</v>
      </c>
      <c r="C102" s="39">
        <f t="shared" si="3"/>
        <v>2024</v>
      </c>
      <c r="D102" s="18" t="s">
        <v>34</v>
      </c>
      <c r="E102" s="18"/>
      <c r="F102" t="s">
        <v>38</v>
      </c>
      <c r="G102" s="22" t="s">
        <v>34</v>
      </c>
      <c r="H102" s="22" t="s">
        <v>41</v>
      </c>
      <c r="I102" s="21">
        <v>6764.79</v>
      </c>
      <c r="J102" s="19">
        <f t="shared" si="5"/>
        <v>-1.1641532182693481E-10</v>
      </c>
      <c r="M102"/>
    </row>
    <row r="103" spans="1:13" x14ac:dyDescent="0.2">
      <c r="A103" s="16">
        <f t="shared" si="4"/>
        <v>102</v>
      </c>
      <c r="B103" s="17">
        <v>45636</v>
      </c>
      <c r="C103" s="4">
        <f t="shared" si="3"/>
        <v>2024</v>
      </c>
      <c r="D103" s="18" t="s">
        <v>110</v>
      </c>
      <c r="E103" s="22" t="s">
        <v>70</v>
      </c>
      <c r="F103" t="s">
        <v>91</v>
      </c>
      <c r="G103" s="22" t="s">
        <v>47</v>
      </c>
      <c r="H103" s="22" t="s">
        <v>109</v>
      </c>
      <c r="I103" s="21">
        <v>-7200</v>
      </c>
      <c r="J103" s="19">
        <f t="shared" si="5"/>
        <v>-7200.0000000001164</v>
      </c>
      <c r="M103"/>
    </row>
    <row r="104" spans="1:13" x14ac:dyDescent="0.2">
      <c r="A104" s="16">
        <f t="shared" si="4"/>
        <v>103</v>
      </c>
      <c r="B104" s="17">
        <v>45636</v>
      </c>
      <c r="C104" s="39">
        <f t="shared" si="3"/>
        <v>2024</v>
      </c>
      <c r="D104" s="18" t="s">
        <v>34</v>
      </c>
      <c r="E104" s="18"/>
      <c r="F104" t="s">
        <v>38</v>
      </c>
      <c r="G104" s="22" t="s">
        <v>34</v>
      </c>
      <c r="H104" s="22" t="s">
        <v>41</v>
      </c>
      <c r="I104" s="21">
        <v>7200</v>
      </c>
      <c r="J104" s="19">
        <f t="shared" si="5"/>
        <v>-1.1641532182693481E-10</v>
      </c>
      <c r="M104"/>
    </row>
    <row r="105" spans="1:13" x14ac:dyDescent="0.2">
      <c r="A105" s="16">
        <f t="shared" si="4"/>
        <v>104</v>
      </c>
      <c r="B105" s="17">
        <v>45649</v>
      </c>
      <c r="C105" s="4">
        <f t="shared" si="3"/>
        <v>2024</v>
      </c>
      <c r="D105" s="18" t="s">
        <v>108</v>
      </c>
      <c r="E105" s="22" t="s">
        <v>70</v>
      </c>
      <c r="F105" t="s">
        <v>91</v>
      </c>
      <c r="G105" s="22" t="s">
        <v>47</v>
      </c>
      <c r="H105" s="22" t="s">
        <v>103</v>
      </c>
      <c r="I105" s="21">
        <v>-3700</v>
      </c>
      <c r="J105" s="19">
        <f t="shared" si="5"/>
        <v>-3700.0000000001164</v>
      </c>
      <c r="M105"/>
    </row>
    <row r="106" spans="1:13" x14ac:dyDescent="0.2">
      <c r="A106" s="40">
        <f t="shared" si="4"/>
        <v>105</v>
      </c>
      <c r="B106" s="41">
        <v>45649</v>
      </c>
      <c r="C106" s="42">
        <f t="shared" si="3"/>
        <v>2024</v>
      </c>
      <c r="D106" s="43" t="s">
        <v>34</v>
      </c>
      <c r="E106" s="43"/>
      <c r="F106" s="65" t="s">
        <v>38</v>
      </c>
      <c r="G106" s="47" t="s">
        <v>34</v>
      </c>
      <c r="H106" s="47" t="s">
        <v>41</v>
      </c>
      <c r="I106" s="44">
        <v>3700</v>
      </c>
      <c r="J106" s="45">
        <f t="shared" si="5"/>
        <v>-1.1641532182693481E-10</v>
      </c>
    </row>
    <row r="107" spans="1:13" x14ac:dyDescent="0.2">
      <c r="A107" s="16">
        <f t="shared" si="4"/>
        <v>106</v>
      </c>
      <c r="B107" s="17">
        <v>45664</v>
      </c>
      <c r="C107" s="39">
        <f t="shared" si="3"/>
        <v>2025</v>
      </c>
      <c r="D107" s="18" t="s">
        <v>31</v>
      </c>
      <c r="E107" s="22" t="s">
        <v>70</v>
      </c>
      <c r="F107" s="37" t="s">
        <v>92</v>
      </c>
      <c r="G107" s="22" t="s">
        <v>77</v>
      </c>
      <c r="H107" s="22" t="s">
        <v>41</v>
      </c>
      <c r="I107" s="21">
        <v>-73.8</v>
      </c>
      <c r="J107" s="19">
        <f t="shared" si="5"/>
        <v>-73.800000000116412</v>
      </c>
      <c r="M107"/>
    </row>
    <row r="108" spans="1:13" x14ac:dyDescent="0.2">
      <c r="A108" s="16">
        <f t="shared" si="4"/>
        <v>107</v>
      </c>
      <c r="B108" s="17">
        <v>45664</v>
      </c>
      <c r="C108" s="39">
        <f t="shared" si="3"/>
        <v>2025</v>
      </c>
      <c r="D108" s="18" t="s">
        <v>34</v>
      </c>
      <c r="E108" s="18"/>
      <c r="F108" t="s">
        <v>38</v>
      </c>
      <c r="G108" s="22" t="s">
        <v>34</v>
      </c>
      <c r="H108" s="22" t="s">
        <v>41</v>
      </c>
      <c r="I108" s="21">
        <v>73.8</v>
      </c>
      <c r="J108" s="19">
        <f t="shared" si="5"/>
        <v>-1.1641532182693481E-10</v>
      </c>
      <c r="M108"/>
    </row>
    <row r="109" spans="1:13" x14ac:dyDescent="0.2">
      <c r="A109" s="16">
        <f t="shared" si="4"/>
        <v>108</v>
      </c>
      <c r="B109" s="17">
        <v>45667</v>
      </c>
      <c r="C109" s="4">
        <f t="shared" si="3"/>
        <v>2025</v>
      </c>
      <c r="D109" s="18" t="s">
        <v>101</v>
      </c>
      <c r="E109" s="22" t="s">
        <v>70</v>
      </c>
      <c r="F109" t="s">
        <v>91</v>
      </c>
      <c r="G109" s="22" t="s">
        <v>47</v>
      </c>
      <c r="H109" s="22"/>
      <c r="I109" s="21">
        <v>-300</v>
      </c>
      <c r="J109" s="19">
        <f t="shared" si="5"/>
        <v>-300.00000000011642</v>
      </c>
      <c r="M109"/>
    </row>
    <row r="110" spans="1:13" x14ac:dyDescent="0.2">
      <c r="A110" s="16">
        <f t="shared" si="4"/>
        <v>109</v>
      </c>
      <c r="B110" s="17">
        <v>45667</v>
      </c>
      <c r="C110" s="4">
        <f t="shared" si="3"/>
        <v>2025</v>
      </c>
      <c r="D110" s="18" t="s">
        <v>101</v>
      </c>
      <c r="E110" s="22" t="s">
        <v>70</v>
      </c>
      <c r="F110" t="s">
        <v>91</v>
      </c>
      <c r="G110" s="22" t="s">
        <v>47</v>
      </c>
      <c r="H110" s="22" t="s">
        <v>99</v>
      </c>
      <c r="I110" s="21">
        <v>-353</v>
      </c>
      <c r="J110" s="19">
        <f t="shared" si="5"/>
        <v>-653.00000000011642</v>
      </c>
      <c r="M110"/>
    </row>
    <row r="111" spans="1:13" x14ac:dyDescent="0.2">
      <c r="A111" s="16">
        <f t="shared" si="4"/>
        <v>110</v>
      </c>
      <c r="B111" s="17">
        <v>45667</v>
      </c>
      <c r="C111" s="39">
        <f t="shared" si="3"/>
        <v>2025</v>
      </c>
      <c r="D111" s="18" t="s">
        <v>34</v>
      </c>
      <c r="E111" s="18"/>
      <c r="F111" t="s">
        <v>38</v>
      </c>
      <c r="G111" s="22" t="s">
        <v>34</v>
      </c>
      <c r="H111" s="22" t="s">
        <v>41</v>
      </c>
      <c r="I111" s="21">
        <v>653</v>
      </c>
      <c r="J111" s="19">
        <f t="shared" si="5"/>
        <v>-1.1641532182693481E-10</v>
      </c>
      <c r="M111"/>
    </row>
    <row r="112" spans="1:13" x14ac:dyDescent="0.2">
      <c r="A112" s="16">
        <f t="shared" si="4"/>
        <v>111</v>
      </c>
      <c r="B112" s="17">
        <v>45671</v>
      </c>
      <c r="C112" s="4">
        <f t="shared" si="3"/>
        <v>2025</v>
      </c>
      <c r="D112" s="18" t="s">
        <v>125</v>
      </c>
      <c r="E112" s="22" t="s">
        <v>70</v>
      </c>
      <c r="F112" t="s">
        <v>91</v>
      </c>
      <c r="G112" s="22" t="s">
        <v>127</v>
      </c>
      <c r="H112" s="22" t="s">
        <v>112</v>
      </c>
      <c r="I112" s="21">
        <v>-2498.14</v>
      </c>
      <c r="J112" s="19">
        <f t="shared" si="5"/>
        <v>-2498.1400000001163</v>
      </c>
      <c r="M112"/>
    </row>
    <row r="113" spans="1:13" x14ac:dyDescent="0.2">
      <c r="A113" s="16">
        <f t="shared" si="4"/>
        <v>112</v>
      </c>
      <c r="B113" s="17">
        <v>45671</v>
      </c>
      <c r="C113" s="39">
        <f t="shared" si="3"/>
        <v>2025</v>
      </c>
      <c r="D113" s="18" t="s">
        <v>34</v>
      </c>
      <c r="E113" s="18"/>
      <c r="F113" t="s">
        <v>38</v>
      </c>
      <c r="G113" s="22" t="s">
        <v>34</v>
      </c>
      <c r="H113" s="22" t="s">
        <v>41</v>
      </c>
      <c r="I113" s="21">
        <v>2498.14</v>
      </c>
      <c r="J113" s="19">
        <f t="shared" si="5"/>
        <v>-1.1641532182693481E-10</v>
      </c>
      <c r="M113"/>
    </row>
    <row r="114" spans="1:13" x14ac:dyDescent="0.2">
      <c r="A114" s="16">
        <f t="shared" si="4"/>
        <v>113</v>
      </c>
      <c r="B114" s="17">
        <v>45673</v>
      </c>
      <c r="C114" s="4">
        <f t="shared" si="3"/>
        <v>2025</v>
      </c>
      <c r="D114" s="103"/>
      <c r="E114" s="22" t="s">
        <v>70</v>
      </c>
      <c r="F114" t="s">
        <v>91</v>
      </c>
      <c r="G114" s="22" t="s">
        <v>47</v>
      </c>
      <c r="H114" s="22" t="s">
        <v>113</v>
      </c>
      <c r="I114" s="21">
        <v>-88.25</v>
      </c>
      <c r="J114" s="19">
        <f t="shared" si="5"/>
        <v>-88.250000000116415</v>
      </c>
      <c r="M114"/>
    </row>
    <row r="115" spans="1:13" x14ac:dyDescent="0.2">
      <c r="A115" s="16">
        <f t="shared" si="4"/>
        <v>114</v>
      </c>
      <c r="B115" s="17">
        <v>45673</v>
      </c>
      <c r="C115" s="39">
        <f t="shared" si="3"/>
        <v>2025</v>
      </c>
      <c r="D115" s="18" t="s">
        <v>34</v>
      </c>
      <c r="E115" s="18"/>
      <c r="F115" t="s">
        <v>38</v>
      </c>
      <c r="G115" s="22" t="s">
        <v>34</v>
      </c>
      <c r="H115" s="22" t="s">
        <v>41</v>
      </c>
      <c r="I115" s="21">
        <v>88.25</v>
      </c>
      <c r="J115" s="19">
        <f t="shared" si="5"/>
        <v>-1.1641532182693481E-10</v>
      </c>
      <c r="M115"/>
    </row>
    <row r="116" spans="1:13" x14ac:dyDescent="0.2">
      <c r="A116" s="16">
        <f t="shared" si="4"/>
        <v>115</v>
      </c>
      <c r="B116" s="17">
        <v>45693</v>
      </c>
      <c r="C116" s="4">
        <f t="shared" si="3"/>
        <v>2025</v>
      </c>
      <c r="D116" s="103"/>
      <c r="E116" s="22" t="s">
        <v>70</v>
      </c>
      <c r="F116" t="s">
        <v>91</v>
      </c>
      <c r="G116" s="22" t="s">
        <v>47</v>
      </c>
      <c r="H116" s="22" t="s">
        <v>116</v>
      </c>
      <c r="I116" s="21">
        <v>-13337.99</v>
      </c>
      <c r="J116" s="19">
        <f t="shared" si="5"/>
        <v>-13337.990000000116</v>
      </c>
      <c r="M116"/>
    </row>
    <row r="117" spans="1:13" x14ac:dyDescent="0.2">
      <c r="A117" s="16">
        <f t="shared" si="4"/>
        <v>116</v>
      </c>
      <c r="B117" s="17">
        <v>45693</v>
      </c>
      <c r="C117" s="4">
        <f t="shared" si="3"/>
        <v>2025</v>
      </c>
      <c r="D117" s="18" t="s">
        <v>125</v>
      </c>
      <c r="E117" s="22" t="s">
        <v>70</v>
      </c>
      <c r="F117" t="s">
        <v>91</v>
      </c>
      <c r="G117" s="22" t="s">
        <v>127</v>
      </c>
      <c r="H117" s="22" t="s">
        <v>112</v>
      </c>
      <c r="I117" s="21">
        <v>-2480.79</v>
      </c>
      <c r="J117" s="19">
        <f t="shared" si="5"/>
        <v>-15818.780000000115</v>
      </c>
      <c r="M117"/>
    </row>
    <row r="118" spans="1:13" x14ac:dyDescent="0.2">
      <c r="A118" s="16">
        <f t="shared" si="4"/>
        <v>117</v>
      </c>
      <c r="B118" s="17">
        <v>45693</v>
      </c>
      <c r="C118" s="39">
        <f t="shared" si="3"/>
        <v>2025</v>
      </c>
      <c r="D118" s="18" t="s">
        <v>31</v>
      </c>
      <c r="E118" s="22" t="s">
        <v>70</v>
      </c>
      <c r="F118" s="37" t="s">
        <v>92</v>
      </c>
      <c r="G118" s="22" t="s">
        <v>77</v>
      </c>
      <c r="H118" s="22" t="s">
        <v>41</v>
      </c>
      <c r="I118" s="21">
        <v>-73.8</v>
      </c>
      <c r="J118" s="19">
        <f t="shared" si="5"/>
        <v>-15892.580000000115</v>
      </c>
      <c r="M118"/>
    </row>
    <row r="119" spans="1:13" x14ac:dyDescent="0.2">
      <c r="A119" s="16">
        <f t="shared" si="4"/>
        <v>118</v>
      </c>
      <c r="B119" s="17">
        <v>45693</v>
      </c>
      <c r="C119" s="39">
        <f t="shared" si="3"/>
        <v>2025</v>
      </c>
      <c r="D119" s="18" t="s">
        <v>34</v>
      </c>
      <c r="E119" s="18"/>
      <c r="F119" t="s">
        <v>38</v>
      </c>
      <c r="G119" s="22" t="s">
        <v>34</v>
      </c>
      <c r="H119" s="22" t="s">
        <v>41</v>
      </c>
      <c r="I119" s="21">
        <v>15892.58</v>
      </c>
      <c r="J119" s="19">
        <f t="shared" si="5"/>
        <v>-1.1459633242338896E-10</v>
      </c>
      <c r="M119"/>
    </row>
    <row r="120" spans="1:13" x14ac:dyDescent="0.2">
      <c r="A120" s="16">
        <f t="shared" si="4"/>
        <v>119</v>
      </c>
      <c r="B120" s="17">
        <v>45695</v>
      </c>
      <c r="C120" s="4">
        <f t="shared" si="3"/>
        <v>2025</v>
      </c>
      <c r="D120" s="18" t="s">
        <v>28</v>
      </c>
      <c r="E120" s="22" t="s">
        <v>71</v>
      </c>
      <c r="F120" t="s">
        <v>48</v>
      </c>
      <c r="G120" s="22" t="s">
        <v>49</v>
      </c>
      <c r="H120" s="18" t="s">
        <v>114</v>
      </c>
      <c r="I120" s="21">
        <v>258299.87</v>
      </c>
      <c r="J120" s="19">
        <f t="shared" si="5"/>
        <v>258299.86999999988</v>
      </c>
      <c r="M120"/>
    </row>
    <row r="121" spans="1:13" x14ac:dyDescent="0.2">
      <c r="A121" s="16">
        <f t="shared" si="4"/>
        <v>120</v>
      </c>
      <c r="B121" s="17">
        <v>45702</v>
      </c>
      <c r="C121" s="4">
        <f t="shared" si="3"/>
        <v>2025</v>
      </c>
      <c r="D121" s="18" t="s">
        <v>128</v>
      </c>
      <c r="E121" s="22" t="s">
        <v>70</v>
      </c>
      <c r="F121" t="s">
        <v>91</v>
      </c>
      <c r="G121" s="22" t="s">
        <v>47</v>
      </c>
      <c r="H121" s="103" t="s">
        <v>117</v>
      </c>
      <c r="I121" s="21">
        <v>6764.79</v>
      </c>
      <c r="J121" s="19">
        <f t="shared" si="5"/>
        <v>265064.65999999986</v>
      </c>
      <c r="M121"/>
    </row>
    <row r="122" spans="1:13" x14ac:dyDescent="0.2">
      <c r="A122" s="16">
        <f t="shared" si="4"/>
        <v>121</v>
      </c>
      <c r="B122" s="17">
        <v>45705</v>
      </c>
      <c r="C122" s="4">
        <f t="shared" si="3"/>
        <v>2025</v>
      </c>
      <c r="D122" s="18" t="s">
        <v>101</v>
      </c>
      <c r="E122" s="22" t="s">
        <v>70</v>
      </c>
      <c r="F122" t="s">
        <v>91</v>
      </c>
      <c r="G122" s="22" t="s">
        <v>118</v>
      </c>
      <c r="H122" s="22" t="s">
        <v>96</v>
      </c>
      <c r="I122" s="21">
        <v>-653</v>
      </c>
      <c r="J122" s="19">
        <f t="shared" si="5"/>
        <v>264411.65999999986</v>
      </c>
      <c r="M122"/>
    </row>
    <row r="123" spans="1:13" x14ac:dyDescent="0.2">
      <c r="A123" s="16">
        <f t="shared" si="4"/>
        <v>122</v>
      </c>
      <c r="B123" s="17">
        <v>45713</v>
      </c>
      <c r="C123" s="4">
        <f t="shared" si="3"/>
        <v>2025</v>
      </c>
      <c r="D123" s="18" t="s">
        <v>101</v>
      </c>
      <c r="E123" s="22" t="s">
        <v>70</v>
      </c>
      <c r="F123" t="s">
        <v>91</v>
      </c>
      <c r="G123" s="22" t="s">
        <v>118</v>
      </c>
      <c r="H123" s="22" t="s">
        <v>126</v>
      </c>
      <c r="I123" s="21">
        <v>-353</v>
      </c>
      <c r="J123" s="19">
        <f t="shared" si="5"/>
        <v>264058.65999999986</v>
      </c>
    </row>
    <row r="124" spans="1:13" x14ac:dyDescent="0.2">
      <c r="A124" s="16">
        <f t="shared" si="4"/>
        <v>123</v>
      </c>
      <c r="B124" s="17">
        <v>45723</v>
      </c>
      <c r="C124" s="39">
        <f t="shared" ref="C124:C140" si="6">IF(B124="","",YEAR(B124))</f>
        <v>2025</v>
      </c>
      <c r="D124" s="18" t="s">
        <v>31</v>
      </c>
      <c r="E124" s="22" t="s">
        <v>70</v>
      </c>
      <c r="F124" s="37" t="s">
        <v>92</v>
      </c>
      <c r="G124" s="22" t="s">
        <v>77</v>
      </c>
      <c r="H124" s="22" t="s">
        <v>41</v>
      </c>
      <c r="I124" s="21">
        <v>-75.400000000000006</v>
      </c>
      <c r="J124" s="19">
        <f t="shared" si="5"/>
        <v>263983.25999999983</v>
      </c>
      <c r="M124"/>
    </row>
    <row r="125" spans="1:13" x14ac:dyDescent="0.2">
      <c r="A125" s="16">
        <f t="shared" si="4"/>
        <v>124</v>
      </c>
      <c r="B125" s="17">
        <v>45726</v>
      </c>
      <c r="C125" s="4">
        <f t="shared" si="6"/>
        <v>2025</v>
      </c>
      <c r="D125" s="18" t="s">
        <v>89</v>
      </c>
      <c r="E125" s="22" t="s">
        <v>70</v>
      </c>
      <c r="F125" t="s">
        <v>79</v>
      </c>
      <c r="G125" s="22" t="s">
        <v>145</v>
      </c>
      <c r="H125" s="22" t="s">
        <v>52</v>
      </c>
      <c r="I125" s="21">
        <v>-378.61</v>
      </c>
      <c r="J125" s="19">
        <f t="shared" si="5"/>
        <v>263604.64999999985</v>
      </c>
      <c r="M125"/>
    </row>
    <row r="126" spans="1:13" x14ac:dyDescent="0.2">
      <c r="A126" s="16">
        <f t="shared" si="4"/>
        <v>125</v>
      </c>
      <c r="B126" s="17">
        <v>45729</v>
      </c>
      <c r="C126" s="4">
        <f t="shared" si="6"/>
        <v>2025</v>
      </c>
      <c r="D126" s="18" t="s">
        <v>125</v>
      </c>
      <c r="E126" s="22" t="s">
        <v>70</v>
      </c>
      <c r="F126" t="s">
        <v>91</v>
      </c>
      <c r="G126" s="22" t="s">
        <v>127</v>
      </c>
      <c r="H126" s="22" t="s">
        <v>112</v>
      </c>
      <c r="I126" s="21">
        <v>-2503.91</v>
      </c>
      <c r="J126" s="19">
        <f t="shared" si="5"/>
        <v>261100.73999999985</v>
      </c>
      <c r="M126"/>
    </row>
    <row r="127" spans="1:13" x14ac:dyDescent="0.2">
      <c r="A127" s="16">
        <f t="shared" si="4"/>
        <v>126</v>
      </c>
      <c r="B127" s="17">
        <v>45735</v>
      </c>
      <c r="C127" s="4">
        <f t="shared" si="6"/>
        <v>2025</v>
      </c>
      <c r="D127" s="103" t="s">
        <v>121</v>
      </c>
      <c r="E127" s="22" t="s">
        <v>70</v>
      </c>
      <c r="F127" t="s">
        <v>91</v>
      </c>
      <c r="G127" s="22" t="s">
        <v>47</v>
      </c>
      <c r="H127" s="22" t="s">
        <v>122</v>
      </c>
      <c r="I127" s="21">
        <v>-3917.52</v>
      </c>
      <c r="J127" s="19">
        <f t="shared" si="5"/>
        <v>257183.21999999986</v>
      </c>
      <c r="M127"/>
    </row>
    <row r="128" spans="1:13" x14ac:dyDescent="0.2">
      <c r="A128" s="16">
        <f t="shared" si="4"/>
        <v>127</v>
      </c>
      <c r="B128" s="17">
        <v>45740</v>
      </c>
      <c r="C128" s="4">
        <f t="shared" si="6"/>
        <v>2025</v>
      </c>
      <c r="D128" s="18" t="s">
        <v>108</v>
      </c>
      <c r="E128" s="22" t="s">
        <v>70</v>
      </c>
      <c r="F128" t="s">
        <v>91</v>
      </c>
      <c r="G128" s="22" t="s">
        <v>47</v>
      </c>
      <c r="H128" s="22" t="s">
        <v>103</v>
      </c>
      <c r="I128" s="21">
        <v>-900</v>
      </c>
      <c r="J128" s="19">
        <f t="shared" si="5"/>
        <v>256283.21999999986</v>
      </c>
      <c r="M128"/>
    </row>
    <row r="129" spans="1:13" x14ac:dyDescent="0.2">
      <c r="A129" s="16">
        <f t="shared" si="4"/>
        <v>128</v>
      </c>
      <c r="B129" s="17">
        <v>45744</v>
      </c>
      <c r="C129" s="4">
        <f t="shared" si="6"/>
        <v>2025</v>
      </c>
      <c r="D129" s="18" t="s">
        <v>101</v>
      </c>
      <c r="E129" s="22" t="s">
        <v>70</v>
      </c>
      <c r="F129" t="s">
        <v>91</v>
      </c>
      <c r="G129" s="22" t="s">
        <v>118</v>
      </c>
      <c r="H129" s="22" t="s">
        <v>123</v>
      </c>
      <c r="I129" s="21">
        <v>-353</v>
      </c>
      <c r="J129" s="19">
        <f t="shared" si="5"/>
        <v>255930.21999999986</v>
      </c>
      <c r="M129"/>
    </row>
    <row r="130" spans="1:13" x14ac:dyDescent="0.2">
      <c r="A130" s="16">
        <f t="shared" si="4"/>
        <v>129</v>
      </c>
      <c r="B130" s="17">
        <v>45744</v>
      </c>
      <c r="C130" s="4">
        <f t="shared" si="6"/>
        <v>2025</v>
      </c>
      <c r="D130" s="18" t="s">
        <v>101</v>
      </c>
      <c r="E130" s="22" t="s">
        <v>70</v>
      </c>
      <c r="F130" t="s">
        <v>91</v>
      </c>
      <c r="G130" s="22" t="s">
        <v>118</v>
      </c>
      <c r="H130" s="22" t="s">
        <v>124</v>
      </c>
      <c r="I130" s="21">
        <v>-300</v>
      </c>
      <c r="J130" s="19">
        <f t="shared" si="5"/>
        <v>255630.21999999986</v>
      </c>
    </row>
    <row r="131" spans="1:13" x14ac:dyDescent="0.2">
      <c r="A131" s="16">
        <f t="shared" ref="A131:A194" si="7">A130+1</f>
        <v>130</v>
      </c>
      <c r="B131" s="17">
        <v>45754</v>
      </c>
      <c r="C131" s="39">
        <f t="shared" si="6"/>
        <v>2025</v>
      </c>
      <c r="D131" s="18" t="s">
        <v>31</v>
      </c>
      <c r="E131" s="22" t="s">
        <v>70</v>
      </c>
      <c r="F131" s="37" t="s">
        <v>92</v>
      </c>
      <c r="G131" s="22" t="s">
        <v>77</v>
      </c>
      <c r="H131" s="22" t="s">
        <v>41</v>
      </c>
      <c r="I131" s="21">
        <v>-75.400000000000006</v>
      </c>
      <c r="J131" s="19">
        <f t="shared" si="5"/>
        <v>255554.81999999986</v>
      </c>
      <c r="M131"/>
    </row>
    <row r="132" spans="1:13" x14ac:dyDescent="0.2">
      <c r="A132" s="16">
        <f t="shared" si="7"/>
        <v>131</v>
      </c>
      <c r="B132" s="17">
        <v>45762</v>
      </c>
      <c r="C132" s="4">
        <f t="shared" si="6"/>
        <v>2025</v>
      </c>
      <c r="D132" s="18" t="s">
        <v>101</v>
      </c>
      <c r="E132" s="22" t="s">
        <v>70</v>
      </c>
      <c r="F132" t="s">
        <v>91</v>
      </c>
      <c r="G132" s="22" t="s">
        <v>118</v>
      </c>
      <c r="H132" s="22" t="s">
        <v>126</v>
      </c>
      <c r="I132" s="21">
        <v>-706</v>
      </c>
      <c r="J132" s="19">
        <f t="shared" si="5"/>
        <v>254848.81999999986</v>
      </c>
      <c r="M132"/>
    </row>
    <row r="133" spans="1:13" x14ac:dyDescent="0.2">
      <c r="A133" s="16">
        <f t="shared" si="7"/>
        <v>132</v>
      </c>
      <c r="B133" s="17">
        <v>45762</v>
      </c>
      <c r="C133" s="4">
        <f t="shared" si="6"/>
        <v>2025</v>
      </c>
      <c r="D133" s="18" t="s">
        <v>101</v>
      </c>
      <c r="E133" s="22" t="s">
        <v>70</v>
      </c>
      <c r="F133" t="s">
        <v>91</v>
      </c>
      <c r="G133" s="22" t="s">
        <v>118</v>
      </c>
      <c r="H133" s="22" t="s">
        <v>123</v>
      </c>
      <c r="I133" s="21">
        <v>-353</v>
      </c>
      <c r="J133" s="19">
        <f t="shared" si="5"/>
        <v>254495.81999999986</v>
      </c>
      <c r="M133"/>
    </row>
    <row r="134" spans="1:13" x14ac:dyDescent="0.2">
      <c r="A134" s="16">
        <f t="shared" si="7"/>
        <v>133</v>
      </c>
      <c r="B134" s="17">
        <v>45762</v>
      </c>
      <c r="C134" s="4">
        <f t="shared" si="6"/>
        <v>2025</v>
      </c>
      <c r="D134" s="18" t="s">
        <v>101</v>
      </c>
      <c r="E134" s="22" t="s">
        <v>70</v>
      </c>
      <c r="F134" t="s">
        <v>91</v>
      </c>
      <c r="G134" s="22" t="s">
        <v>118</v>
      </c>
      <c r="H134" s="22" t="s">
        <v>124</v>
      </c>
      <c r="I134" s="21">
        <v>-300</v>
      </c>
      <c r="J134" s="19">
        <f t="shared" si="5"/>
        <v>254195.81999999986</v>
      </c>
    </row>
    <row r="135" spans="1:13" x14ac:dyDescent="0.2">
      <c r="A135" s="16">
        <f t="shared" si="7"/>
        <v>134</v>
      </c>
      <c r="B135" s="17">
        <v>45782</v>
      </c>
      <c r="C135" s="4">
        <f t="shared" si="6"/>
        <v>2025</v>
      </c>
      <c r="D135" s="18" t="s">
        <v>101</v>
      </c>
      <c r="E135" s="22" t="s">
        <v>70</v>
      </c>
      <c r="F135" t="s">
        <v>91</v>
      </c>
      <c r="G135" s="22" t="s">
        <v>118</v>
      </c>
      <c r="H135" s="22" t="s">
        <v>124</v>
      </c>
      <c r="I135" s="21">
        <v>-300</v>
      </c>
      <c r="J135" s="19">
        <f t="shared" si="5"/>
        <v>253895.81999999986</v>
      </c>
      <c r="M135"/>
    </row>
    <row r="136" spans="1:13" x14ac:dyDescent="0.2">
      <c r="A136" s="16">
        <f t="shared" si="7"/>
        <v>135</v>
      </c>
      <c r="B136" s="17">
        <v>45782</v>
      </c>
      <c r="C136" s="4">
        <f t="shared" si="6"/>
        <v>2025</v>
      </c>
      <c r="D136" s="18" t="s">
        <v>101</v>
      </c>
      <c r="E136" s="22" t="s">
        <v>70</v>
      </c>
      <c r="F136" t="s">
        <v>91</v>
      </c>
      <c r="G136" s="22" t="s">
        <v>118</v>
      </c>
      <c r="H136" s="22" t="s">
        <v>123</v>
      </c>
      <c r="I136" s="21">
        <v>-353</v>
      </c>
      <c r="J136" s="19">
        <f t="shared" si="5"/>
        <v>253542.81999999986</v>
      </c>
      <c r="M136"/>
    </row>
    <row r="137" spans="1:13" x14ac:dyDescent="0.2">
      <c r="A137" s="16">
        <f t="shared" si="7"/>
        <v>136</v>
      </c>
      <c r="B137" s="17">
        <v>45783</v>
      </c>
      <c r="C137" s="39">
        <f t="shared" si="6"/>
        <v>2025</v>
      </c>
      <c r="D137" s="18" t="s">
        <v>31</v>
      </c>
      <c r="E137" s="22" t="s">
        <v>70</v>
      </c>
      <c r="F137" s="37" t="s">
        <v>92</v>
      </c>
      <c r="G137" s="22" t="s">
        <v>77</v>
      </c>
      <c r="H137" s="22" t="s">
        <v>41</v>
      </c>
      <c r="I137" s="21">
        <v>-75.400000000000006</v>
      </c>
      <c r="J137" s="19">
        <f t="shared" si="5"/>
        <v>253467.41999999987</v>
      </c>
      <c r="M137"/>
    </row>
    <row r="138" spans="1:13" x14ac:dyDescent="0.2">
      <c r="A138" s="16">
        <f t="shared" si="7"/>
        <v>137</v>
      </c>
      <c r="B138" s="17">
        <v>45786</v>
      </c>
      <c r="C138" s="4">
        <f t="shared" si="6"/>
        <v>2025</v>
      </c>
      <c r="D138" s="104" t="s">
        <v>47</v>
      </c>
      <c r="E138" s="22" t="s">
        <v>70</v>
      </c>
      <c r="F138" t="s">
        <v>91</v>
      </c>
      <c r="G138" s="22" t="s">
        <v>47</v>
      </c>
      <c r="H138" s="22" t="s">
        <v>122</v>
      </c>
      <c r="I138" s="21">
        <v>-891.86</v>
      </c>
      <c r="J138" s="19">
        <f t="shared" si="5"/>
        <v>252575.55999999988</v>
      </c>
      <c r="M138"/>
    </row>
    <row r="139" spans="1:13" x14ac:dyDescent="0.2">
      <c r="A139" s="16">
        <f t="shared" si="7"/>
        <v>138</v>
      </c>
      <c r="B139" s="17">
        <v>45789</v>
      </c>
      <c r="C139" s="4">
        <f t="shared" si="6"/>
        <v>2025</v>
      </c>
      <c r="D139" s="104" t="s">
        <v>47</v>
      </c>
      <c r="E139" s="22" t="s">
        <v>70</v>
      </c>
      <c r="F139" t="s">
        <v>91</v>
      </c>
      <c r="G139" s="22" t="s">
        <v>47</v>
      </c>
      <c r="H139" s="22" t="s">
        <v>103</v>
      </c>
      <c r="I139" s="21">
        <v>-1500</v>
      </c>
      <c r="J139" s="19">
        <f t="shared" si="5"/>
        <v>251075.55999999988</v>
      </c>
      <c r="M139"/>
    </row>
    <row r="140" spans="1:13" x14ac:dyDescent="0.2">
      <c r="A140" s="16">
        <f t="shared" si="7"/>
        <v>139</v>
      </c>
      <c r="B140" s="17">
        <v>45797</v>
      </c>
      <c r="C140" s="4">
        <f t="shared" si="6"/>
        <v>2025</v>
      </c>
      <c r="D140" s="18" t="s">
        <v>101</v>
      </c>
      <c r="E140" s="22" t="s">
        <v>70</v>
      </c>
      <c r="F140" t="s">
        <v>91</v>
      </c>
      <c r="G140" s="22" t="s">
        <v>118</v>
      </c>
      <c r="H140" s="22" t="s">
        <v>126</v>
      </c>
      <c r="I140" s="21">
        <v>-353</v>
      </c>
      <c r="J140" s="19">
        <f t="shared" si="5"/>
        <v>250722.55999999988</v>
      </c>
    </row>
    <row r="141" spans="1:13" x14ac:dyDescent="0.2">
      <c r="A141" s="16">
        <f t="shared" si="7"/>
        <v>140</v>
      </c>
      <c r="B141" s="17">
        <v>45810</v>
      </c>
      <c r="C141" s="4">
        <f>IF(B141="","",YEAR(B141))</f>
        <v>2025</v>
      </c>
      <c r="D141" s="18" t="s">
        <v>73</v>
      </c>
      <c r="E141" s="22" t="s">
        <v>70</v>
      </c>
      <c r="F141" t="s">
        <v>91</v>
      </c>
      <c r="G141" s="22" t="s">
        <v>47</v>
      </c>
      <c r="H141" s="22" t="s">
        <v>75</v>
      </c>
      <c r="I141" s="21">
        <v>-898.2</v>
      </c>
      <c r="J141" s="19">
        <f t="shared" si="5"/>
        <v>249824.35999999987</v>
      </c>
      <c r="M141"/>
    </row>
    <row r="142" spans="1:13" x14ac:dyDescent="0.2">
      <c r="A142" s="16">
        <f t="shared" si="7"/>
        <v>141</v>
      </c>
      <c r="B142" s="17">
        <v>45813</v>
      </c>
      <c r="C142" s="4">
        <f t="shared" ref="C142:C150" si="8">IF(B142="","",YEAR(B142))</f>
        <v>2025</v>
      </c>
      <c r="D142" s="104" t="s">
        <v>47</v>
      </c>
      <c r="E142" s="22" t="s">
        <v>70</v>
      </c>
      <c r="F142" t="s">
        <v>91</v>
      </c>
      <c r="G142" s="22" t="s">
        <v>47</v>
      </c>
      <c r="H142" s="22" t="s">
        <v>103</v>
      </c>
      <c r="I142" s="21">
        <v>-1800</v>
      </c>
      <c r="J142" s="19">
        <f t="shared" si="5"/>
        <v>248024.35999999987</v>
      </c>
      <c r="M142"/>
    </row>
    <row r="143" spans="1:13" x14ac:dyDescent="0.2">
      <c r="A143" s="16">
        <f t="shared" si="7"/>
        <v>142</v>
      </c>
      <c r="B143" s="17">
        <v>45813</v>
      </c>
      <c r="C143" s="4">
        <f t="shared" si="8"/>
        <v>2025</v>
      </c>
      <c r="D143" s="18" t="s">
        <v>101</v>
      </c>
      <c r="E143" s="22" t="s">
        <v>70</v>
      </c>
      <c r="F143" t="s">
        <v>91</v>
      </c>
      <c r="G143" s="22" t="s">
        <v>118</v>
      </c>
      <c r="H143" s="22" t="s">
        <v>123</v>
      </c>
      <c r="I143" s="21">
        <v>-353</v>
      </c>
      <c r="J143" s="19">
        <f t="shared" si="5"/>
        <v>247671.35999999987</v>
      </c>
      <c r="M143"/>
    </row>
    <row r="144" spans="1:13" x14ac:dyDescent="0.2">
      <c r="A144" s="16">
        <f t="shared" si="7"/>
        <v>143</v>
      </c>
      <c r="B144" s="17">
        <v>45813</v>
      </c>
      <c r="C144" s="4">
        <f t="shared" si="8"/>
        <v>2025</v>
      </c>
      <c r="D144" s="18" t="s">
        <v>101</v>
      </c>
      <c r="E144" s="22" t="s">
        <v>70</v>
      </c>
      <c r="F144" t="s">
        <v>91</v>
      </c>
      <c r="G144" s="22" t="s">
        <v>118</v>
      </c>
      <c r="H144" s="22" t="s">
        <v>124</v>
      </c>
      <c r="I144" s="21">
        <v>-300</v>
      </c>
      <c r="J144" s="19">
        <f t="shared" si="5"/>
        <v>247371.35999999987</v>
      </c>
      <c r="M144"/>
    </row>
    <row r="145" spans="1:13" x14ac:dyDescent="0.2">
      <c r="A145" s="16">
        <f t="shared" si="7"/>
        <v>144</v>
      </c>
      <c r="B145" s="17">
        <v>45813</v>
      </c>
      <c r="C145" s="39">
        <f t="shared" si="8"/>
        <v>2025</v>
      </c>
      <c r="D145" s="18" t="s">
        <v>31</v>
      </c>
      <c r="E145" s="22" t="s">
        <v>70</v>
      </c>
      <c r="F145" s="37" t="s">
        <v>92</v>
      </c>
      <c r="G145" s="22" t="s">
        <v>77</v>
      </c>
      <c r="H145" s="22" t="s">
        <v>41</v>
      </c>
      <c r="I145" s="21">
        <v>-75.400000000000006</v>
      </c>
      <c r="J145" s="19">
        <f t="shared" si="5"/>
        <v>247295.95999999988</v>
      </c>
      <c r="M145"/>
    </row>
    <row r="146" spans="1:13" x14ac:dyDescent="0.2">
      <c r="A146" s="16">
        <f t="shared" si="7"/>
        <v>145</v>
      </c>
      <c r="B146" s="17">
        <v>45825</v>
      </c>
      <c r="C146" s="39">
        <f t="shared" si="8"/>
        <v>2025</v>
      </c>
      <c r="D146" s="18" t="s">
        <v>33</v>
      </c>
      <c r="E146" s="18"/>
      <c r="F146" s="37" t="s">
        <v>38</v>
      </c>
      <c r="G146" s="18" t="s">
        <v>33</v>
      </c>
      <c r="H146" s="22" t="s">
        <v>41</v>
      </c>
      <c r="I146" s="21">
        <v>-247295.96</v>
      </c>
      <c r="J146" s="19">
        <f t="shared" si="5"/>
        <v>-1.1641532182693481E-10</v>
      </c>
      <c r="M146"/>
    </row>
    <row r="147" spans="1:13" x14ac:dyDescent="0.2">
      <c r="A147" s="16">
        <f t="shared" si="7"/>
        <v>146</v>
      </c>
      <c r="B147" s="17">
        <v>45831</v>
      </c>
      <c r="C147" s="4">
        <f>IF(B147="","",YEAR(B147))</f>
        <v>2025</v>
      </c>
      <c r="D147" s="18" t="s">
        <v>101</v>
      </c>
      <c r="E147" s="22" t="s">
        <v>70</v>
      </c>
      <c r="F147" t="s">
        <v>91</v>
      </c>
      <c r="G147" s="22" t="s">
        <v>118</v>
      </c>
      <c r="H147" s="22" t="s">
        <v>126</v>
      </c>
      <c r="I147" s="21">
        <v>-353</v>
      </c>
      <c r="J147" s="19">
        <f t="shared" si="5"/>
        <v>-353.00000000011642</v>
      </c>
      <c r="M147"/>
    </row>
    <row r="148" spans="1:13" x14ac:dyDescent="0.2">
      <c r="A148" s="16">
        <f t="shared" si="7"/>
        <v>147</v>
      </c>
      <c r="B148" s="17">
        <v>45693</v>
      </c>
      <c r="C148" s="39">
        <f t="shared" si="8"/>
        <v>2025</v>
      </c>
      <c r="D148" s="18" t="s">
        <v>34</v>
      </c>
      <c r="E148" s="18"/>
      <c r="F148" t="s">
        <v>38</v>
      </c>
      <c r="G148" s="22" t="s">
        <v>34</v>
      </c>
      <c r="H148" s="22" t="s">
        <v>41</v>
      </c>
      <c r="I148" s="21">
        <v>353</v>
      </c>
      <c r="J148" s="19">
        <f t="shared" si="5"/>
        <v>-1.1641532182693481E-10</v>
      </c>
    </row>
    <row r="149" spans="1:13" x14ac:dyDescent="0.2">
      <c r="A149" s="16">
        <f t="shared" si="7"/>
        <v>148</v>
      </c>
      <c r="B149" s="17">
        <v>45845</v>
      </c>
      <c r="C149" s="39">
        <f t="shared" si="8"/>
        <v>2025</v>
      </c>
      <c r="D149" s="18" t="s">
        <v>31</v>
      </c>
      <c r="E149" s="22" t="s">
        <v>70</v>
      </c>
      <c r="F149" s="37" t="s">
        <v>92</v>
      </c>
      <c r="G149" s="22" t="s">
        <v>77</v>
      </c>
      <c r="H149" s="22" t="s">
        <v>41</v>
      </c>
      <c r="I149" s="21">
        <v>-75.400000000000006</v>
      </c>
      <c r="J149" s="19">
        <f t="shared" si="5"/>
        <v>-75.400000000116421</v>
      </c>
      <c r="M149"/>
    </row>
    <row r="150" spans="1:13" x14ac:dyDescent="0.2">
      <c r="A150" s="16">
        <f t="shared" si="7"/>
        <v>149</v>
      </c>
      <c r="B150" s="17">
        <v>45845</v>
      </c>
      <c r="C150" s="39">
        <f t="shared" si="8"/>
        <v>2025</v>
      </c>
      <c r="D150" s="18" t="s">
        <v>34</v>
      </c>
      <c r="E150" s="18"/>
      <c r="F150" t="s">
        <v>38</v>
      </c>
      <c r="G150" s="22" t="s">
        <v>34</v>
      </c>
      <c r="H150" s="22" t="s">
        <v>41</v>
      </c>
      <c r="I150" s="21">
        <v>75.400000000000006</v>
      </c>
      <c r="J150" s="19">
        <f t="shared" si="5"/>
        <v>-1.1641532182693481E-10</v>
      </c>
      <c r="M150"/>
    </row>
    <row r="151" spans="1:13" x14ac:dyDescent="0.2">
      <c r="A151" s="16">
        <f t="shared" si="7"/>
        <v>150</v>
      </c>
      <c r="B151" s="17">
        <v>45859</v>
      </c>
      <c r="C151" s="4">
        <f>IF(B151="","",YEAR(B151))</f>
        <v>2025</v>
      </c>
      <c r="D151" s="18" t="s">
        <v>101</v>
      </c>
      <c r="E151" s="22" t="s">
        <v>70</v>
      </c>
      <c r="F151" t="s">
        <v>91</v>
      </c>
      <c r="G151" s="22" t="s">
        <v>118</v>
      </c>
      <c r="H151" s="22" t="s">
        <v>126</v>
      </c>
      <c r="I151" s="21">
        <v>-353</v>
      </c>
      <c r="J151" s="19">
        <f t="shared" si="5"/>
        <v>-353.00000000011642</v>
      </c>
      <c r="M151"/>
    </row>
    <row r="152" spans="1:13" x14ac:dyDescent="0.2">
      <c r="A152" s="16">
        <f t="shared" si="7"/>
        <v>151</v>
      </c>
      <c r="B152" s="17">
        <v>45859</v>
      </c>
      <c r="C152" s="4">
        <f t="shared" ref="C152:C158" si="9">IF(B152="","",YEAR(B152))</f>
        <v>2025</v>
      </c>
      <c r="D152" s="18" t="s">
        <v>101</v>
      </c>
      <c r="E152" s="22" t="s">
        <v>70</v>
      </c>
      <c r="F152" t="s">
        <v>91</v>
      </c>
      <c r="G152" s="22" t="s">
        <v>118</v>
      </c>
      <c r="H152" s="22" t="s">
        <v>123</v>
      </c>
      <c r="I152" s="21">
        <v>-353</v>
      </c>
      <c r="J152" s="19">
        <f t="shared" si="5"/>
        <v>-706.00000000011642</v>
      </c>
      <c r="M152"/>
    </row>
    <row r="153" spans="1:13" x14ac:dyDescent="0.2">
      <c r="A153" s="16">
        <f t="shared" si="7"/>
        <v>152</v>
      </c>
      <c r="B153" s="17">
        <v>45859</v>
      </c>
      <c r="C153" s="4">
        <f t="shared" si="9"/>
        <v>2025</v>
      </c>
      <c r="D153" s="18" t="s">
        <v>101</v>
      </c>
      <c r="E153" s="22" t="s">
        <v>70</v>
      </c>
      <c r="F153" t="s">
        <v>91</v>
      </c>
      <c r="G153" s="22" t="s">
        <v>118</v>
      </c>
      <c r="H153" s="22" t="s">
        <v>124</v>
      </c>
      <c r="I153" s="21">
        <v>-300</v>
      </c>
      <c r="J153" s="19">
        <f t="shared" si="5"/>
        <v>-1006.0000000001164</v>
      </c>
    </row>
    <row r="154" spans="1:13" x14ac:dyDescent="0.2">
      <c r="A154" s="16">
        <f t="shared" si="7"/>
        <v>153</v>
      </c>
      <c r="B154" s="17">
        <v>45859</v>
      </c>
      <c r="C154" s="39">
        <f t="shared" si="9"/>
        <v>2025</v>
      </c>
      <c r="D154" s="18" t="s">
        <v>34</v>
      </c>
      <c r="E154" s="18"/>
      <c r="F154" t="s">
        <v>38</v>
      </c>
      <c r="G154" s="22" t="s">
        <v>34</v>
      </c>
      <c r="H154" s="22" t="s">
        <v>41</v>
      </c>
      <c r="I154" s="21">
        <v>1006</v>
      </c>
      <c r="J154" s="19">
        <f t="shared" si="5"/>
        <v>-1.1641532182693481E-10</v>
      </c>
    </row>
    <row r="155" spans="1:13" x14ac:dyDescent="0.2">
      <c r="A155" s="16">
        <f t="shared" si="7"/>
        <v>154</v>
      </c>
      <c r="B155" s="17">
        <v>45874</v>
      </c>
      <c r="C155" s="4">
        <f t="shared" si="9"/>
        <v>2025</v>
      </c>
      <c r="D155" s="18" t="s">
        <v>101</v>
      </c>
      <c r="E155" s="22" t="s">
        <v>70</v>
      </c>
      <c r="F155" t="s">
        <v>91</v>
      </c>
      <c r="G155" s="22" t="s">
        <v>118</v>
      </c>
      <c r="H155" s="22" t="s">
        <v>124</v>
      </c>
      <c r="I155" s="21">
        <v>-300</v>
      </c>
      <c r="J155" s="19">
        <f t="shared" si="5"/>
        <v>-300.00000000011642</v>
      </c>
      <c r="M155"/>
    </row>
    <row r="156" spans="1:13" x14ac:dyDescent="0.2">
      <c r="A156" s="16">
        <f t="shared" si="7"/>
        <v>155</v>
      </c>
      <c r="B156" s="17">
        <v>45874</v>
      </c>
      <c r="C156" s="4">
        <f t="shared" si="9"/>
        <v>2025</v>
      </c>
      <c r="D156" s="18" t="s">
        <v>101</v>
      </c>
      <c r="E156" s="22" t="s">
        <v>70</v>
      </c>
      <c r="F156" t="s">
        <v>91</v>
      </c>
      <c r="G156" s="22" t="s">
        <v>118</v>
      </c>
      <c r="H156" s="22" t="s">
        <v>123</v>
      </c>
      <c r="I156" s="21">
        <v>-353</v>
      </c>
      <c r="J156" s="19">
        <f t="shared" si="5"/>
        <v>-653.00000000011642</v>
      </c>
      <c r="M156"/>
    </row>
    <row r="157" spans="1:13" x14ac:dyDescent="0.2">
      <c r="A157" s="16">
        <f t="shared" si="7"/>
        <v>156</v>
      </c>
      <c r="B157" s="17">
        <v>45874</v>
      </c>
      <c r="C157" s="39">
        <f t="shared" si="9"/>
        <v>2025</v>
      </c>
      <c r="D157" s="18" t="s">
        <v>31</v>
      </c>
      <c r="E157" s="22" t="s">
        <v>70</v>
      </c>
      <c r="F157" s="37" t="s">
        <v>92</v>
      </c>
      <c r="G157" s="22" t="s">
        <v>77</v>
      </c>
      <c r="H157" s="22" t="s">
        <v>41</v>
      </c>
      <c r="I157" s="21">
        <v>-75.400000000000006</v>
      </c>
      <c r="J157" s="19">
        <f t="shared" si="5"/>
        <v>-728.40000000011639</v>
      </c>
      <c r="M157"/>
    </row>
    <row r="158" spans="1:13" x14ac:dyDescent="0.2">
      <c r="A158" s="16">
        <f t="shared" si="7"/>
        <v>157</v>
      </c>
      <c r="B158" s="17">
        <v>45874</v>
      </c>
      <c r="C158" s="39">
        <f t="shared" si="9"/>
        <v>2025</v>
      </c>
      <c r="D158" s="18" t="s">
        <v>34</v>
      </c>
      <c r="E158" s="18"/>
      <c r="F158" t="s">
        <v>38</v>
      </c>
      <c r="G158" s="22" t="s">
        <v>34</v>
      </c>
      <c r="H158" s="22" t="s">
        <v>41</v>
      </c>
      <c r="I158" s="21">
        <v>728.4</v>
      </c>
      <c r="J158" s="19">
        <f t="shared" si="5"/>
        <v>-1.1641532182693481E-10</v>
      </c>
      <c r="M158"/>
    </row>
    <row r="159" spans="1:13" x14ac:dyDescent="0.2">
      <c r="A159" s="16">
        <f t="shared" si="7"/>
        <v>158</v>
      </c>
      <c r="B159" s="17">
        <v>45890</v>
      </c>
      <c r="C159" s="4">
        <f>IF(B159="","",YEAR(B159))</f>
        <v>2025</v>
      </c>
      <c r="D159" s="18" t="s">
        <v>101</v>
      </c>
      <c r="E159" s="22" t="s">
        <v>70</v>
      </c>
      <c r="F159" t="s">
        <v>91</v>
      </c>
      <c r="G159" s="22" t="s">
        <v>118</v>
      </c>
      <c r="H159" s="22" t="s">
        <v>126</v>
      </c>
      <c r="I159" s="21">
        <v>-353</v>
      </c>
      <c r="J159" s="19">
        <f t="shared" si="5"/>
        <v>-353.00000000011642</v>
      </c>
      <c r="M159"/>
    </row>
    <row r="160" spans="1:13" x14ac:dyDescent="0.2">
      <c r="A160" s="16">
        <f t="shared" si="7"/>
        <v>159</v>
      </c>
      <c r="B160" s="17">
        <v>45890</v>
      </c>
      <c r="C160" s="4">
        <f>IF(B160="","",YEAR(B160))</f>
        <v>2025</v>
      </c>
      <c r="D160" s="18" t="s">
        <v>34</v>
      </c>
      <c r="E160" s="18"/>
      <c r="F160" t="s">
        <v>38</v>
      </c>
      <c r="G160" s="22" t="s">
        <v>34</v>
      </c>
      <c r="H160" s="22" t="s">
        <v>41</v>
      </c>
      <c r="I160" s="21">
        <v>353</v>
      </c>
      <c r="J160" s="19">
        <f t="shared" si="5"/>
        <v>-1.1641532182693481E-10</v>
      </c>
      <c r="M160"/>
    </row>
    <row r="161" spans="1:13" x14ac:dyDescent="0.2">
      <c r="A161" s="16">
        <f t="shared" si="7"/>
        <v>160</v>
      </c>
      <c r="B161" s="17">
        <v>45891</v>
      </c>
      <c r="C161" s="4">
        <f t="shared" ref="C161" si="10">IF(B161="","",YEAR(B161))</f>
        <v>2025</v>
      </c>
      <c r="D161" s="104" t="s">
        <v>47</v>
      </c>
      <c r="E161" s="22" t="s">
        <v>70</v>
      </c>
      <c r="F161" t="s">
        <v>91</v>
      </c>
      <c r="G161" s="22" t="s">
        <v>47</v>
      </c>
      <c r="H161" s="22" t="s">
        <v>103</v>
      </c>
      <c r="I161" s="21">
        <v>-600</v>
      </c>
      <c r="J161" s="19">
        <f t="shared" si="5"/>
        <v>-600.00000000011642</v>
      </c>
      <c r="M161"/>
    </row>
    <row r="162" spans="1:13" x14ac:dyDescent="0.2">
      <c r="A162" s="16">
        <f t="shared" si="7"/>
        <v>161</v>
      </c>
      <c r="B162" s="17">
        <v>45891</v>
      </c>
      <c r="C162" s="4">
        <f>IF(B162="","",YEAR(B162))</f>
        <v>2025</v>
      </c>
      <c r="D162" s="18" t="s">
        <v>34</v>
      </c>
      <c r="E162" s="18"/>
      <c r="F162" t="s">
        <v>38</v>
      </c>
      <c r="G162" s="22" t="s">
        <v>34</v>
      </c>
      <c r="H162" s="22" t="s">
        <v>41</v>
      </c>
      <c r="I162" s="21">
        <v>600</v>
      </c>
      <c r="J162" s="19">
        <f t="shared" si="5"/>
        <v>-1.1641532182693481E-10</v>
      </c>
    </row>
    <row r="163" spans="1:13" x14ac:dyDescent="0.2">
      <c r="A163" s="16">
        <f t="shared" si="7"/>
        <v>162</v>
      </c>
      <c r="B163" s="17">
        <v>45905</v>
      </c>
      <c r="C163" s="4">
        <f t="shared" ref="C163:C166" si="11">IF(B163="","",YEAR(B163))</f>
        <v>2025</v>
      </c>
      <c r="D163" s="18" t="s">
        <v>101</v>
      </c>
      <c r="E163" s="22" t="s">
        <v>70</v>
      </c>
      <c r="F163" t="s">
        <v>91</v>
      </c>
      <c r="G163" s="22" t="s">
        <v>118</v>
      </c>
      <c r="H163" s="22" t="s">
        <v>124</v>
      </c>
      <c r="I163" s="21">
        <v>-300</v>
      </c>
      <c r="J163" s="19">
        <f t="shared" si="5"/>
        <v>-300.00000000011642</v>
      </c>
      <c r="M163"/>
    </row>
    <row r="164" spans="1:13" x14ac:dyDescent="0.2">
      <c r="A164" s="16">
        <f t="shared" si="7"/>
        <v>163</v>
      </c>
      <c r="B164" s="17">
        <v>45905</v>
      </c>
      <c r="C164" s="4">
        <f t="shared" si="11"/>
        <v>2025</v>
      </c>
      <c r="D164" s="18" t="s">
        <v>101</v>
      </c>
      <c r="E164" s="22" t="s">
        <v>70</v>
      </c>
      <c r="F164" t="s">
        <v>91</v>
      </c>
      <c r="G164" s="22" t="s">
        <v>118</v>
      </c>
      <c r="H164" s="22" t="s">
        <v>124</v>
      </c>
      <c r="I164" s="21">
        <v>-353</v>
      </c>
      <c r="J164" s="19">
        <f t="shared" si="5"/>
        <v>-653.00000000011642</v>
      </c>
      <c r="M164"/>
    </row>
    <row r="165" spans="1:13" x14ac:dyDescent="0.2">
      <c r="A165" s="16">
        <f t="shared" si="7"/>
        <v>164</v>
      </c>
      <c r="B165" s="17">
        <v>45905</v>
      </c>
      <c r="C165" s="39">
        <f t="shared" si="11"/>
        <v>2025</v>
      </c>
      <c r="D165" s="18" t="s">
        <v>31</v>
      </c>
      <c r="E165" s="22" t="s">
        <v>70</v>
      </c>
      <c r="F165" s="37" t="s">
        <v>92</v>
      </c>
      <c r="G165" s="22" t="s">
        <v>77</v>
      </c>
      <c r="H165" s="22" t="s">
        <v>41</v>
      </c>
      <c r="I165" s="21">
        <v>-81.400000000000006</v>
      </c>
      <c r="J165" s="19">
        <f t="shared" si="5"/>
        <v>-734.40000000011639</v>
      </c>
      <c r="M165"/>
    </row>
    <row r="166" spans="1:13" x14ac:dyDescent="0.2">
      <c r="A166" s="16">
        <f t="shared" si="7"/>
        <v>165</v>
      </c>
      <c r="B166" s="17">
        <v>45905</v>
      </c>
      <c r="C166" s="39">
        <f t="shared" si="11"/>
        <v>2025</v>
      </c>
      <c r="D166" s="18" t="s">
        <v>34</v>
      </c>
      <c r="E166" s="18"/>
      <c r="F166" t="s">
        <v>38</v>
      </c>
      <c r="G166" s="22" t="s">
        <v>34</v>
      </c>
      <c r="H166" s="22" t="s">
        <v>41</v>
      </c>
      <c r="I166" s="21">
        <v>734.4</v>
      </c>
      <c r="J166" s="19">
        <f t="shared" si="5"/>
        <v>-1.1641532182693481E-10</v>
      </c>
      <c r="M166"/>
    </row>
    <row r="167" spans="1:13" x14ac:dyDescent="0.2">
      <c r="A167" s="16">
        <f t="shared" si="7"/>
        <v>166</v>
      </c>
      <c r="B167" s="17">
        <v>45910</v>
      </c>
      <c r="C167" s="4">
        <f>IF(B167="","",YEAR(B167))</f>
        <v>2025</v>
      </c>
      <c r="D167" s="18" t="s">
        <v>101</v>
      </c>
      <c r="E167" s="22" t="s">
        <v>70</v>
      </c>
      <c r="F167" t="s">
        <v>91</v>
      </c>
      <c r="G167" s="22" t="s">
        <v>118</v>
      </c>
      <c r="H167" s="22" t="s">
        <v>126</v>
      </c>
      <c r="I167" s="21">
        <v>-353</v>
      </c>
      <c r="J167" s="19">
        <f t="shared" si="5"/>
        <v>-353.00000000011642</v>
      </c>
      <c r="M167"/>
    </row>
    <row r="168" spans="1:13" x14ac:dyDescent="0.2">
      <c r="A168" s="16">
        <f t="shared" si="7"/>
        <v>167</v>
      </c>
      <c r="B168" s="17">
        <v>45910</v>
      </c>
      <c r="C168" s="4">
        <f>IF(B168="","",YEAR(B168))</f>
        <v>2025</v>
      </c>
      <c r="D168" s="18" t="s">
        <v>34</v>
      </c>
      <c r="E168" s="18"/>
      <c r="F168" t="s">
        <v>38</v>
      </c>
      <c r="G168" s="22" t="s">
        <v>34</v>
      </c>
      <c r="H168" s="22" t="s">
        <v>41</v>
      </c>
      <c r="I168" s="21">
        <v>353</v>
      </c>
      <c r="J168" s="19">
        <f t="shared" si="5"/>
        <v>-1.1641532182693481E-10</v>
      </c>
    </row>
    <row r="169" spans="1:13" x14ac:dyDescent="0.2">
      <c r="A169" s="16">
        <f t="shared" si="7"/>
        <v>168</v>
      </c>
      <c r="B169" s="17">
        <v>45932</v>
      </c>
      <c r="C169" s="4">
        <f t="shared" ref="C169:C170" si="12">IF(B169="","",YEAR(B169))</f>
        <v>2025</v>
      </c>
      <c r="D169" s="18" t="s">
        <v>101</v>
      </c>
      <c r="E169" s="22" t="s">
        <v>70</v>
      </c>
      <c r="F169" t="s">
        <v>91</v>
      </c>
      <c r="G169" s="22" t="s">
        <v>118</v>
      </c>
      <c r="H169" s="22" t="s">
        <v>124</v>
      </c>
      <c r="I169" s="21">
        <v>-353</v>
      </c>
      <c r="J169" s="19">
        <f t="shared" si="5"/>
        <v>-353.00000000011642</v>
      </c>
      <c r="M169"/>
    </row>
    <row r="170" spans="1:13" x14ac:dyDescent="0.2">
      <c r="A170" s="16">
        <f t="shared" si="7"/>
        <v>169</v>
      </c>
      <c r="B170" s="17">
        <v>45932</v>
      </c>
      <c r="C170" s="4">
        <f t="shared" si="12"/>
        <v>2025</v>
      </c>
      <c r="D170" s="18" t="s">
        <v>101</v>
      </c>
      <c r="E170" s="22" t="s">
        <v>70</v>
      </c>
      <c r="F170" t="s">
        <v>91</v>
      </c>
      <c r="G170" s="22" t="s">
        <v>118</v>
      </c>
      <c r="H170" s="22" t="s">
        <v>124</v>
      </c>
      <c r="I170" s="21">
        <v>-1518</v>
      </c>
      <c r="J170" s="19">
        <f t="shared" si="5"/>
        <v>-1871.0000000001164</v>
      </c>
      <c r="M170"/>
    </row>
    <row r="171" spans="1:13" x14ac:dyDescent="0.2">
      <c r="A171" s="16">
        <f t="shared" si="7"/>
        <v>170</v>
      </c>
      <c r="B171" s="17">
        <v>45932</v>
      </c>
      <c r="C171" s="4">
        <f>IF(B171="","",YEAR(B171))</f>
        <v>2025</v>
      </c>
      <c r="D171" s="18" t="s">
        <v>34</v>
      </c>
      <c r="E171" s="18"/>
      <c r="F171" t="s">
        <v>38</v>
      </c>
      <c r="G171" s="22" t="s">
        <v>34</v>
      </c>
      <c r="H171" s="22" t="s">
        <v>41</v>
      </c>
      <c r="I171" s="21">
        <v>1871</v>
      </c>
      <c r="J171" s="19">
        <f t="shared" si="5"/>
        <v>-1.1641532182693481E-10</v>
      </c>
      <c r="M171"/>
    </row>
    <row r="172" spans="1:13" x14ac:dyDescent="0.2">
      <c r="A172" s="16">
        <f t="shared" si="7"/>
        <v>171</v>
      </c>
      <c r="B172" s="17">
        <v>45936</v>
      </c>
      <c r="C172" s="39">
        <f t="shared" ref="C172" si="13">IF(B172="","",YEAR(B172))</f>
        <v>2025</v>
      </c>
      <c r="D172" s="18" t="s">
        <v>31</v>
      </c>
      <c r="E172" s="22" t="s">
        <v>70</v>
      </c>
      <c r="F172" s="37" t="s">
        <v>92</v>
      </c>
      <c r="G172" s="22" t="s">
        <v>77</v>
      </c>
      <c r="H172" s="22" t="s">
        <v>41</v>
      </c>
      <c r="I172" s="21">
        <v>-81.400000000000006</v>
      </c>
      <c r="J172" s="19">
        <f t="shared" si="5"/>
        <v>-81.400000000116421</v>
      </c>
      <c r="M172"/>
    </row>
    <row r="173" spans="1:13" x14ac:dyDescent="0.2">
      <c r="A173" s="16">
        <f t="shared" si="7"/>
        <v>172</v>
      </c>
      <c r="B173" s="17">
        <v>45936</v>
      </c>
      <c r="C173" s="4">
        <f>IF(B173="","",YEAR(B173))</f>
        <v>2025</v>
      </c>
      <c r="D173" s="18" t="s">
        <v>34</v>
      </c>
      <c r="E173" s="18"/>
      <c r="F173" t="s">
        <v>38</v>
      </c>
      <c r="G173" s="22" t="s">
        <v>34</v>
      </c>
      <c r="H173" s="22" t="s">
        <v>41</v>
      </c>
      <c r="I173" s="21">
        <v>81.400000000000006</v>
      </c>
      <c r="J173" s="19">
        <f t="shared" si="5"/>
        <v>-1.1641532182693481E-10</v>
      </c>
      <c r="M173"/>
    </row>
    <row r="174" spans="1:13" x14ac:dyDescent="0.2">
      <c r="A174" s="16">
        <f t="shared" si="7"/>
        <v>173</v>
      </c>
      <c r="B174" s="17">
        <v>45940</v>
      </c>
      <c r="C174" s="4">
        <f>IF(B174="","",YEAR(B174))</f>
        <v>2025</v>
      </c>
      <c r="D174" s="18" t="s">
        <v>101</v>
      </c>
      <c r="E174" s="22" t="s">
        <v>70</v>
      </c>
      <c r="F174" t="s">
        <v>91</v>
      </c>
      <c r="G174" s="22" t="s">
        <v>118</v>
      </c>
      <c r="H174" s="22" t="s">
        <v>126</v>
      </c>
      <c r="I174" s="21">
        <v>-353</v>
      </c>
      <c r="J174" s="19">
        <f t="shared" si="5"/>
        <v>-353.00000000011642</v>
      </c>
      <c r="M174"/>
    </row>
    <row r="175" spans="1:13" x14ac:dyDescent="0.2">
      <c r="A175" s="16">
        <f t="shared" si="7"/>
        <v>174</v>
      </c>
      <c r="B175" s="17">
        <v>45940</v>
      </c>
      <c r="C175" s="4">
        <f>IF(B175="","",YEAR(B175))</f>
        <v>2025</v>
      </c>
      <c r="D175" s="18" t="s">
        <v>34</v>
      </c>
      <c r="E175" s="18"/>
      <c r="F175" t="s">
        <v>38</v>
      </c>
      <c r="G175" s="22" t="s">
        <v>34</v>
      </c>
      <c r="H175" s="22" t="s">
        <v>41</v>
      </c>
      <c r="I175" s="21">
        <v>353</v>
      </c>
      <c r="J175" s="19">
        <f t="shared" si="5"/>
        <v>-1.1641532182693481E-10</v>
      </c>
      <c r="M175"/>
    </row>
    <row r="176" spans="1:13" x14ac:dyDescent="0.2">
      <c r="A176" s="16">
        <f t="shared" si="7"/>
        <v>175</v>
      </c>
      <c r="B176" s="17">
        <v>45943</v>
      </c>
      <c r="C176" s="4">
        <f t="shared" ref="C176:C178" si="14">IF(B176="","",YEAR(B176))</f>
        <v>2025</v>
      </c>
      <c r="D176" s="18" t="s">
        <v>120</v>
      </c>
      <c r="E176" s="22" t="s">
        <v>71</v>
      </c>
      <c r="F176" t="s">
        <v>48</v>
      </c>
      <c r="G176" s="22" t="s">
        <v>49</v>
      </c>
      <c r="H176" s="18" t="s">
        <v>114</v>
      </c>
      <c r="I176" s="21">
        <v>150000</v>
      </c>
      <c r="J176" s="19">
        <f t="shared" si="5"/>
        <v>149999.99999999988</v>
      </c>
      <c r="M176"/>
    </row>
    <row r="177" spans="1:13" x14ac:dyDescent="0.2">
      <c r="A177" s="16">
        <f t="shared" si="7"/>
        <v>176</v>
      </c>
      <c r="B177" s="17">
        <v>45950</v>
      </c>
      <c r="C177" s="39">
        <f t="shared" si="14"/>
        <v>2025</v>
      </c>
      <c r="D177" s="18" t="s">
        <v>33</v>
      </c>
      <c r="E177" s="18"/>
      <c r="F177" s="37" t="s">
        <v>38</v>
      </c>
      <c r="G177" s="18" t="s">
        <v>33</v>
      </c>
      <c r="H177" s="22" t="s">
        <v>41</v>
      </c>
      <c r="I177" s="21">
        <v>-150000</v>
      </c>
      <c r="J177" s="19">
        <f t="shared" si="5"/>
        <v>-1.1641532182693481E-10</v>
      </c>
    </row>
    <row r="178" spans="1:13" x14ac:dyDescent="0.2">
      <c r="A178" s="16">
        <f t="shared" si="7"/>
        <v>177</v>
      </c>
      <c r="B178" s="17">
        <v>45954</v>
      </c>
      <c r="C178" s="4">
        <f t="shared" si="14"/>
        <v>2025</v>
      </c>
      <c r="D178" s="18" t="s">
        <v>101</v>
      </c>
      <c r="E178" s="22" t="s">
        <v>70</v>
      </c>
      <c r="F178" t="s">
        <v>91</v>
      </c>
      <c r="G178" s="22" t="s">
        <v>118</v>
      </c>
      <c r="H178" s="22" t="s">
        <v>124</v>
      </c>
      <c r="I178" s="21">
        <v>-184</v>
      </c>
      <c r="J178" s="19">
        <f t="shared" si="5"/>
        <v>-184.00000000011642</v>
      </c>
      <c r="M178"/>
    </row>
    <row r="179" spans="1:13" x14ac:dyDescent="0.2">
      <c r="A179" s="16">
        <f t="shared" si="7"/>
        <v>178</v>
      </c>
      <c r="B179" s="17">
        <v>45954</v>
      </c>
      <c r="C179" s="4">
        <f>IF(B179="","",YEAR(B179))</f>
        <v>2025</v>
      </c>
      <c r="D179" s="18" t="s">
        <v>34</v>
      </c>
      <c r="E179" s="18"/>
      <c r="F179" t="s">
        <v>38</v>
      </c>
      <c r="G179" s="22" t="s">
        <v>34</v>
      </c>
      <c r="H179" s="22" t="s">
        <v>41</v>
      </c>
      <c r="I179" s="21">
        <v>184</v>
      </c>
      <c r="J179" s="19">
        <f t="shared" si="5"/>
        <v>-1.1641532182693481E-10</v>
      </c>
    </row>
    <row r="180" spans="1:13" x14ac:dyDescent="0.2">
      <c r="A180" s="16">
        <f t="shared" si="7"/>
        <v>179</v>
      </c>
      <c r="B180" s="17">
        <v>45966</v>
      </c>
      <c r="C180" s="4">
        <f t="shared" ref="C180:C182" si="15">IF(B180="","",YEAR(B180))</f>
        <v>2025</v>
      </c>
      <c r="D180" s="18" t="s">
        <v>101</v>
      </c>
      <c r="E180" s="22" t="s">
        <v>70</v>
      </c>
      <c r="F180" t="s">
        <v>91</v>
      </c>
      <c r="G180" s="22" t="s">
        <v>118</v>
      </c>
      <c r="H180" s="22" t="s">
        <v>124</v>
      </c>
      <c r="I180" s="21">
        <v>-353</v>
      </c>
      <c r="J180" s="19">
        <f t="shared" si="5"/>
        <v>-353.00000000011642</v>
      </c>
      <c r="M180"/>
    </row>
    <row r="181" spans="1:13" x14ac:dyDescent="0.2">
      <c r="A181" s="16">
        <f t="shared" si="7"/>
        <v>180</v>
      </c>
      <c r="B181" s="17">
        <v>45966</v>
      </c>
      <c r="C181" s="4">
        <f t="shared" si="15"/>
        <v>2025</v>
      </c>
      <c r="D181" s="18" t="s">
        <v>101</v>
      </c>
      <c r="E181" s="22" t="s">
        <v>70</v>
      </c>
      <c r="F181" t="s">
        <v>91</v>
      </c>
      <c r="G181" s="22" t="s">
        <v>118</v>
      </c>
      <c r="H181" s="22" t="s">
        <v>124</v>
      </c>
      <c r="I181" s="21">
        <v>-1518</v>
      </c>
      <c r="J181" s="19">
        <f t="shared" si="5"/>
        <v>-1871.0000000001164</v>
      </c>
      <c r="M181"/>
    </row>
    <row r="182" spans="1:13" x14ac:dyDescent="0.2">
      <c r="A182" s="16">
        <f t="shared" si="7"/>
        <v>181</v>
      </c>
      <c r="B182" s="17">
        <v>45966</v>
      </c>
      <c r="C182" s="39">
        <f t="shared" si="15"/>
        <v>2025</v>
      </c>
      <c r="D182" s="18" t="s">
        <v>31</v>
      </c>
      <c r="E182" s="22" t="s">
        <v>70</v>
      </c>
      <c r="F182" s="37" t="s">
        <v>92</v>
      </c>
      <c r="G182" s="22" t="s">
        <v>77</v>
      </c>
      <c r="H182" s="22" t="s">
        <v>41</v>
      </c>
      <c r="I182" s="21">
        <v>-81.400000000000006</v>
      </c>
      <c r="J182" s="19">
        <f t="shared" si="5"/>
        <v>-1952.4000000001165</v>
      </c>
      <c r="M182"/>
    </row>
    <row r="183" spans="1:13" x14ac:dyDescent="0.2">
      <c r="A183" s="16">
        <f t="shared" si="7"/>
        <v>182</v>
      </c>
      <c r="B183" s="17">
        <v>45966</v>
      </c>
      <c r="C183" s="4">
        <f>IF(B183="","",YEAR(B183))</f>
        <v>2025</v>
      </c>
      <c r="D183" s="18" t="s">
        <v>34</v>
      </c>
      <c r="E183" s="18"/>
      <c r="F183" t="s">
        <v>38</v>
      </c>
      <c r="G183" s="22" t="s">
        <v>34</v>
      </c>
      <c r="H183" s="22" t="s">
        <v>41</v>
      </c>
      <c r="I183" s="21">
        <v>1952.4</v>
      </c>
      <c r="J183" s="19">
        <f t="shared" si="5"/>
        <v>-1.1641532182693481E-10</v>
      </c>
      <c r="M183"/>
    </row>
    <row r="184" spans="1:13" x14ac:dyDescent="0.2">
      <c r="A184" s="16">
        <f t="shared" si="7"/>
        <v>183</v>
      </c>
      <c r="B184" s="17">
        <v>45971</v>
      </c>
      <c r="C184" s="4">
        <f>IF(B184="","",YEAR(B184))</f>
        <v>2025</v>
      </c>
      <c r="D184" s="18" t="s">
        <v>101</v>
      </c>
      <c r="E184" s="22" t="s">
        <v>70</v>
      </c>
      <c r="F184" t="s">
        <v>91</v>
      </c>
      <c r="G184" s="22" t="s">
        <v>118</v>
      </c>
      <c r="H184" s="22" t="s">
        <v>126</v>
      </c>
      <c r="I184" s="21">
        <v>-353</v>
      </c>
      <c r="J184" s="19">
        <f t="shared" si="5"/>
        <v>-353.00000000011642</v>
      </c>
      <c r="M184"/>
    </row>
    <row r="185" spans="1:13" x14ac:dyDescent="0.2">
      <c r="A185" s="16">
        <f t="shared" si="7"/>
        <v>184</v>
      </c>
      <c r="B185" s="17">
        <v>45971</v>
      </c>
      <c r="C185" s="4">
        <f>IF(B185="","",YEAR(B185))</f>
        <v>2025</v>
      </c>
      <c r="D185" s="18" t="s">
        <v>34</v>
      </c>
      <c r="E185" s="18"/>
      <c r="F185" t="s">
        <v>38</v>
      </c>
      <c r="G185" s="22" t="s">
        <v>34</v>
      </c>
      <c r="H185" s="22" t="s">
        <v>41</v>
      </c>
      <c r="I185" s="21">
        <v>353</v>
      </c>
      <c r="J185" s="19">
        <f t="shared" si="5"/>
        <v>-1.1641532182693481E-10</v>
      </c>
      <c r="M185"/>
    </row>
    <row r="186" spans="1:13" x14ac:dyDescent="0.2">
      <c r="A186" s="16">
        <f t="shared" si="7"/>
        <v>185</v>
      </c>
      <c r="B186" s="17">
        <v>45975</v>
      </c>
      <c r="C186" s="4">
        <f>IF(B186="","",YEAR(B186))</f>
        <v>2025</v>
      </c>
      <c r="D186" s="18" t="s">
        <v>101</v>
      </c>
      <c r="E186" s="22" t="s">
        <v>70</v>
      </c>
      <c r="F186" t="s">
        <v>91</v>
      </c>
      <c r="G186" s="22" t="s">
        <v>118</v>
      </c>
      <c r="H186" s="22" t="s">
        <v>126</v>
      </c>
      <c r="I186" s="21">
        <v>-176.5</v>
      </c>
      <c r="J186" s="19">
        <f t="shared" si="5"/>
        <v>-176.50000000011642</v>
      </c>
      <c r="M186"/>
    </row>
    <row r="187" spans="1:13" x14ac:dyDescent="0.2">
      <c r="A187" s="16">
        <f t="shared" si="7"/>
        <v>186</v>
      </c>
      <c r="B187" s="17">
        <v>45975</v>
      </c>
      <c r="C187" s="4">
        <f t="shared" ref="C187" si="16">IF(B187="","",YEAR(B187))</f>
        <v>2025</v>
      </c>
      <c r="D187" s="18" t="s">
        <v>101</v>
      </c>
      <c r="E187" s="22" t="s">
        <v>70</v>
      </c>
      <c r="F187" t="s">
        <v>91</v>
      </c>
      <c r="G187" s="22" t="s">
        <v>118</v>
      </c>
      <c r="H187" s="22" t="s">
        <v>124</v>
      </c>
      <c r="I187" s="21">
        <v>-176.5</v>
      </c>
      <c r="J187" s="19">
        <f t="shared" si="5"/>
        <v>-353.00000000011642</v>
      </c>
      <c r="M187"/>
    </row>
    <row r="188" spans="1:13" x14ac:dyDescent="0.2">
      <c r="A188" s="16">
        <f t="shared" si="7"/>
        <v>187</v>
      </c>
      <c r="B188" s="17">
        <v>45975</v>
      </c>
      <c r="C188" s="4">
        <f>IF(B188="","",YEAR(B188))</f>
        <v>2025</v>
      </c>
      <c r="D188" s="18" t="s">
        <v>34</v>
      </c>
      <c r="E188" s="18"/>
      <c r="F188" t="s">
        <v>38</v>
      </c>
      <c r="G188" s="22" t="s">
        <v>34</v>
      </c>
      <c r="H188" s="22" t="s">
        <v>41</v>
      </c>
      <c r="I188" s="21">
        <v>353</v>
      </c>
      <c r="J188" s="19">
        <f t="shared" si="5"/>
        <v>-1.1641532182693481E-10</v>
      </c>
    </row>
    <row r="189" spans="1:13" x14ac:dyDescent="0.2">
      <c r="A189" s="16">
        <f t="shared" si="7"/>
        <v>188</v>
      </c>
      <c r="B189" s="17">
        <v>45994</v>
      </c>
      <c r="C189" s="4">
        <f t="shared" ref="C189" si="17">IF(B189="","",YEAR(B189))</f>
        <v>2025</v>
      </c>
      <c r="D189" s="18" t="s">
        <v>134</v>
      </c>
      <c r="E189" s="22" t="s">
        <v>70</v>
      </c>
      <c r="F189" t="s">
        <v>135</v>
      </c>
      <c r="G189" s="22" t="s">
        <v>137</v>
      </c>
      <c r="H189" s="22" t="s">
        <v>136</v>
      </c>
      <c r="I189" s="21">
        <v>-25000</v>
      </c>
      <c r="J189" s="19">
        <f t="shared" si="5"/>
        <v>-25000.000000000116</v>
      </c>
      <c r="M189"/>
    </row>
    <row r="190" spans="1:13" x14ac:dyDescent="0.2">
      <c r="A190" s="16">
        <f t="shared" si="7"/>
        <v>189</v>
      </c>
      <c r="B190" s="17">
        <v>45994</v>
      </c>
      <c r="C190" s="4">
        <f>IF(B190="","",YEAR(B190))</f>
        <v>2025</v>
      </c>
      <c r="D190" s="18" t="s">
        <v>34</v>
      </c>
      <c r="E190" s="18"/>
      <c r="F190" t="s">
        <v>38</v>
      </c>
      <c r="G190" s="22" t="s">
        <v>34</v>
      </c>
      <c r="H190" s="22" t="s">
        <v>41</v>
      </c>
      <c r="I190" s="21">
        <v>25000</v>
      </c>
      <c r="J190" s="19">
        <f t="shared" si="5"/>
        <v>-1.1641532182693481E-10</v>
      </c>
      <c r="M190"/>
    </row>
    <row r="191" spans="1:13" x14ac:dyDescent="0.2">
      <c r="A191" s="16">
        <f t="shared" si="7"/>
        <v>190</v>
      </c>
      <c r="B191" s="17">
        <v>45995</v>
      </c>
      <c r="C191" s="4">
        <f t="shared" ref="C191" si="18">IF(B191="","",YEAR(B191))</f>
        <v>2025</v>
      </c>
      <c r="D191" s="18" t="s">
        <v>134</v>
      </c>
      <c r="E191" s="22" t="s">
        <v>70</v>
      </c>
      <c r="F191" t="s">
        <v>135</v>
      </c>
      <c r="G191" s="22" t="s">
        <v>137</v>
      </c>
      <c r="H191" s="22" t="s">
        <v>136</v>
      </c>
      <c r="I191" s="21">
        <v>-25000</v>
      </c>
      <c r="J191" s="19">
        <f t="shared" si="5"/>
        <v>-25000.000000000116</v>
      </c>
      <c r="M191"/>
    </row>
    <row r="192" spans="1:13" x14ac:dyDescent="0.2">
      <c r="A192" s="16">
        <f t="shared" si="7"/>
        <v>191</v>
      </c>
      <c r="B192" s="17">
        <v>45995</v>
      </c>
      <c r="C192" s="4">
        <f>IF(B192="","",YEAR(B192))</f>
        <v>2025</v>
      </c>
      <c r="D192" s="18" t="s">
        <v>34</v>
      </c>
      <c r="E192" s="18"/>
      <c r="F192" t="s">
        <v>38</v>
      </c>
      <c r="G192" s="22" t="s">
        <v>34</v>
      </c>
      <c r="H192" s="22" t="s">
        <v>41</v>
      </c>
      <c r="I192" s="21">
        <v>25000</v>
      </c>
      <c r="J192" s="19">
        <f t="shared" si="5"/>
        <v>-1.1641532182693481E-10</v>
      </c>
      <c r="M192"/>
    </row>
    <row r="193" spans="1:13" x14ac:dyDescent="0.2">
      <c r="A193" s="16">
        <f t="shared" si="7"/>
        <v>192</v>
      </c>
      <c r="B193" s="17">
        <v>45996</v>
      </c>
      <c r="C193" s="4">
        <f t="shared" ref="C193:C196" si="19">IF(B193="","",YEAR(B193))</f>
        <v>2025</v>
      </c>
      <c r="D193" s="18" t="s">
        <v>134</v>
      </c>
      <c r="E193" s="22" t="s">
        <v>70</v>
      </c>
      <c r="F193" t="s">
        <v>135</v>
      </c>
      <c r="G193" s="22" t="s">
        <v>137</v>
      </c>
      <c r="H193" s="22" t="s">
        <v>136</v>
      </c>
      <c r="I193" s="21">
        <v>-12000</v>
      </c>
      <c r="J193" s="19">
        <f t="shared" si="5"/>
        <v>-12000.000000000116</v>
      </c>
      <c r="M193"/>
    </row>
    <row r="194" spans="1:13" x14ac:dyDescent="0.2">
      <c r="A194" s="16">
        <f t="shared" si="7"/>
        <v>193</v>
      </c>
      <c r="B194" s="17">
        <v>45996</v>
      </c>
      <c r="C194" s="4">
        <f t="shared" si="19"/>
        <v>2025</v>
      </c>
      <c r="D194" s="18" t="s">
        <v>101</v>
      </c>
      <c r="E194" s="22" t="s">
        <v>70</v>
      </c>
      <c r="F194" t="s">
        <v>91</v>
      </c>
      <c r="G194" s="22" t="s">
        <v>118</v>
      </c>
      <c r="H194" s="22" t="s">
        <v>124</v>
      </c>
      <c r="I194" s="21">
        <v>-353</v>
      </c>
      <c r="J194" s="19">
        <f t="shared" si="5"/>
        <v>-12353.000000000116</v>
      </c>
      <c r="M194"/>
    </row>
    <row r="195" spans="1:13" x14ac:dyDescent="0.2">
      <c r="A195" s="16">
        <f t="shared" ref="A195:A256" si="20">A194+1</f>
        <v>194</v>
      </c>
      <c r="B195" s="17">
        <v>45996</v>
      </c>
      <c r="C195" s="4">
        <f t="shared" si="19"/>
        <v>2025</v>
      </c>
      <c r="D195" s="18" t="s">
        <v>101</v>
      </c>
      <c r="E195" s="22" t="s">
        <v>70</v>
      </c>
      <c r="F195" t="s">
        <v>91</v>
      </c>
      <c r="G195" s="22" t="s">
        <v>118</v>
      </c>
      <c r="H195" s="22" t="s">
        <v>124</v>
      </c>
      <c r="I195" s="21">
        <v>-1518</v>
      </c>
      <c r="J195" s="19">
        <f t="shared" si="5"/>
        <v>-13871.000000000116</v>
      </c>
      <c r="M195"/>
    </row>
    <row r="196" spans="1:13" x14ac:dyDescent="0.2">
      <c r="A196" s="16">
        <f t="shared" si="20"/>
        <v>195</v>
      </c>
      <c r="B196" s="17">
        <v>45996</v>
      </c>
      <c r="C196" s="39">
        <f t="shared" si="19"/>
        <v>2025</v>
      </c>
      <c r="D196" s="18" t="s">
        <v>31</v>
      </c>
      <c r="E196" s="22" t="s">
        <v>70</v>
      </c>
      <c r="F196" s="37" t="s">
        <v>92</v>
      </c>
      <c r="G196" s="22" t="s">
        <v>77</v>
      </c>
      <c r="H196" s="22" t="s">
        <v>41</v>
      </c>
      <c r="I196" s="21">
        <v>-81.400000000000006</v>
      </c>
      <c r="J196" s="19">
        <f t="shared" si="5"/>
        <v>-13952.400000000116</v>
      </c>
      <c r="M196"/>
    </row>
    <row r="197" spans="1:13" x14ac:dyDescent="0.2">
      <c r="A197" s="16">
        <f t="shared" si="20"/>
        <v>196</v>
      </c>
      <c r="B197" s="17">
        <v>45996</v>
      </c>
      <c r="C197" s="4">
        <f>IF(B197="","",YEAR(B197))</f>
        <v>2025</v>
      </c>
      <c r="D197" s="18" t="s">
        <v>34</v>
      </c>
      <c r="E197" s="18"/>
      <c r="F197" t="s">
        <v>38</v>
      </c>
      <c r="G197" s="22" t="s">
        <v>34</v>
      </c>
      <c r="H197" s="22" t="s">
        <v>41</v>
      </c>
      <c r="I197" s="21">
        <v>13952.4</v>
      </c>
      <c r="J197" s="19">
        <f t="shared" si="5"/>
        <v>-1.1641532182693481E-10</v>
      </c>
      <c r="M197"/>
    </row>
    <row r="198" spans="1:13" x14ac:dyDescent="0.2">
      <c r="A198" s="16">
        <f t="shared" si="20"/>
        <v>197</v>
      </c>
      <c r="B198" s="17">
        <v>46001</v>
      </c>
      <c r="C198" s="4">
        <f>IF(B198="","",YEAR(B198))</f>
        <v>2025</v>
      </c>
      <c r="D198" s="18" t="s">
        <v>101</v>
      </c>
      <c r="E198" s="22" t="s">
        <v>70</v>
      </c>
      <c r="F198" t="s">
        <v>91</v>
      </c>
      <c r="G198" s="22" t="s">
        <v>118</v>
      </c>
      <c r="H198" s="22" t="s">
        <v>126</v>
      </c>
      <c r="I198" s="21">
        <v>-353</v>
      </c>
      <c r="J198" s="19">
        <f t="shared" si="5"/>
        <v>-353.00000000011642</v>
      </c>
      <c r="M198"/>
    </row>
    <row r="199" spans="1:13" x14ac:dyDescent="0.2">
      <c r="A199" s="16">
        <f t="shared" si="20"/>
        <v>198</v>
      </c>
      <c r="B199" s="17">
        <v>46001</v>
      </c>
      <c r="C199" s="4">
        <f>IF(B199="","",YEAR(B199))</f>
        <v>2025</v>
      </c>
      <c r="D199" s="18" t="s">
        <v>34</v>
      </c>
      <c r="E199" s="18"/>
      <c r="F199" t="s">
        <v>38</v>
      </c>
      <c r="G199" s="22" t="s">
        <v>34</v>
      </c>
      <c r="H199" s="22" t="s">
        <v>41</v>
      </c>
      <c r="I199" s="21">
        <v>353</v>
      </c>
      <c r="J199" s="19">
        <f t="shared" si="5"/>
        <v>-1.1641532182693481E-10</v>
      </c>
    </row>
    <row r="200" spans="1:13" x14ac:dyDescent="0.2">
      <c r="A200" s="16">
        <f t="shared" si="20"/>
        <v>199</v>
      </c>
      <c r="B200" s="17">
        <v>46006</v>
      </c>
      <c r="C200" s="4">
        <f t="shared" ref="C200:C201" si="21">IF(B200="","",YEAR(B200))</f>
        <v>2025</v>
      </c>
      <c r="D200" s="18" t="s">
        <v>120</v>
      </c>
      <c r="E200" s="22" t="s">
        <v>71</v>
      </c>
      <c r="F200" t="s">
        <v>48</v>
      </c>
      <c r="G200" s="22" t="s">
        <v>49</v>
      </c>
      <c r="H200" s="18" t="s">
        <v>114</v>
      </c>
      <c r="I200" s="21">
        <v>209209.39</v>
      </c>
      <c r="J200" s="19">
        <f t="shared" si="5"/>
        <v>209209.3899999999</v>
      </c>
      <c r="M200"/>
    </row>
    <row r="201" spans="1:13" x14ac:dyDescent="0.2">
      <c r="A201" s="16">
        <f t="shared" si="20"/>
        <v>200</v>
      </c>
      <c r="B201" s="17">
        <v>46006</v>
      </c>
      <c r="C201" s="39">
        <f t="shared" si="21"/>
        <v>2025</v>
      </c>
      <c r="D201" s="18" t="s">
        <v>33</v>
      </c>
      <c r="E201" s="18"/>
      <c r="F201" s="37" t="s">
        <v>38</v>
      </c>
      <c r="G201" s="18" t="s">
        <v>33</v>
      </c>
      <c r="H201" s="22" t="s">
        <v>41</v>
      </c>
      <c r="I201" s="21">
        <v>-200000</v>
      </c>
      <c r="J201" s="19">
        <f t="shared" si="5"/>
        <v>9209.3899999998976</v>
      </c>
      <c r="M201"/>
    </row>
    <row r="202" spans="1:13" x14ac:dyDescent="0.2">
      <c r="A202" s="16">
        <f t="shared" si="20"/>
        <v>201</v>
      </c>
      <c r="B202" s="17">
        <v>46006</v>
      </c>
      <c r="C202" s="4">
        <f>IF(B202="","",YEAR(B202))</f>
        <v>2025</v>
      </c>
      <c r="D202" s="18" t="s">
        <v>101</v>
      </c>
      <c r="E202" s="22" t="s">
        <v>70</v>
      </c>
      <c r="F202" t="s">
        <v>91</v>
      </c>
      <c r="G202" s="22" t="s">
        <v>118</v>
      </c>
      <c r="H202" s="22" t="s">
        <v>126</v>
      </c>
      <c r="I202" s="21">
        <v>-176.5</v>
      </c>
      <c r="J202" s="19">
        <f t="shared" si="5"/>
        <v>9032.8899999998976</v>
      </c>
      <c r="M202"/>
    </row>
    <row r="203" spans="1:13" x14ac:dyDescent="0.2">
      <c r="A203" s="16">
        <f t="shared" si="20"/>
        <v>202</v>
      </c>
      <c r="B203" s="17">
        <v>46006</v>
      </c>
      <c r="C203" s="4">
        <f t="shared" ref="C203:C206" si="22">IF(B203="","",YEAR(B203))</f>
        <v>2025</v>
      </c>
      <c r="D203" s="18" t="s">
        <v>101</v>
      </c>
      <c r="E203" s="22" t="s">
        <v>70</v>
      </c>
      <c r="F203" t="s">
        <v>91</v>
      </c>
      <c r="G203" s="22" t="s">
        <v>118</v>
      </c>
      <c r="H203" s="22" t="s">
        <v>124</v>
      </c>
      <c r="I203" s="21">
        <v>-176.5</v>
      </c>
      <c r="J203" s="19">
        <f t="shared" si="5"/>
        <v>8856.3899999998976</v>
      </c>
    </row>
    <row r="204" spans="1:13" x14ac:dyDescent="0.2">
      <c r="A204" s="16">
        <f t="shared" si="20"/>
        <v>203</v>
      </c>
      <c r="B204" s="17">
        <v>46027</v>
      </c>
      <c r="C204" s="4">
        <f t="shared" si="22"/>
        <v>2026</v>
      </c>
      <c r="D204" s="18" t="s">
        <v>101</v>
      </c>
      <c r="E204" s="22" t="s">
        <v>70</v>
      </c>
      <c r="F204" t="s">
        <v>91</v>
      </c>
      <c r="G204" s="22" t="s">
        <v>118</v>
      </c>
      <c r="H204" s="22" t="s">
        <v>124</v>
      </c>
      <c r="I204" s="21">
        <v>-353</v>
      </c>
      <c r="J204" s="19">
        <f t="shared" si="5"/>
        <v>8503.3899999998976</v>
      </c>
      <c r="M204"/>
    </row>
    <row r="205" spans="1:13" x14ac:dyDescent="0.2">
      <c r="A205" s="16">
        <f t="shared" si="20"/>
        <v>204</v>
      </c>
      <c r="B205" s="17">
        <v>46027</v>
      </c>
      <c r="C205" s="4">
        <f t="shared" si="22"/>
        <v>2026</v>
      </c>
      <c r="D205" s="18" t="s">
        <v>101</v>
      </c>
      <c r="E205" s="22" t="s">
        <v>70</v>
      </c>
      <c r="F205" t="s">
        <v>91</v>
      </c>
      <c r="G205" s="22" t="s">
        <v>118</v>
      </c>
      <c r="H205" s="22" t="s">
        <v>124</v>
      </c>
      <c r="I205" s="21">
        <v>-1518</v>
      </c>
      <c r="J205" s="19">
        <f t="shared" si="5"/>
        <v>6985.3899999998976</v>
      </c>
      <c r="M205"/>
    </row>
    <row r="206" spans="1:13" x14ac:dyDescent="0.2">
      <c r="A206" s="16">
        <f t="shared" si="20"/>
        <v>205</v>
      </c>
      <c r="B206" s="17">
        <v>46028</v>
      </c>
      <c r="C206" s="39">
        <f t="shared" si="22"/>
        <v>2026</v>
      </c>
      <c r="D206" s="18" t="s">
        <v>31</v>
      </c>
      <c r="E206" s="22" t="s">
        <v>70</v>
      </c>
      <c r="F206" s="37" t="s">
        <v>92</v>
      </c>
      <c r="G206" s="22" t="s">
        <v>77</v>
      </c>
      <c r="H206" s="22" t="s">
        <v>41</v>
      </c>
      <c r="I206" s="21">
        <v>-81.400000000000006</v>
      </c>
      <c r="J206" s="19">
        <f t="shared" si="5"/>
        <v>6903.9899999998979</v>
      </c>
    </row>
    <row r="207" spans="1:13" x14ac:dyDescent="0.2">
      <c r="A207" s="16">
        <f t="shared" si="20"/>
        <v>206</v>
      </c>
      <c r="B207" s="17">
        <v>46034</v>
      </c>
      <c r="C207" s="4">
        <f>IF(B207="","",YEAR(B207))</f>
        <v>2026</v>
      </c>
      <c r="D207" s="18" t="s">
        <v>101</v>
      </c>
      <c r="E207" s="22" t="s">
        <v>70</v>
      </c>
      <c r="F207" t="s">
        <v>91</v>
      </c>
      <c r="G207" s="22" t="s">
        <v>118</v>
      </c>
      <c r="H207" s="22" t="s">
        <v>126</v>
      </c>
      <c r="I207" s="21">
        <v>-353</v>
      </c>
      <c r="J207" s="19">
        <f t="shared" si="5"/>
        <v>6550.9899999998979</v>
      </c>
    </row>
    <row r="208" spans="1:13" x14ac:dyDescent="0.2">
      <c r="A208" s="16">
        <f t="shared" si="20"/>
        <v>207</v>
      </c>
      <c r="B208" s="17">
        <v>46058</v>
      </c>
      <c r="C208" s="4">
        <f t="shared" ref="C208:C210" si="23">IF(B208="","",YEAR(B208))</f>
        <v>2026</v>
      </c>
      <c r="D208" s="18" t="s">
        <v>101</v>
      </c>
      <c r="E208" s="22" t="s">
        <v>70</v>
      </c>
      <c r="F208" t="s">
        <v>91</v>
      </c>
      <c r="G208" s="22" t="s">
        <v>118</v>
      </c>
      <c r="H208" s="22" t="s">
        <v>124</v>
      </c>
      <c r="I208" s="21">
        <v>-377</v>
      </c>
      <c r="J208" s="19">
        <f t="shared" si="5"/>
        <v>6173.9899999998979</v>
      </c>
      <c r="M208"/>
    </row>
    <row r="209" spans="1:13" x14ac:dyDescent="0.2">
      <c r="A209" s="16">
        <f t="shared" si="20"/>
        <v>208</v>
      </c>
      <c r="B209" s="17">
        <v>46058</v>
      </c>
      <c r="C209" s="4">
        <f t="shared" si="23"/>
        <v>2026</v>
      </c>
      <c r="D209" s="18" t="s">
        <v>101</v>
      </c>
      <c r="E209" s="22" t="s">
        <v>70</v>
      </c>
      <c r="F209" t="s">
        <v>91</v>
      </c>
      <c r="G209" s="22" t="s">
        <v>118</v>
      </c>
      <c r="H209" s="22" t="s">
        <v>124</v>
      </c>
      <c r="I209" s="21">
        <v>-1621</v>
      </c>
      <c r="J209" s="19">
        <f t="shared" si="5"/>
        <v>4552.9899999998979</v>
      </c>
      <c r="M209"/>
    </row>
    <row r="210" spans="1:13" x14ac:dyDescent="0.2">
      <c r="A210" s="16">
        <f t="shared" si="20"/>
        <v>209</v>
      </c>
      <c r="B210" s="17">
        <v>46058</v>
      </c>
      <c r="C210" s="39">
        <f t="shared" si="23"/>
        <v>2026</v>
      </c>
      <c r="D210" s="18" t="s">
        <v>31</v>
      </c>
      <c r="E210" s="22" t="s">
        <v>70</v>
      </c>
      <c r="F210" s="37" t="s">
        <v>92</v>
      </c>
      <c r="G210" s="22" t="s">
        <v>77</v>
      </c>
      <c r="H210" s="22" t="s">
        <v>41</v>
      </c>
      <c r="I210" s="21">
        <v>-81.400000000000006</v>
      </c>
      <c r="J210" s="19">
        <f t="shared" si="5"/>
        <v>4471.5899999998983</v>
      </c>
      <c r="M210"/>
    </row>
    <row r="211" spans="1:13" x14ac:dyDescent="0.2">
      <c r="A211" s="16">
        <f t="shared" si="20"/>
        <v>210</v>
      </c>
      <c r="B211" s="17">
        <v>46063</v>
      </c>
      <c r="C211" s="4">
        <f>IF(B211="","",YEAR(B211))</f>
        <v>2026</v>
      </c>
      <c r="D211" s="18" t="s">
        <v>101</v>
      </c>
      <c r="E211" s="22" t="s">
        <v>70</v>
      </c>
      <c r="F211" t="s">
        <v>91</v>
      </c>
      <c r="G211" s="22" t="s">
        <v>118</v>
      </c>
      <c r="H211" s="22" t="s">
        <v>126</v>
      </c>
      <c r="I211" s="21">
        <v>-377</v>
      </c>
      <c r="J211" s="19">
        <f t="shared" si="5"/>
        <v>4094.5899999998983</v>
      </c>
    </row>
    <row r="212" spans="1:13" x14ac:dyDescent="0.2">
      <c r="A212" s="16">
        <f t="shared" si="20"/>
        <v>211</v>
      </c>
      <c r="B212" s="17">
        <v>46086</v>
      </c>
      <c r="C212" s="4">
        <f t="shared" ref="C212:C214" si="24">IF(B212="","",YEAR(B212))</f>
        <v>2026</v>
      </c>
      <c r="D212" s="18" t="s">
        <v>101</v>
      </c>
      <c r="E212" s="22" t="s">
        <v>70</v>
      </c>
      <c r="F212" t="s">
        <v>91</v>
      </c>
      <c r="G212" s="22" t="s">
        <v>118</v>
      </c>
      <c r="H212" s="22" t="s">
        <v>124</v>
      </c>
      <c r="I212" s="21">
        <v>-377</v>
      </c>
      <c r="J212" s="19">
        <f t="shared" si="5"/>
        <v>3717.5899999998983</v>
      </c>
      <c r="M212"/>
    </row>
    <row r="213" spans="1:13" x14ac:dyDescent="0.2">
      <c r="A213" s="16">
        <f t="shared" si="20"/>
        <v>212</v>
      </c>
      <c r="B213" s="17">
        <v>46086</v>
      </c>
      <c r="C213" s="4">
        <f t="shared" si="24"/>
        <v>2026</v>
      </c>
      <c r="D213" s="18" t="s">
        <v>101</v>
      </c>
      <c r="E213" s="22" t="s">
        <v>70</v>
      </c>
      <c r="F213" t="s">
        <v>91</v>
      </c>
      <c r="G213" s="22" t="s">
        <v>118</v>
      </c>
      <c r="H213" s="22" t="s">
        <v>124</v>
      </c>
      <c r="I213" s="21">
        <v>-1621</v>
      </c>
      <c r="J213" s="19">
        <f t="shared" si="5"/>
        <v>2096.5899999998983</v>
      </c>
      <c r="M213"/>
    </row>
    <row r="214" spans="1:13" x14ac:dyDescent="0.2">
      <c r="A214" s="16">
        <f t="shared" si="20"/>
        <v>213</v>
      </c>
      <c r="B214" s="17">
        <v>46086</v>
      </c>
      <c r="C214" s="39">
        <f t="shared" si="24"/>
        <v>2026</v>
      </c>
      <c r="D214" s="18" t="s">
        <v>31</v>
      </c>
      <c r="E214" s="22" t="s">
        <v>70</v>
      </c>
      <c r="F214" s="37" t="s">
        <v>92</v>
      </c>
      <c r="G214" s="22" t="s">
        <v>77</v>
      </c>
      <c r="H214" s="22" t="s">
        <v>41</v>
      </c>
      <c r="I214" s="21">
        <v>-81.400000000000006</v>
      </c>
      <c r="J214" s="19">
        <f t="shared" si="5"/>
        <v>2015.1899999998982</v>
      </c>
      <c r="M214"/>
    </row>
    <row r="215" spans="1:13" x14ac:dyDescent="0.2">
      <c r="A215" s="16">
        <f t="shared" si="20"/>
        <v>214</v>
      </c>
      <c r="B215" s="17">
        <v>46091</v>
      </c>
      <c r="C215" s="4">
        <f>IF(B215="","",YEAR(B215))</f>
        <v>2026</v>
      </c>
      <c r="D215" s="18" t="s">
        <v>101</v>
      </c>
      <c r="E215" s="22" t="s">
        <v>70</v>
      </c>
      <c r="F215" t="s">
        <v>91</v>
      </c>
      <c r="G215" s="22" t="s">
        <v>118</v>
      </c>
      <c r="H215" s="22" t="s">
        <v>126</v>
      </c>
      <c r="I215" s="21">
        <v>-377</v>
      </c>
      <c r="J215" s="19">
        <f t="shared" si="5"/>
        <v>1638.1899999998982</v>
      </c>
      <c r="M215"/>
    </row>
    <row r="216" spans="1:13" x14ac:dyDescent="0.2">
      <c r="A216" s="16">
        <f t="shared" si="20"/>
        <v>215</v>
      </c>
      <c r="B216" s="17">
        <v>46091</v>
      </c>
      <c r="C216" s="4">
        <f t="shared" ref="C216:C218" si="25">IF(B216="","",YEAR(B216))</f>
        <v>2026</v>
      </c>
      <c r="D216" s="18" t="s">
        <v>89</v>
      </c>
      <c r="E216" s="22" t="s">
        <v>70</v>
      </c>
      <c r="F216" t="s">
        <v>79</v>
      </c>
      <c r="G216" s="22" t="s">
        <v>146</v>
      </c>
      <c r="H216" s="22" t="s">
        <v>52</v>
      </c>
      <c r="I216" s="21">
        <v>-398.75</v>
      </c>
      <c r="J216" s="19">
        <f>IF(I216="",".",J215+I216)</f>
        <v>1239.4399999998982</v>
      </c>
    </row>
    <row r="217" spans="1:13" x14ac:dyDescent="0.2">
      <c r="A217" s="16">
        <f t="shared" si="20"/>
        <v>216</v>
      </c>
      <c r="B217" s="17">
        <v>46114</v>
      </c>
      <c r="C217" s="4">
        <f t="shared" si="25"/>
        <v>2026</v>
      </c>
      <c r="D217" s="18" t="s">
        <v>101</v>
      </c>
      <c r="E217" s="22" t="s">
        <v>70</v>
      </c>
      <c r="F217" t="s">
        <v>91</v>
      </c>
      <c r="G217" s="22" t="s">
        <v>118</v>
      </c>
      <c r="H217" s="22" t="s">
        <v>124</v>
      </c>
      <c r="I217" s="21">
        <v>-377</v>
      </c>
      <c r="J217" s="19">
        <f t="shared" ref="J217:J256" si="26">IF(I217="",".",J216+I217)</f>
        <v>862.43999999989819</v>
      </c>
      <c r="M217"/>
    </row>
    <row r="218" spans="1:13" x14ac:dyDescent="0.2">
      <c r="A218" s="16">
        <f t="shared" si="20"/>
        <v>217</v>
      </c>
      <c r="B218" s="17">
        <v>46114</v>
      </c>
      <c r="C218" s="4">
        <f t="shared" si="25"/>
        <v>2026</v>
      </c>
      <c r="D218" s="18" t="s">
        <v>101</v>
      </c>
      <c r="E218" s="22" t="s">
        <v>70</v>
      </c>
      <c r="F218" t="s">
        <v>91</v>
      </c>
      <c r="G218" s="22" t="s">
        <v>118</v>
      </c>
      <c r="H218" s="22" t="s">
        <v>124</v>
      </c>
      <c r="I218" s="21">
        <v>-1621</v>
      </c>
      <c r="J218" s="19">
        <f t="shared" si="26"/>
        <v>-758.56000000010181</v>
      </c>
      <c r="M218"/>
    </row>
    <row r="219" spans="1:13" x14ac:dyDescent="0.2">
      <c r="A219" s="16">
        <f t="shared" si="20"/>
        <v>218</v>
      </c>
      <c r="B219" s="17">
        <v>46114</v>
      </c>
      <c r="C219" s="4">
        <f>IF(B219="","",YEAR(B219))</f>
        <v>2026</v>
      </c>
      <c r="D219" s="18" t="s">
        <v>34</v>
      </c>
      <c r="E219" s="18"/>
      <c r="F219" t="s">
        <v>38</v>
      </c>
      <c r="G219" s="22" t="s">
        <v>34</v>
      </c>
      <c r="H219" s="22" t="s">
        <v>41</v>
      </c>
      <c r="I219" s="21">
        <v>758.56</v>
      </c>
      <c r="J219" s="19">
        <f t="shared" si="26"/>
        <v>-1.0186340659856796E-10</v>
      </c>
      <c r="M219"/>
    </row>
    <row r="220" spans="1:13" x14ac:dyDescent="0.2">
      <c r="A220" s="16">
        <f t="shared" si="20"/>
        <v>219</v>
      </c>
      <c r="B220" s="17">
        <v>46118</v>
      </c>
      <c r="C220" s="39">
        <f t="shared" ref="C220" si="27">IF(B220="","",YEAR(B220))</f>
        <v>2026</v>
      </c>
      <c r="D220" s="18" t="s">
        <v>31</v>
      </c>
      <c r="E220" s="22" t="s">
        <v>70</v>
      </c>
      <c r="F220" s="37" t="s">
        <v>92</v>
      </c>
      <c r="G220" s="22" t="s">
        <v>77</v>
      </c>
      <c r="H220" s="22" t="s">
        <v>41</v>
      </c>
      <c r="I220" s="21">
        <v>-81.400000000000006</v>
      </c>
      <c r="J220" s="19">
        <f t="shared" si="26"/>
        <v>-81.400000000101869</v>
      </c>
      <c r="M220"/>
    </row>
    <row r="221" spans="1:13" x14ac:dyDescent="0.2">
      <c r="A221" s="16">
        <f t="shared" si="20"/>
        <v>220</v>
      </c>
      <c r="B221" s="17">
        <v>46118</v>
      </c>
      <c r="C221" s="4">
        <f>IF(B221="","",YEAR(B221))</f>
        <v>2026</v>
      </c>
      <c r="D221" s="18" t="s">
        <v>34</v>
      </c>
      <c r="E221" s="18"/>
      <c r="F221" t="s">
        <v>38</v>
      </c>
      <c r="G221" s="22" t="s">
        <v>34</v>
      </c>
      <c r="H221" s="22" t="s">
        <v>41</v>
      </c>
      <c r="I221" s="21">
        <v>81.400000000000006</v>
      </c>
      <c r="J221" s="19">
        <f t="shared" si="26"/>
        <v>-1.0186340659856796E-10</v>
      </c>
      <c r="M221"/>
    </row>
    <row r="222" spans="1:13" x14ac:dyDescent="0.2">
      <c r="A222" s="16">
        <f t="shared" si="20"/>
        <v>221</v>
      </c>
      <c r="B222" s="17">
        <v>46122</v>
      </c>
      <c r="C222" s="4">
        <f>IF(B222="","",YEAR(B222))</f>
        <v>2026</v>
      </c>
      <c r="D222" s="18" t="s">
        <v>101</v>
      </c>
      <c r="E222" s="22" t="s">
        <v>70</v>
      </c>
      <c r="F222" t="s">
        <v>91</v>
      </c>
      <c r="G222" s="22" t="s">
        <v>118</v>
      </c>
      <c r="H222" s="22" t="s">
        <v>126</v>
      </c>
      <c r="I222" s="21">
        <v>-377</v>
      </c>
      <c r="J222" s="19">
        <f t="shared" si="26"/>
        <v>-377.00000000010186</v>
      </c>
      <c r="M222"/>
    </row>
    <row r="223" spans="1:13" x14ac:dyDescent="0.2">
      <c r="A223" s="16">
        <f t="shared" si="20"/>
        <v>222</v>
      </c>
      <c r="B223" s="17">
        <v>46122</v>
      </c>
      <c r="C223" s="4">
        <f>IF(B223="","",YEAR(B223))</f>
        <v>2026</v>
      </c>
      <c r="D223" s="18" t="s">
        <v>34</v>
      </c>
      <c r="E223" s="18"/>
      <c r="F223" t="s">
        <v>38</v>
      </c>
      <c r="G223" s="22" t="s">
        <v>34</v>
      </c>
      <c r="H223" s="22" t="s">
        <v>41</v>
      </c>
      <c r="I223" s="21">
        <v>377</v>
      </c>
      <c r="J223" s="19">
        <f t="shared" si="26"/>
        <v>-1.0186340659856796E-10</v>
      </c>
    </row>
    <row r="224" spans="1:13" x14ac:dyDescent="0.2">
      <c r="A224" s="16">
        <f t="shared" si="20"/>
        <v>223</v>
      </c>
      <c r="B224" s="17">
        <v>46147</v>
      </c>
      <c r="C224" s="4">
        <f t="shared" ref="C224:C225" si="28">IF(B224="","",YEAR(B224))</f>
        <v>2026</v>
      </c>
      <c r="D224" s="18" t="s">
        <v>101</v>
      </c>
      <c r="E224" s="22" t="s">
        <v>70</v>
      </c>
      <c r="F224" t="s">
        <v>91</v>
      </c>
      <c r="G224" s="22" t="s">
        <v>118</v>
      </c>
      <c r="H224" s="22" t="s">
        <v>124</v>
      </c>
      <c r="I224" s="21">
        <v>-377</v>
      </c>
      <c r="J224" s="19">
        <f t="shared" si="26"/>
        <v>-377.00000000010186</v>
      </c>
      <c r="M224"/>
    </row>
    <row r="225" spans="1:13" x14ac:dyDescent="0.2">
      <c r="A225" s="16">
        <f t="shared" si="20"/>
        <v>224</v>
      </c>
      <c r="B225" s="17">
        <v>46147</v>
      </c>
      <c r="C225" s="4">
        <f t="shared" si="28"/>
        <v>2026</v>
      </c>
      <c r="D225" s="18" t="s">
        <v>101</v>
      </c>
      <c r="E225" s="22" t="s">
        <v>70</v>
      </c>
      <c r="F225" t="s">
        <v>91</v>
      </c>
      <c r="G225" s="22" t="s">
        <v>118</v>
      </c>
      <c r="H225" s="22" t="s">
        <v>124</v>
      </c>
      <c r="I225" s="21">
        <v>-1621</v>
      </c>
      <c r="J225" s="19">
        <f t="shared" si="26"/>
        <v>-1998.0000000001019</v>
      </c>
      <c r="M225"/>
    </row>
    <row r="226" spans="1:13" x14ac:dyDescent="0.2">
      <c r="A226" s="16">
        <f t="shared" si="20"/>
        <v>225</v>
      </c>
      <c r="B226" s="17">
        <v>46147</v>
      </c>
      <c r="C226" s="4">
        <f>IF(B226="","",YEAR(B226))</f>
        <v>2026</v>
      </c>
      <c r="D226" s="18" t="s">
        <v>34</v>
      </c>
      <c r="E226" s="18"/>
      <c r="F226" t="s">
        <v>38</v>
      </c>
      <c r="G226" s="22" t="s">
        <v>34</v>
      </c>
      <c r="H226" s="22" t="s">
        <v>41</v>
      </c>
      <c r="I226" s="21">
        <v>1998</v>
      </c>
      <c r="J226" s="19">
        <f t="shared" si="26"/>
        <v>-1.0186340659856796E-10</v>
      </c>
      <c r="M226"/>
    </row>
    <row r="227" spans="1:13" x14ac:dyDescent="0.2">
      <c r="A227" s="16">
        <f t="shared" si="20"/>
        <v>226</v>
      </c>
      <c r="B227" s="17">
        <v>46148</v>
      </c>
      <c r="C227" s="39">
        <f t="shared" ref="C227" si="29">IF(B227="","",YEAR(B227))</f>
        <v>2026</v>
      </c>
      <c r="D227" s="18" t="s">
        <v>31</v>
      </c>
      <c r="E227" s="22" t="s">
        <v>70</v>
      </c>
      <c r="F227" s="37" t="s">
        <v>92</v>
      </c>
      <c r="G227" s="22" t="s">
        <v>77</v>
      </c>
      <c r="H227" s="22" t="s">
        <v>41</v>
      </c>
      <c r="I227" s="21">
        <v>-93.1</v>
      </c>
      <c r="J227" s="19">
        <f t="shared" si="26"/>
        <v>-93.100000000101858</v>
      </c>
      <c r="M227"/>
    </row>
    <row r="228" spans="1:13" x14ac:dyDescent="0.2">
      <c r="A228" s="16">
        <f t="shared" si="20"/>
        <v>227</v>
      </c>
      <c r="B228" s="17">
        <v>46148</v>
      </c>
      <c r="C228" s="4">
        <f>IF(B228="","",YEAR(B228))</f>
        <v>2026</v>
      </c>
      <c r="D228" s="18" t="s">
        <v>34</v>
      </c>
      <c r="E228" s="18"/>
      <c r="F228" t="s">
        <v>38</v>
      </c>
      <c r="G228" s="22" t="s">
        <v>34</v>
      </c>
      <c r="H228" s="22" t="s">
        <v>41</v>
      </c>
      <c r="I228" s="21">
        <v>93.1</v>
      </c>
      <c r="J228" s="19">
        <f t="shared" si="26"/>
        <v>-1.0186340659856796E-10</v>
      </c>
      <c r="M228"/>
    </row>
    <row r="229" spans="1:13" x14ac:dyDescent="0.2">
      <c r="A229" s="16">
        <f t="shared" si="20"/>
        <v>228</v>
      </c>
      <c r="B229" s="17">
        <v>46153</v>
      </c>
      <c r="C229" s="4">
        <f>IF(B229="","",YEAR(B229))</f>
        <v>2026</v>
      </c>
      <c r="D229" s="18" t="s">
        <v>101</v>
      </c>
      <c r="E229" s="22" t="s">
        <v>70</v>
      </c>
      <c r="F229" t="s">
        <v>91</v>
      </c>
      <c r="G229" s="22" t="s">
        <v>118</v>
      </c>
      <c r="H229" s="22" t="s">
        <v>126</v>
      </c>
      <c r="I229" s="21">
        <v>-377</v>
      </c>
      <c r="J229" s="19">
        <f t="shared" si="26"/>
        <v>-377.00000000010186</v>
      </c>
      <c r="M229"/>
    </row>
    <row r="230" spans="1:13" x14ac:dyDescent="0.2">
      <c r="A230" s="16">
        <f t="shared" si="20"/>
        <v>229</v>
      </c>
      <c r="B230" s="17">
        <v>46153</v>
      </c>
      <c r="C230" s="4">
        <f>IF(B230="","",YEAR(B230))</f>
        <v>2026</v>
      </c>
      <c r="D230" s="18" t="s">
        <v>34</v>
      </c>
      <c r="E230" s="18"/>
      <c r="F230" t="s">
        <v>38</v>
      </c>
      <c r="G230" s="22" t="s">
        <v>34</v>
      </c>
      <c r="H230" s="22" t="s">
        <v>41</v>
      </c>
      <c r="I230" s="21">
        <v>377</v>
      </c>
      <c r="J230" s="19">
        <f t="shared" si="26"/>
        <v>-1.0186340659856796E-10</v>
      </c>
    </row>
    <row r="231" spans="1:13" x14ac:dyDescent="0.2">
      <c r="A231" s="16">
        <f t="shared" si="20"/>
        <v>230</v>
      </c>
      <c r="B231" s="17">
        <v>46178</v>
      </c>
      <c r="C231" s="4">
        <f t="shared" ref="C231:C233" si="30">IF(B231="","",YEAR(B231))</f>
        <v>2026</v>
      </c>
      <c r="D231" s="18" t="s">
        <v>101</v>
      </c>
      <c r="E231" s="22" t="s">
        <v>70</v>
      </c>
      <c r="F231" t="s">
        <v>91</v>
      </c>
      <c r="G231" s="22" t="s">
        <v>118</v>
      </c>
      <c r="H231" s="22" t="s">
        <v>124</v>
      </c>
      <c r="I231" s="21">
        <v>-377</v>
      </c>
      <c r="J231" s="19">
        <f t="shared" si="26"/>
        <v>-377.00000000010186</v>
      </c>
      <c r="M231"/>
    </row>
    <row r="232" spans="1:13" x14ac:dyDescent="0.2">
      <c r="A232" s="16">
        <f t="shared" si="20"/>
        <v>231</v>
      </c>
      <c r="B232" s="17">
        <v>46178</v>
      </c>
      <c r="C232" s="4">
        <f t="shared" si="30"/>
        <v>2026</v>
      </c>
      <c r="D232" s="18" t="s">
        <v>101</v>
      </c>
      <c r="E232" s="22" t="s">
        <v>70</v>
      </c>
      <c r="F232" t="s">
        <v>91</v>
      </c>
      <c r="G232" s="22" t="s">
        <v>118</v>
      </c>
      <c r="H232" s="22" t="s">
        <v>124</v>
      </c>
      <c r="I232" s="21">
        <v>-1621</v>
      </c>
      <c r="J232" s="19">
        <f t="shared" si="26"/>
        <v>-1998.0000000001019</v>
      </c>
      <c r="M232"/>
    </row>
    <row r="233" spans="1:13" x14ac:dyDescent="0.2">
      <c r="A233" s="16">
        <f t="shared" si="20"/>
        <v>232</v>
      </c>
      <c r="B233" s="17">
        <v>46178</v>
      </c>
      <c r="C233" s="39">
        <f t="shared" si="30"/>
        <v>2026</v>
      </c>
      <c r="D233" s="18" t="s">
        <v>31</v>
      </c>
      <c r="E233" s="22" t="s">
        <v>70</v>
      </c>
      <c r="F233" s="37" t="s">
        <v>92</v>
      </c>
      <c r="G233" s="22" t="s">
        <v>77</v>
      </c>
      <c r="H233" s="22" t="s">
        <v>41</v>
      </c>
      <c r="I233" s="21">
        <v>-93.1</v>
      </c>
      <c r="J233" s="19">
        <f t="shared" si="26"/>
        <v>-2091.1000000001018</v>
      </c>
      <c r="M233"/>
    </row>
    <row r="234" spans="1:13" x14ac:dyDescent="0.2">
      <c r="A234" s="16">
        <f t="shared" si="20"/>
        <v>233</v>
      </c>
      <c r="B234" s="17">
        <v>46178</v>
      </c>
      <c r="C234" s="4">
        <f>IF(B234="","",YEAR(B234))</f>
        <v>2026</v>
      </c>
      <c r="D234" s="18" t="s">
        <v>34</v>
      </c>
      <c r="E234" s="18"/>
      <c r="F234" t="s">
        <v>38</v>
      </c>
      <c r="G234" s="22" t="s">
        <v>34</v>
      </c>
      <c r="H234" s="22" t="s">
        <v>41</v>
      </c>
      <c r="I234" s="21">
        <v>2091.1</v>
      </c>
      <c r="J234" s="19">
        <f t="shared" si="26"/>
        <v>-1.0186340659856796E-10</v>
      </c>
      <c r="M234"/>
    </row>
    <row r="235" spans="1:13" x14ac:dyDescent="0.2">
      <c r="A235" s="16">
        <f t="shared" si="20"/>
        <v>234</v>
      </c>
      <c r="B235" s="17">
        <v>46183</v>
      </c>
      <c r="C235" s="4">
        <f>IF(B235="","",YEAR(B235))</f>
        <v>2026</v>
      </c>
      <c r="D235" s="18" t="s">
        <v>101</v>
      </c>
      <c r="E235" s="22" t="s">
        <v>70</v>
      </c>
      <c r="F235" t="s">
        <v>91</v>
      </c>
      <c r="G235" s="22" t="s">
        <v>118</v>
      </c>
      <c r="H235" s="22" t="s">
        <v>126</v>
      </c>
      <c r="I235" s="21">
        <v>-377</v>
      </c>
      <c r="J235" s="19">
        <f t="shared" si="26"/>
        <v>-377.00000000010186</v>
      </c>
      <c r="M235"/>
    </row>
    <row r="236" spans="1:13" x14ac:dyDescent="0.2">
      <c r="A236" s="16">
        <f t="shared" si="20"/>
        <v>235</v>
      </c>
      <c r="B236" s="17">
        <v>46183</v>
      </c>
      <c r="C236" s="4">
        <f>IF(B236="","",YEAR(B236))</f>
        <v>2026</v>
      </c>
      <c r="D236" s="18" t="s">
        <v>34</v>
      </c>
      <c r="E236" s="18"/>
      <c r="F236" t="s">
        <v>38</v>
      </c>
      <c r="G236" s="22" t="s">
        <v>34</v>
      </c>
      <c r="H236" s="22" t="s">
        <v>41</v>
      </c>
      <c r="I236" s="21">
        <v>377</v>
      </c>
      <c r="J236" s="19">
        <f t="shared" si="26"/>
        <v>-1.0186340659856796E-10</v>
      </c>
      <c r="M236"/>
    </row>
    <row r="237" spans="1:13" x14ac:dyDescent="0.2">
      <c r="A237" s="16">
        <f t="shared" si="20"/>
        <v>236</v>
      </c>
      <c r="B237" s="17">
        <v>46190</v>
      </c>
      <c r="C237" s="4">
        <f t="shared" ref="C237" si="31">IF(B237="","",YEAR(B237))</f>
        <v>2026</v>
      </c>
      <c r="D237" s="18" t="s">
        <v>73</v>
      </c>
      <c r="E237" s="22" t="s">
        <v>70</v>
      </c>
      <c r="F237" t="s">
        <v>91</v>
      </c>
      <c r="G237" s="22" t="s">
        <v>47</v>
      </c>
      <c r="H237" s="22" t="s">
        <v>154</v>
      </c>
      <c r="I237" s="21">
        <v>-935.39</v>
      </c>
      <c r="J237" s="19">
        <f t="shared" si="26"/>
        <v>-935.39000000010185</v>
      </c>
      <c r="M237"/>
    </row>
    <row r="238" spans="1:13" x14ac:dyDescent="0.2">
      <c r="A238" s="16">
        <f t="shared" si="20"/>
        <v>237</v>
      </c>
      <c r="B238" s="17">
        <v>46190</v>
      </c>
      <c r="C238" s="4">
        <f>IF(B238="","",YEAR(B238))</f>
        <v>2026</v>
      </c>
      <c r="D238" s="18" t="s">
        <v>34</v>
      </c>
      <c r="E238" s="18"/>
      <c r="F238" t="s">
        <v>38</v>
      </c>
      <c r="G238" s="22" t="s">
        <v>34</v>
      </c>
      <c r="H238" s="22" t="s">
        <v>41</v>
      </c>
      <c r="I238" s="21">
        <v>935.39</v>
      </c>
      <c r="J238" s="19">
        <f t="shared" si="26"/>
        <v>-1.0186340659856796E-10</v>
      </c>
    </row>
    <row r="239" spans="1:13" x14ac:dyDescent="0.2">
      <c r="A239" s="16">
        <f t="shared" si="20"/>
        <v>238</v>
      </c>
      <c r="B239" s="17">
        <v>46209</v>
      </c>
      <c r="C239" s="39">
        <f t="shared" ref="C239" si="32">IF(B239="","",YEAR(B239))</f>
        <v>2026</v>
      </c>
      <c r="D239" s="18" t="s">
        <v>31</v>
      </c>
      <c r="E239" s="22" t="s">
        <v>70</v>
      </c>
      <c r="F239" s="37" t="s">
        <v>92</v>
      </c>
      <c r="G239" s="22" t="s">
        <v>77</v>
      </c>
      <c r="H239" s="22" t="s">
        <v>41</v>
      </c>
      <c r="I239" s="21">
        <v>-93.1</v>
      </c>
      <c r="J239" s="19">
        <f t="shared" si="26"/>
        <v>-93.100000000101858</v>
      </c>
      <c r="M239"/>
    </row>
    <row r="240" spans="1:13" x14ac:dyDescent="0.2">
      <c r="A240" s="16">
        <f t="shared" si="20"/>
        <v>239</v>
      </c>
      <c r="B240" s="17">
        <v>46209</v>
      </c>
      <c r="C240" s="4">
        <f>IF(B240="","",YEAR(B240))</f>
        <v>2026</v>
      </c>
      <c r="D240" s="18" t="s">
        <v>34</v>
      </c>
      <c r="E240" s="18"/>
      <c r="F240" t="s">
        <v>38</v>
      </c>
      <c r="G240" s="22" t="s">
        <v>34</v>
      </c>
      <c r="H240" s="22" t="s">
        <v>41</v>
      </c>
      <c r="I240" s="21">
        <v>93.1</v>
      </c>
      <c r="J240" s="19">
        <f t="shared" si="26"/>
        <v>-1.0186340659856796E-10</v>
      </c>
      <c r="M240"/>
    </row>
    <row r="241" spans="1:14" x14ac:dyDescent="0.2">
      <c r="A241" s="16">
        <f t="shared" si="20"/>
        <v>240</v>
      </c>
      <c r="B241" s="17">
        <v>46213</v>
      </c>
      <c r="C241" s="4">
        <f t="shared" ref="C241:C242" si="33">IF(B241="","",YEAR(B241))</f>
        <v>2026</v>
      </c>
      <c r="D241" s="18" t="s">
        <v>101</v>
      </c>
      <c r="E241" s="22" t="s">
        <v>70</v>
      </c>
      <c r="F241" t="s">
        <v>91</v>
      </c>
      <c r="G241" s="22" t="s">
        <v>118</v>
      </c>
      <c r="H241" s="22" t="s">
        <v>124</v>
      </c>
      <c r="I241" s="21">
        <v>-377</v>
      </c>
      <c r="J241" s="19">
        <f t="shared" si="26"/>
        <v>-377.00000000010186</v>
      </c>
      <c r="M241"/>
    </row>
    <row r="242" spans="1:14" x14ac:dyDescent="0.2">
      <c r="A242" s="16">
        <f t="shared" si="20"/>
        <v>241</v>
      </c>
      <c r="B242" s="17">
        <v>46213</v>
      </c>
      <c r="C242" s="4">
        <f t="shared" si="33"/>
        <v>2026</v>
      </c>
      <c r="D242" s="18" t="s">
        <v>101</v>
      </c>
      <c r="E242" s="22" t="s">
        <v>70</v>
      </c>
      <c r="F242" t="s">
        <v>91</v>
      </c>
      <c r="G242" s="22" t="s">
        <v>118</v>
      </c>
      <c r="H242" s="22" t="s">
        <v>124</v>
      </c>
      <c r="I242" s="21">
        <v>-1621</v>
      </c>
      <c r="J242" s="19">
        <f t="shared" si="26"/>
        <v>-1998.0000000001019</v>
      </c>
      <c r="M242"/>
    </row>
    <row r="243" spans="1:14" x14ac:dyDescent="0.2">
      <c r="A243" s="16">
        <f t="shared" si="20"/>
        <v>242</v>
      </c>
      <c r="B243" s="17">
        <v>46213</v>
      </c>
      <c r="C243" s="4">
        <f>IF(B243="","",YEAR(B243))</f>
        <v>2026</v>
      </c>
      <c r="D243" s="18" t="s">
        <v>101</v>
      </c>
      <c r="E243" s="22" t="s">
        <v>70</v>
      </c>
      <c r="F243" t="s">
        <v>91</v>
      </c>
      <c r="G243" s="22" t="s">
        <v>118</v>
      </c>
      <c r="H243" s="22" t="s">
        <v>126</v>
      </c>
      <c r="I243" s="21">
        <v>-377</v>
      </c>
      <c r="J243" s="19">
        <f t="shared" si="26"/>
        <v>-2375.0000000001019</v>
      </c>
      <c r="M243"/>
    </row>
    <row r="244" spans="1:14" x14ac:dyDescent="0.2">
      <c r="A244" s="16">
        <f t="shared" si="20"/>
        <v>243</v>
      </c>
      <c r="B244" s="17">
        <v>46213</v>
      </c>
      <c r="C244" s="4">
        <f>IF(B244="","",YEAR(B244))</f>
        <v>2026</v>
      </c>
      <c r="D244" s="18" t="s">
        <v>34</v>
      </c>
      <c r="E244" s="18"/>
      <c r="F244" t="s">
        <v>38</v>
      </c>
      <c r="G244" s="22" t="s">
        <v>34</v>
      </c>
      <c r="H244" s="22" t="s">
        <v>41</v>
      </c>
      <c r="I244" s="21">
        <v>2375</v>
      </c>
      <c r="J244" s="19">
        <f t="shared" si="26"/>
        <v>-1.0186340659856796E-10</v>
      </c>
      <c r="M244"/>
    </row>
    <row r="245" spans="1:14" x14ac:dyDescent="0.2">
      <c r="A245" s="16">
        <f t="shared" si="20"/>
        <v>244</v>
      </c>
      <c r="B245" s="17">
        <v>46239</v>
      </c>
      <c r="C245" s="4">
        <f t="shared" ref="C245:C247" si="34">IF(B245="","",YEAR(B245))</f>
        <v>2026</v>
      </c>
      <c r="D245" s="18" t="s">
        <v>101</v>
      </c>
      <c r="E245" s="22" t="s">
        <v>70</v>
      </c>
      <c r="F245" t="s">
        <v>91</v>
      </c>
      <c r="G245" s="22" t="s">
        <v>118</v>
      </c>
      <c r="H245" s="22" t="s">
        <v>124</v>
      </c>
      <c r="I245" s="21">
        <v>-377</v>
      </c>
      <c r="J245" s="19">
        <f t="shared" si="26"/>
        <v>-377.00000000010186</v>
      </c>
      <c r="M245"/>
    </row>
    <row r="246" spans="1:14" x14ac:dyDescent="0.2">
      <c r="A246" s="16">
        <f t="shared" si="20"/>
        <v>245</v>
      </c>
      <c r="B246" s="17">
        <v>46239</v>
      </c>
      <c r="C246" s="4">
        <f t="shared" si="34"/>
        <v>2026</v>
      </c>
      <c r="D246" s="18" t="s">
        <v>101</v>
      </c>
      <c r="E246" s="22" t="s">
        <v>70</v>
      </c>
      <c r="F246" t="s">
        <v>91</v>
      </c>
      <c r="G246" s="22" t="s">
        <v>118</v>
      </c>
      <c r="H246" s="22" t="s">
        <v>124</v>
      </c>
      <c r="I246" s="21">
        <v>-1621</v>
      </c>
      <c r="J246" s="19">
        <f t="shared" si="26"/>
        <v>-1998.0000000001019</v>
      </c>
      <c r="M246"/>
    </row>
    <row r="247" spans="1:14" x14ac:dyDescent="0.2">
      <c r="A247" s="16">
        <f t="shared" si="20"/>
        <v>246</v>
      </c>
      <c r="B247" s="17">
        <v>46239</v>
      </c>
      <c r="C247" s="39">
        <f t="shared" si="34"/>
        <v>2026</v>
      </c>
      <c r="D247" s="18" t="s">
        <v>31</v>
      </c>
      <c r="E247" s="22" t="s">
        <v>70</v>
      </c>
      <c r="F247" s="37" t="s">
        <v>92</v>
      </c>
      <c r="G247" s="22" t="s">
        <v>77</v>
      </c>
      <c r="H247" s="22" t="s">
        <v>41</v>
      </c>
      <c r="I247" s="21">
        <v>-93.1</v>
      </c>
      <c r="J247" s="19">
        <f t="shared" si="26"/>
        <v>-2091.1000000001018</v>
      </c>
      <c r="M247"/>
    </row>
    <row r="248" spans="1:14" x14ac:dyDescent="0.2">
      <c r="A248" s="16">
        <f t="shared" si="20"/>
        <v>247</v>
      </c>
      <c r="B248" s="17">
        <v>46239</v>
      </c>
      <c r="C248" s="4">
        <f>IF(B248="","",YEAR(B248))</f>
        <v>2026</v>
      </c>
      <c r="D248" s="18" t="s">
        <v>34</v>
      </c>
      <c r="E248" s="18"/>
      <c r="F248" t="s">
        <v>38</v>
      </c>
      <c r="G248" s="22" t="s">
        <v>34</v>
      </c>
      <c r="H248" s="22" t="s">
        <v>41</v>
      </c>
      <c r="I248" s="21">
        <v>2091.1</v>
      </c>
      <c r="J248" s="19">
        <f t="shared" si="26"/>
        <v>-1.0186340659856796E-10</v>
      </c>
      <c r="M248"/>
    </row>
    <row r="249" spans="1:14" x14ac:dyDescent="0.2">
      <c r="A249" s="16">
        <f t="shared" si="20"/>
        <v>248</v>
      </c>
      <c r="B249" s="17">
        <v>46244</v>
      </c>
      <c r="C249" s="4">
        <f>IF(B249="","",YEAR(B249))</f>
        <v>2026</v>
      </c>
      <c r="D249" s="18" t="s">
        <v>101</v>
      </c>
      <c r="E249" s="22" t="s">
        <v>70</v>
      </c>
      <c r="F249" t="s">
        <v>91</v>
      </c>
      <c r="G249" s="22" t="s">
        <v>118</v>
      </c>
      <c r="H249" s="22" t="s">
        <v>126</v>
      </c>
      <c r="I249" s="21">
        <v>-377</v>
      </c>
      <c r="J249" s="19">
        <f t="shared" si="26"/>
        <v>-377.00000000010186</v>
      </c>
      <c r="M249"/>
    </row>
    <row r="250" spans="1:14" x14ac:dyDescent="0.2">
      <c r="A250" s="16">
        <f t="shared" si="20"/>
        <v>249</v>
      </c>
      <c r="B250" s="17">
        <v>46244</v>
      </c>
      <c r="C250" s="4">
        <f>IF(B250="","",YEAR(B250))</f>
        <v>2026</v>
      </c>
      <c r="D250" s="18" t="s">
        <v>34</v>
      </c>
      <c r="E250" s="18"/>
      <c r="F250" t="s">
        <v>38</v>
      </c>
      <c r="G250" s="22" t="s">
        <v>34</v>
      </c>
      <c r="H250" s="22" t="s">
        <v>41</v>
      </c>
      <c r="I250" s="21">
        <v>377</v>
      </c>
      <c r="J250" s="19">
        <f t="shared" si="26"/>
        <v>-1.0186340659856796E-10</v>
      </c>
      <c r="M250"/>
    </row>
    <row r="251" spans="1:14" x14ac:dyDescent="0.2">
      <c r="A251" s="16">
        <f t="shared" si="20"/>
        <v>250</v>
      </c>
      <c r="B251" s="17">
        <v>46262</v>
      </c>
      <c r="C251" s="4">
        <f t="shared" ref="C251:C254" si="35">IF(B251="","",YEAR(B251))</f>
        <v>2026</v>
      </c>
      <c r="D251" s="18" t="s">
        <v>120</v>
      </c>
      <c r="E251" s="22" t="s">
        <v>71</v>
      </c>
      <c r="F251" t="s">
        <v>48</v>
      </c>
      <c r="G251" s="22" t="s">
        <v>49</v>
      </c>
      <c r="H251" s="18" t="s">
        <v>114</v>
      </c>
      <c r="I251" s="21">
        <v>21578.02</v>
      </c>
      <c r="J251" s="19">
        <f t="shared" si="26"/>
        <v>21578.019999999899</v>
      </c>
    </row>
    <row r="252" spans="1:14" x14ac:dyDescent="0.2">
      <c r="A252" s="16">
        <f t="shared" si="20"/>
        <v>251</v>
      </c>
      <c r="B252" s="17">
        <v>46269</v>
      </c>
      <c r="C252" s="4">
        <f t="shared" si="35"/>
        <v>2026</v>
      </c>
      <c r="D252" s="18" t="s">
        <v>101</v>
      </c>
      <c r="E252" s="22" t="s">
        <v>70</v>
      </c>
      <c r="F252" t="s">
        <v>91</v>
      </c>
      <c r="G252" s="22" t="s">
        <v>118</v>
      </c>
      <c r="H252" s="22" t="s">
        <v>168</v>
      </c>
      <c r="I252" s="21">
        <v>-377</v>
      </c>
      <c r="J252" s="19">
        <f t="shared" si="26"/>
        <v>21201.019999999899</v>
      </c>
      <c r="M252"/>
    </row>
    <row r="253" spans="1:14" x14ac:dyDescent="0.2">
      <c r="A253" s="16">
        <f t="shared" si="20"/>
        <v>252</v>
      </c>
      <c r="B253" s="17">
        <v>46269</v>
      </c>
      <c r="C253" s="4">
        <f t="shared" si="35"/>
        <v>2026</v>
      </c>
      <c r="D253" s="18" t="s">
        <v>101</v>
      </c>
      <c r="E253" s="22" t="s">
        <v>70</v>
      </c>
      <c r="F253" t="s">
        <v>91</v>
      </c>
      <c r="G253" s="22" t="s">
        <v>118</v>
      </c>
      <c r="H253" s="22" t="s">
        <v>168</v>
      </c>
      <c r="I253" s="21">
        <v>-1621</v>
      </c>
      <c r="J253" s="19">
        <f t="shared" si="26"/>
        <v>19580.019999999899</v>
      </c>
      <c r="M253"/>
    </row>
    <row r="254" spans="1:14" x14ac:dyDescent="0.2">
      <c r="A254" s="16">
        <f t="shared" si="20"/>
        <v>253</v>
      </c>
      <c r="B254" s="17">
        <v>46273</v>
      </c>
      <c r="C254" s="39">
        <f t="shared" si="35"/>
        <v>2026</v>
      </c>
      <c r="D254" s="18" t="s">
        <v>31</v>
      </c>
      <c r="E254" s="22" t="s">
        <v>70</v>
      </c>
      <c r="F254" s="37" t="s">
        <v>92</v>
      </c>
      <c r="G254" s="22" t="s">
        <v>77</v>
      </c>
      <c r="H254" s="22" t="s">
        <v>41</v>
      </c>
      <c r="I254" s="21">
        <v>-93.1</v>
      </c>
      <c r="J254" s="19">
        <f t="shared" si="26"/>
        <v>19486.9199999999</v>
      </c>
      <c r="M254"/>
    </row>
    <row r="255" spans="1:14" x14ac:dyDescent="0.2">
      <c r="A255" s="16">
        <f t="shared" si="20"/>
        <v>254</v>
      </c>
      <c r="B255" s="17">
        <v>46275</v>
      </c>
      <c r="C255" s="4">
        <f>IF(B255="","",YEAR(B255))</f>
        <v>2026</v>
      </c>
      <c r="D255" s="18" t="s">
        <v>101</v>
      </c>
      <c r="E255" s="22" t="s">
        <v>70</v>
      </c>
      <c r="F255" t="s">
        <v>91</v>
      </c>
      <c r="G255" s="22" t="s">
        <v>118</v>
      </c>
      <c r="H255" s="22" t="s">
        <v>126</v>
      </c>
      <c r="I255" s="21">
        <v>-361.31</v>
      </c>
      <c r="J255" s="19">
        <f t="shared" si="26"/>
        <v>19125.609999999899</v>
      </c>
      <c r="M255"/>
    </row>
    <row r="256" spans="1:14" x14ac:dyDescent="0.2">
      <c r="A256" s="16">
        <f t="shared" si="20"/>
        <v>255</v>
      </c>
      <c r="B256" s="17">
        <v>46295</v>
      </c>
      <c r="C256" s="4">
        <f t="shared" ref="C256" si="36">IF(B256="","",YEAR(B256))</f>
        <v>2026</v>
      </c>
      <c r="D256" s="18" t="s">
        <v>120</v>
      </c>
      <c r="E256" s="22" t="s">
        <v>71</v>
      </c>
      <c r="F256" t="s">
        <v>48</v>
      </c>
      <c r="G256" s="22" t="s">
        <v>49</v>
      </c>
      <c r="H256" s="18" t="s">
        <v>114</v>
      </c>
      <c r="I256" s="21">
        <v>21578.02</v>
      </c>
      <c r="J256" s="19">
        <f t="shared" si="26"/>
        <v>40703.629999999903</v>
      </c>
      <c r="L256" s="53">
        <f>J256/M256</f>
        <v>6783.9383333333171</v>
      </c>
      <c r="M256" s="86">
        <f>[1]CONTAS!$I$2</f>
        <v>6</v>
      </c>
      <c r="N256" s="87" t="s">
        <v>104</v>
      </c>
    </row>
    <row r="257" spans="1:13" x14ac:dyDescent="0.2">
      <c r="A257" s="16">
        <v>1</v>
      </c>
      <c r="B257" s="17">
        <v>44530</v>
      </c>
      <c r="C257" s="39">
        <f>IF(B257="","",YEAR(B257))</f>
        <v>2021</v>
      </c>
      <c r="D257" s="18" t="s">
        <v>27</v>
      </c>
      <c r="E257" s="18"/>
      <c r="G257" s="18"/>
      <c r="H257" s="18"/>
      <c r="I257" s="21">
        <v>0</v>
      </c>
      <c r="J257" s="19">
        <f>I257</f>
        <v>0</v>
      </c>
      <c r="K257" s="4"/>
    </row>
    <row r="258" spans="1:13" x14ac:dyDescent="0.2">
      <c r="A258" s="16">
        <f t="shared" ref="A258:A321" si="37">A257+1</f>
        <v>2</v>
      </c>
      <c r="B258" s="17">
        <v>44553</v>
      </c>
      <c r="C258" s="39">
        <f t="shared" ref="C258:C321" si="38">IF(B258="","",YEAR(B258))</f>
        <v>2021</v>
      </c>
      <c r="D258" s="18" t="s">
        <v>33</v>
      </c>
      <c r="E258" s="18"/>
      <c r="F258" s="37" t="s">
        <v>38</v>
      </c>
      <c r="G258" s="18" t="s">
        <v>33</v>
      </c>
      <c r="H258" s="22" t="s">
        <v>41</v>
      </c>
      <c r="I258" s="21">
        <v>600000</v>
      </c>
      <c r="J258" s="19">
        <f t="shared" si="5"/>
        <v>600000</v>
      </c>
      <c r="K258" s="4"/>
      <c r="M258"/>
    </row>
    <row r="259" spans="1:13" x14ac:dyDescent="0.2">
      <c r="A259" s="16">
        <f t="shared" si="37"/>
        <v>3</v>
      </c>
      <c r="B259" s="17">
        <v>44558</v>
      </c>
      <c r="C259" s="39">
        <f t="shared" si="38"/>
        <v>2021</v>
      </c>
      <c r="D259" s="18" t="s">
        <v>34</v>
      </c>
      <c r="E259" s="18"/>
      <c r="F259" s="37" t="s">
        <v>38</v>
      </c>
      <c r="G259" s="18" t="s">
        <v>34</v>
      </c>
      <c r="H259" s="22" t="s">
        <v>41</v>
      </c>
      <c r="I259" s="21">
        <v>-600000</v>
      </c>
      <c r="J259" s="19">
        <f t="shared" si="5"/>
        <v>0</v>
      </c>
      <c r="K259" s="4"/>
      <c r="M259"/>
    </row>
    <row r="260" spans="1:13" x14ac:dyDescent="0.2">
      <c r="A260" s="16">
        <f t="shared" si="37"/>
        <v>4</v>
      </c>
      <c r="B260" s="17">
        <v>44561</v>
      </c>
      <c r="C260" s="39">
        <f t="shared" si="38"/>
        <v>2021</v>
      </c>
      <c r="D260" s="18" t="s">
        <v>35</v>
      </c>
      <c r="E260" s="22" t="s">
        <v>71</v>
      </c>
      <c r="F260" s="37" t="s">
        <v>68</v>
      </c>
      <c r="G260" s="22" t="s">
        <v>155</v>
      </c>
      <c r="H260" s="18"/>
      <c r="I260" s="21">
        <v>536.34</v>
      </c>
      <c r="J260" s="19">
        <f t="shared" si="5"/>
        <v>536.34</v>
      </c>
      <c r="K260" s="4"/>
      <c r="M260"/>
    </row>
    <row r="261" spans="1:13" x14ac:dyDescent="0.2">
      <c r="A261" s="16">
        <f t="shared" si="37"/>
        <v>5</v>
      </c>
      <c r="B261" s="17">
        <v>44561</v>
      </c>
      <c r="C261" s="39">
        <f t="shared" si="38"/>
        <v>2021</v>
      </c>
      <c r="D261" s="18" t="s">
        <v>36</v>
      </c>
      <c r="E261" s="22" t="s">
        <v>70</v>
      </c>
      <c r="F261" s="37" t="s">
        <v>79</v>
      </c>
      <c r="G261" s="18" t="s">
        <v>93</v>
      </c>
      <c r="H261" s="18"/>
      <c r="I261" s="21">
        <v>-20.5</v>
      </c>
      <c r="J261" s="19">
        <f t="shared" ref="J261" si="39">IF(I261="",".",J260+I261)</f>
        <v>515.84</v>
      </c>
      <c r="K261" s="4"/>
      <c r="M261"/>
    </row>
    <row r="262" spans="1:13" x14ac:dyDescent="0.2">
      <c r="A262" s="40">
        <f t="shared" si="37"/>
        <v>6</v>
      </c>
      <c r="B262" s="41">
        <v>44561</v>
      </c>
      <c r="C262" s="42">
        <f t="shared" si="38"/>
        <v>2021</v>
      </c>
      <c r="D262" s="43" t="s">
        <v>37</v>
      </c>
      <c r="E262" s="47" t="s">
        <v>70</v>
      </c>
      <c r="F262" s="46" t="s">
        <v>79</v>
      </c>
      <c r="G262" s="43" t="s">
        <v>78</v>
      </c>
      <c r="H262" s="43"/>
      <c r="I262" s="44">
        <v>-445.05</v>
      </c>
      <c r="J262" s="45">
        <f t="shared" si="5"/>
        <v>70.79000000000002</v>
      </c>
      <c r="K262" s="4"/>
      <c r="M262"/>
    </row>
    <row r="263" spans="1:13" x14ac:dyDescent="0.2">
      <c r="A263" s="16">
        <f t="shared" si="37"/>
        <v>7</v>
      </c>
      <c r="B263" s="17">
        <v>44566</v>
      </c>
      <c r="C263" s="39">
        <f t="shared" si="38"/>
        <v>2022</v>
      </c>
      <c r="D263" s="18" t="s">
        <v>34</v>
      </c>
      <c r="E263" s="18"/>
      <c r="F263" s="37" t="s">
        <v>85</v>
      </c>
      <c r="G263" s="18" t="s">
        <v>34</v>
      </c>
      <c r="H263" s="22" t="s">
        <v>41</v>
      </c>
      <c r="I263" s="21">
        <v>-60</v>
      </c>
      <c r="J263" s="19">
        <f t="shared" ref="J263:J326" si="40">IF(I263="",".",J262+I263)</f>
        <v>10.79000000000002</v>
      </c>
      <c r="K263" s="4"/>
      <c r="M263"/>
    </row>
    <row r="264" spans="1:13" x14ac:dyDescent="0.2">
      <c r="A264" s="16">
        <f t="shared" si="37"/>
        <v>8</v>
      </c>
      <c r="B264" s="17">
        <v>44592</v>
      </c>
      <c r="C264" s="39">
        <f t="shared" si="38"/>
        <v>2022</v>
      </c>
      <c r="D264" s="18" t="s">
        <v>35</v>
      </c>
      <c r="E264" s="22" t="s">
        <v>71</v>
      </c>
      <c r="F264" s="37" t="s">
        <v>68</v>
      </c>
      <c r="G264" s="22" t="s">
        <v>155</v>
      </c>
      <c r="H264" s="18"/>
      <c r="I264" s="21">
        <v>0.13</v>
      </c>
      <c r="J264" s="19">
        <f t="shared" si="40"/>
        <v>10.920000000000021</v>
      </c>
      <c r="K264" s="54"/>
      <c r="M264"/>
    </row>
    <row r="265" spans="1:13" x14ac:dyDescent="0.2">
      <c r="A265" s="16">
        <f t="shared" si="37"/>
        <v>9</v>
      </c>
      <c r="B265" s="17">
        <v>44592</v>
      </c>
      <c r="C265" s="39">
        <f t="shared" si="38"/>
        <v>2022</v>
      </c>
      <c r="D265" s="18" t="s">
        <v>36</v>
      </c>
      <c r="E265" s="22" t="s">
        <v>70</v>
      </c>
      <c r="F265" s="37" t="s">
        <v>79</v>
      </c>
      <c r="G265" s="18" t="s">
        <v>93</v>
      </c>
      <c r="H265" s="18"/>
      <c r="I265" s="21">
        <v>-0.01</v>
      </c>
      <c r="J265" s="19">
        <f t="shared" si="40"/>
        <v>10.910000000000021</v>
      </c>
      <c r="K265" s="4"/>
      <c r="M265"/>
    </row>
    <row r="266" spans="1:13" x14ac:dyDescent="0.2">
      <c r="A266" s="16">
        <f t="shared" si="37"/>
        <v>10</v>
      </c>
      <c r="B266" s="17">
        <v>44592</v>
      </c>
      <c r="C266" s="39">
        <f t="shared" si="38"/>
        <v>2022</v>
      </c>
      <c r="D266" s="18" t="s">
        <v>37</v>
      </c>
      <c r="E266" s="22" t="s">
        <v>70</v>
      </c>
      <c r="F266" s="37" t="s">
        <v>79</v>
      </c>
      <c r="G266" s="18" t="s">
        <v>78</v>
      </c>
      <c r="H266" s="18"/>
      <c r="I266" s="21">
        <v>-0.08</v>
      </c>
      <c r="J266" s="19">
        <f t="shared" si="40"/>
        <v>10.830000000000021</v>
      </c>
      <c r="K266" s="4"/>
      <c r="M266"/>
    </row>
    <row r="267" spans="1:13" x14ac:dyDescent="0.2">
      <c r="A267" s="16">
        <f t="shared" si="37"/>
        <v>11</v>
      </c>
      <c r="B267" s="17">
        <v>44599</v>
      </c>
      <c r="C267" s="39">
        <f t="shared" si="38"/>
        <v>2022</v>
      </c>
      <c r="D267" s="18" t="s">
        <v>34</v>
      </c>
      <c r="E267" s="18"/>
      <c r="F267" s="37" t="s">
        <v>85</v>
      </c>
      <c r="G267" s="18" t="s">
        <v>34</v>
      </c>
      <c r="H267" s="22" t="s">
        <v>41</v>
      </c>
      <c r="I267" s="21">
        <v>-10.82</v>
      </c>
      <c r="J267" s="19">
        <f t="shared" si="40"/>
        <v>1.0000000000021103E-2</v>
      </c>
      <c r="K267" s="4"/>
      <c r="M267"/>
    </row>
    <row r="268" spans="1:13" x14ac:dyDescent="0.2">
      <c r="A268" s="16">
        <f t="shared" si="37"/>
        <v>12</v>
      </c>
      <c r="B268" s="17">
        <v>44617</v>
      </c>
      <c r="C268" s="39">
        <f t="shared" si="38"/>
        <v>2022</v>
      </c>
      <c r="D268" s="18" t="s">
        <v>35</v>
      </c>
      <c r="E268" s="22" t="s">
        <v>71</v>
      </c>
      <c r="F268" s="37" t="s">
        <v>68</v>
      </c>
      <c r="G268" s="22" t="s">
        <v>155</v>
      </c>
      <c r="H268" s="18"/>
      <c r="I268" s="21">
        <v>0.01</v>
      </c>
      <c r="J268" s="19">
        <f t="shared" si="40"/>
        <v>2.0000000000021105E-2</v>
      </c>
      <c r="K268" s="54"/>
      <c r="M268"/>
    </row>
    <row r="269" spans="1:13" x14ac:dyDescent="0.2">
      <c r="A269" s="16">
        <f t="shared" si="37"/>
        <v>13</v>
      </c>
      <c r="B269" s="17">
        <v>44617</v>
      </c>
      <c r="C269" s="39">
        <f t="shared" si="38"/>
        <v>2022</v>
      </c>
      <c r="D269" s="18" t="s">
        <v>36</v>
      </c>
      <c r="E269" s="22" t="s">
        <v>70</v>
      </c>
      <c r="F269" s="37" t="s">
        <v>79</v>
      </c>
      <c r="G269" s="18" t="s">
        <v>93</v>
      </c>
      <c r="H269" s="18"/>
      <c r="I269" s="21">
        <v>-0.02</v>
      </c>
      <c r="J269" s="19">
        <f t="shared" si="40"/>
        <v>2.1104645808733835E-14</v>
      </c>
      <c r="K269" s="4"/>
      <c r="M269"/>
    </row>
    <row r="270" spans="1:13" x14ac:dyDescent="0.2">
      <c r="A270" s="16">
        <f t="shared" si="37"/>
        <v>14</v>
      </c>
      <c r="B270" s="17">
        <v>44735</v>
      </c>
      <c r="C270" s="39">
        <f t="shared" si="38"/>
        <v>2022</v>
      </c>
      <c r="D270" s="18" t="s">
        <v>33</v>
      </c>
      <c r="E270" s="18"/>
      <c r="F270" s="37" t="s">
        <v>38</v>
      </c>
      <c r="G270" s="18" t="s">
        <v>33</v>
      </c>
      <c r="H270" s="22" t="s">
        <v>41</v>
      </c>
      <c r="I270" s="21">
        <v>583210.91</v>
      </c>
      <c r="J270" s="19">
        <f t="shared" si="40"/>
        <v>583210.91</v>
      </c>
      <c r="K270" s="4"/>
      <c r="M270"/>
    </row>
    <row r="271" spans="1:13" x14ac:dyDescent="0.2">
      <c r="A271" s="16">
        <f t="shared" si="37"/>
        <v>15</v>
      </c>
      <c r="B271" s="17">
        <v>44742</v>
      </c>
      <c r="C271" s="39">
        <f t="shared" si="38"/>
        <v>2022</v>
      </c>
      <c r="D271" s="18" t="s">
        <v>35</v>
      </c>
      <c r="E271" s="22" t="s">
        <v>71</v>
      </c>
      <c r="F271" s="37" t="s">
        <v>68</v>
      </c>
      <c r="G271" s="22" t="s">
        <v>155</v>
      </c>
      <c r="H271" s="18"/>
      <c r="I271" s="21">
        <v>1207.0999999999999</v>
      </c>
      <c r="J271" s="19">
        <f t="shared" si="40"/>
        <v>584418.01</v>
      </c>
      <c r="K271" s="54"/>
      <c r="M271"/>
    </row>
    <row r="272" spans="1:13" x14ac:dyDescent="0.2">
      <c r="A272" s="16">
        <f t="shared" si="37"/>
        <v>16</v>
      </c>
      <c r="B272" s="17">
        <v>44748</v>
      </c>
      <c r="C272" s="39">
        <f t="shared" si="38"/>
        <v>2022</v>
      </c>
      <c r="D272" s="18" t="s">
        <v>34</v>
      </c>
      <c r="E272" s="18"/>
      <c r="F272" s="37" t="s">
        <v>85</v>
      </c>
      <c r="G272" s="18" t="s">
        <v>34</v>
      </c>
      <c r="H272" s="22" t="s">
        <v>41</v>
      </c>
      <c r="I272" s="21">
        <v>-66</v>
      </c>
      <c r="J272" s="19">
        <f t="shared" si="40"/>
        <v>584352.01</v>
      </c>
      <c r="K272" s="4"/>
      <c r="M272"/>
    </row>
    <row r="273" spans="1:13" x14ac:dyDescent="0.2">
      <c r="A273" s="16">
        <f t="shared" si="37"/>
        <v>17</v>
      </c>
      <c r="B273" s="17">
        <v>44771</v>
      </c>
      <c r="C273" s="39">
        <f t="shared" si="38"/>
        <v>2022</v>
      </c>
      <c r="D273" s="18" t="s">
        <v>35</v>
      </c>
      <c r="E273" s="22" t="s">
        <v>71</v>
      </c>
      <c r="F273" s="37" t="s">
        <v>68</v>
      </c>
      <c r="G273" s="22" t="s">
        <v>155</v>
      </c>
      <c r="H273" s="18"/>
      <c r="I273" s="21">
        <v>5089.3900000000003</v>
      </c>
      <c r="J273" s="19">
        <f t="shared" si="40"/>
        <v>589441.4</v>
      </c>
      <c r="K273" s="54">
        <f>(I273+I274+I275)/J271*12</f>
        <v>0.10449862761758488</v>
      </c>
      <c r="M273"/>
    </row>
    <row r="274" spans="1:13" x14ac:dyDescent="0.2">
      <c r="A274" s="16">
        <f t="shared" si="37"/>
        <v>18</v>
      </c>
      <c r="B274" s="17">
        <v>44771</v>
      </c>
      <c r="C274" s="39">
        <f t="shared" si="38"/>
        <v>2022</v>
      </c>
      <c r="D274" s="18" t="s">
        <v>36</v>
      </c>
      <c r="E274" s="22" t="s">
        <v>70</v>
      </c>
      <c r="F274" s="37" t="s">
        <v>79</v>
      </c>
      <c r="G274" s="18" t="s">
        <v>93</v>
      </c>
      <c r="H274" s="18"/>
      <c r="I274" s="21">
        <v>-0.02</v>
      </c>
      <c r="J274" s="19">
        <f t="shared" si="40"/>
        <v>589441.38</v>
      </c>
      <c r="K274" s="4"/>
      <c r="M274"/>
    </row>
    <row r="275" spans="1:13" x14ac:dyDescent="0.2">
      <c r="A275" s="16">
        <f t="shared" si="37"/>
        <v>19</v>
      </c>
      <c r="B275" s="17">
        <v>44771</v>
      </c>
      <c r="C275" s="39">
        <f t="shared" si="38"/>
        <v>2022</v>
      </c>
      <c r="D275" s="18" t="s">
        <v>37</v>
      </c>
      <c r="E275" s="22" t="s">
        <v>70</v>
      </c>
      <c r="F275" s="37" t="s">
        <v>79</v>
      </c>
      <c r="G275" s="18" t="s">
        <v>78</v>
      </c>
      <c r="H275" s="18"/>
      <c r="I275" s="21">
        <v>-0.13</v>
      </c>
      <c r="J275" s="19">
        <f t="shared" si="40"/>
        <v>589441.25</v>
      </c>
      <c r="K275" s="4"/>
      <c r="M275"/>
    </row>
    <row r="276" spans="1:13" x14ac:dyDescent="0.2">
      <c r="A276" s="16">
        <f t="shared" si="37"/>
        <v>20</v>
      </c>
      <c r="B276" s="17">
        <v>44778</v>
      </c>
      <c r="C276" s="39">
        <f t="shared" si="38"/>
        <v>2022</v>
      </c>
      <c r="D276" s="18" t="s">
        <v>34</v>
      </c>
      <c r="E276" s="18"/>
      <c r="F276" s="37" t="s">
        <v>85</v>
      </c>
      <c r="G276" s="18" t="s">
        <v>34</v>
      </c>
      <c r="H276" s="22" t="s">
        <v>41</v>
      </c>
      <c r="I276" s="21">
        <v>-66</v>
      </c>
      <c r="J276" s="19">
        <f t="shared" si="40"/>
        <v>589375.25</v>
      </c>
      <c r="K276" s="4"/>
      <c r="M276"/>
    </row>
    <row r="277" spans="1:13" x14ac:dyDescent="0.2">
      <c r="A277" s="16">
        <f t="shared" si="37"/>
        <v>21</v>
      </c>
      <c r="B277" s="17">
        <v>44804</v>
      </c>
      <c r="C277" s="39">
        <f t="shared" si="38"/>
        <v>2022</v>
      </c>
      <c r="D277" s="18" t="s">
        <v>35</v>
      </c>
      <c r="E277" s="22" t="s">
        <v>71</v>
      </c>
      <c r="F277" s="37" t="s">
        <v>68</v>
      </c>
      <c r="G277" s="22" t="s">
        <v>155</v>
      </c>
      <c r="H277" s="18"/>
      <c r="I277" s="21">
        <v>5849.96</v>
      </c>
      <c r="J277" s="19">
        <f t="shared" si="40"/>
        <v>595225.21</v>
      </c>
      <c r="K277" s="54">
        <f>(I277+I278)/J275*12</f>
        <v>0.11909135982593685</v>
      </c>
      <c r="M277"/>
    </row>
    <row r="278" spans="1:13" x14ac:dyDescent="0.2">
      <c r="A278" s="16">
        <f t="shared" si="37"/>
        <v>22</v>
      </c>
      <c r="B278" s="17">
        <v>44804</v>
      </c>
      <c r="C278" s="39">
        <f t="shared" si="38"/>
        <v>2022</v>
      </c>
      <c r="D278" s="18" t="s">
        <v>36</v>
      </c>
      <c r="E278" s="22" t="s">
        <v>70</v>
      </c>
      <c r="F278" s="37" t="s">
        <v>79</v>
      </c>
      <c r="G278" s="18" t="s">
        <v>93</v>
      </c>
      <c r="H278" s="18"/>
      <c r="I278" s="21">
        <v>-0.18</v>
      </c>
      <c r="J278" s="19">
        <f t="shared" si="40"/>
        <v>595225.02999999991</v>
      </c>
      <c r="K278" s="4"/>
      <c r="M278"/>
    </row>
    <row r="279" spans="1:13" x14ac:dyDescent="0.2">
      <c r="A279" s="16">
        <f t="shared" si="37"/>
        <v>23</v>
      </c>
      <c r="B279" s="17">
        <v>44809</v>
      </c>
      <c r="C279" s="39">
        <f t="shared" si="38"/>
        <v>2022</v>
      </c>
      <c r="D279" s="18" t="s">
        <v>34</v>
      </c>
      <c r="E279" s="18"/>
      <c r="F279" s="37" t="s">
        <v>85</v>
      </c>
      <c r="G279" s="18" t="s">
        <v>34</v>
      </c>
      <c r="H279" s="22" t="s">
        <v>41</v>
      </c>
      <c r="I279" s="21">
        <v>-66</v>
      </c>
      <c r="J279" s="19">
        <f t="shared" si="40"/>
        <v>595159.02999999991</v>
      </c>
      <c r="K279" s="4"/>
      <c r="M279"/>
    </row>
    <row r="280" spans="1:13" x14ac:dyDescent="0.2">
      <c r="A280" s="16">
        <f t="shared" si="37"/>
        <v>24</v>
      </c>
      <c r="B280" s="17">
        <v>44834</v>
      </c>
      <c r="C280" s="39">
        <f t="shared" si="38"/>
        <v>2022</v>
      </c>
      <c r="D280" s="18" t="s">
        <v>35</v>
      </c>
      <c r="E280" s="22" t="s">
        <v>71</v>
      </c>
      <c r="F280" s="37" t="s">
        <v>68</v>
      </c>
      <c r="G280" s="22" t="s">
        <v>155</v>
      </c>
      <c r="H280" s="18"/>
      <c r="I280" s="21">
        <v>5442.88</v>
      </c>
      <c r="J280" s="19">
        <f t="shared" si="40"/>
        <v>600601.90999999992</v>
      </c>
      <c r="K280" s="54">
        <f>(I280+I281)/J278*12</f>
        <v>0.1097244180070855</v>
      </c>
      <c r="M280"/>
    </row>
    <row r="281" spans="1:13" x14ac:dyDescent="0.2">
      <c r="A281" s="16">
        <f t="shared" si="37"/>
        <v>25</v>
      </c>
      <c r="B281" s="17">
        <v>44834</v>
      </c>
      <c r="C281" s="39">
        <f t="shared" si="38"/>
        <v>2022</v>
      </c>
      <c r="D281" s="18" t="s">
        <v>36</v>
      </c>
      <c r="E281" s="22" t="s">
        <v>70</v>
      </c>
      <c r="F281" s="37" t="s">
        <v>79</v>
      </c>
      <c r="G281" s="18" t="s">
        <v>93</v>
      </c>
      <c r="H281" s="18"/>
      <c r="I281" s="21">
        <v>-0.32</v>
      </c>
      <c r="J281" s="19">
        <f t="shared" si="40"/>
        <v>600601.59</v>
      </c>
      <c r="K281" s="4"/>
      <c r="M281"/>
    </row>
    <row r="282" spans="1:13" x14ac:dyDescent="0.2">
      <c r="A282" s="16">
        <f t="shared" si="37"/>
        <v>26</v>
      </c>
      <c r="B282" s="17">
        <v>44839</v>
      </c>
      <c r="C282" s="39">
        <f t="shared" si="38"/>
        <v>2022</v>
      </c>
      <c r="D282" s="18" t="s">
        <v>34</v>
      </c>
      <c r="E282" s="18"/>
      <c r="F282" s="37" t="s">
        <v>85</v>
      </c>
      <c r="G282" s="18" t="s">
        <v>34</v>
      </c>
      <c r="H282" s="22" t="s">
        <v>41</v>
      </c>
      <c r="I282" s="21">
        <v>-66</v>
      </c>
      <c r="J282" s="19">
        <f t="shared" si="40"/>
        <v>600535.59</v>
      </c>
      <c r="K282" s="4"/>
      <c r="M282"/>
    </row>
    <row r="283" spans="1:13" x14ac:dyDescent="0.2">
      <c r="A283" s="16">
        <f t="shared" si="37"/>
        <v>27</v>
      </c>
      <c r="B283" s="17">
        <v>44865</v>
      </c>
      <c r="C283" s="39">
        <f t="shared" si="38"/>
        <v>2022</v>
      </c>
      <c r="D283" s="18" t="s">
        <v>35</v>
      </c>
      <c r="E283" s="22" t="s">
        <v>71</v>
      </c>
      <c r="F283" s="37" t="s">
        <v>68</v>
      </c>
      <c r="G283" s="22" t="s">
        <v>155</v>
      </c>
      <c r="H283" s="18"/>
      <c r="I283" s="21">
        <v>5248.75</v>
      </c>
      <c r="J283" s="19">
        <f t="shared" si="40"/>
        <v>605784.34</v>
      </c>
      <c r="K283" s="54">
        <f>(I283+I284)/J281*12</f>
        <v>0.10486086125746022</v>
      </c>
      <c r="M283"/>
    </row>
    <row r="284" spans="1:13" x14ac:dyDescent="0.2">
      <c r="A284" s="16">
        <f t="shared" si="37"/>
        <v>28</v>
      </c>
      <c r="B284" s="17">
        <v>44865</v>
      </c>
      <c r="C284" s="39">
        <f t="shared" si="38"/>
        <v>2022</v>
      </c>
      <c r="D284" s="18" t="s">
        <v>36</v>
      </c>
      <c r="E284" s="22" t="s">
        <v>70</v>
      </c>
      <c r="F284" s="37" t="s">
        <v>79</v>
      </c>
      <c r="G284" s="18" t="s">
        <v>93</v>
      </c>
      <c r="H284" s="18"/>
      <c r="I284" s="21">
        <v>-0.45</v>
      </c>
      <c r="J284" s="19">
        <f t="shared" si="40"/>
        <v>605783.89</v>
      </c>
      <c r="K284" s="4"/>
      <c r="M284"/>
    </row>
    <row r="285" spans="1:13" x14ac:dyDescent="0.2">
      <c r="A285" s="16">
        <f t="shared" si="37"/>
        <v>29</v>
      </c>
      <c r="B285" s="17">
        <v>44872</v>
      </c>
      <c r="C285" s="39">
        <f t="shared" si="38"/>
        <v>2022</v>
      </c>
      <c r="D285" s="18" t="s">
        <v>34</v>
      </c>
      <c r="E285" s="18"/>
      <c r="F285" s="37" t="s">
        <v>85</v>
      </c>
      <c r="G285" s="18" t="s">
        <v>34</v>
      </c>
      <c r="H285" s="22" t="s">
        <v>41</v>
      </c>
      <c r="I285" s="21">
        <v>-66</v>
      </c>
      <c r="J285" s="19">
        <f t="shared" si="40"/>
        <v>605717.89</v>
      </c>
      <c r="K285" s="4"/>
      <c r="M285"/>
    </row>
    <row r="286" spans="1:13" x14ac:dyDescent="0.2">
      <c r="A286" s="16">
        <f t="shared" si="37"/>
        <v>30</v>
      </c>
      <c r="B286" s="17">
        <v>44895</v>
      </c>
      <c r="C286" s="39">
        <f t="shared" si="38"/>
        <v>2022</v>
      </c>
      <c r="D286" s="18" t="s">
        <v>35</v>
      </c>
      <c r="E286" s="22" t="s">
        <v>71</v>
      </c>
      <c r="F286" s="37" t="s">
        <v>68</v>
      </c>
      <c r="G286" s="22" t="s">
        <v>155</v>
      </c>
      <c r="H286" s="18"/>
      <c r="I286" s="21">
        <v>5202.7700000000004</v>
      </c>
      <c r="J286" s="19">
        <f t="shared" si="40"/>
        <v>610920.66</v>
      </c>
      <c r="K286" s="54"/>
      <c r="M286"/>
    </row>
    <row r="287" spans="1:13" x14ac:dyDescent="0.2">
      <c r="A287" s="16">
        <f t="shared" si="37"/>
        <v>31</v>
      </c>
      <c r="B287" s="17">
        <v>44895</v>
      </c>
      <c r="C287" s="39">
        <f t="shared" si="38"/>
        <v>2022</v>
      </c>
      <c r="D287" s="18" t="s">
        <v>36</v>
      </c>
      <c r="E287" s="22" t="s">
        <v>70</v>
      </c>
      <c r="F287" s="37" t="s">
        <v>79</v>
      </c>
      <c r="G287" s="18" t="s">
        <v>93</v>
      </c>
      <c r="H287" s="18"/>
      <c r="I287" s="21">
        <v>-5607.32</v>
      </c>
      <c r="J287" s="19">
        <f t="shared" si="40"/>
        <v>605313.34000000008</v>
      </c>
      <c r="K287" s="4"/>
      <c r="M287"/>
    </row>
    <row r="288" spans="1:13" x14ac:dyDescent="0.2">
      <c r="A288" s="16">
        <f t="shared" si="37"/>
        <v>32</v>
      </c>
      <c r="B288" s="17">
        <v>44900</v>
      </c>
      <c r="C288" s="39">
        <f t="shared" si="38"/>
        <v>2022</v>
      </c>
      <c r="D288" s="18" t="s">
        <v>34</v>
      </c>
      <c r="E288" s="18"/>
      <c r="F288" s="37" t="s">
        <v>85</v>
      </c>
      <c r="G288" s="18" t="s">
        <v>34</v>
      </c>
      <c r="H288" s="22" t="s">
        <v>41</v>
      </c>
      <c r="I288" s="21">
        <v>-66</v>
      </c>
      <c r="J288" s="19">
        <f t="shared" si="40"/>
        <v>605247.34000000008</v>
      </c>
      <c r="K288" s="4"/>
      <c r="M288"/>
    </row>
    <row r="289" spans="1:13" x14ac:dyDescent="0.2">
      <c r="A289" s="16">
        <f t="shared" si="37"/>
        <v>33</v>
      </c>
      <c r="B289" s="17">
        <v>44918</v>
      </c>
      <c r="C289" s="39">
        <f t="shared" si="38"/>
        <v>2022</v>
      </c>
      <c r="D289" s="18" t="s">
        <v>34</v>
      </c>
      <c r="E289" s="18"/>
      <c r="F289" s="37" t="s">
        <v>91</v>
      </c>
      <c r="G289" s="18" t="s">
        <v>34</v>
      </c>
      <c r="H289" s="22" t="s">
        <v>41</v>
      </c>
      <c r="I289" s="21">
        <v>-1050</v>
      </c>
      <c r="J289" s="19">
        <f t="shared" si="40"/>
        <v>604197.34000000008</v>
      </c>
      <c r="K289" s="4"/>
      <c r="M289"/>
    </row>
    <row r="290" spans="1:13" x14ac:dyDescent="0.2">
      <c r="A290" s="16">
        <f t="shared" si="37"/>
        <v>34</v>
      </c>
      <c r="B290" s="17">
        <v>44925</v>
      </c>
      <c r="C290" s="39">
        <f t="shared" si="38"/>
        <v>2022</v>
      </c>
      <c r="D290" s="18" t="s">
        <v>35</v>
      </c>
      <c r="E290" s="22" t="s">
        <v>71</v>
      </c>
      <c r="F290" s="37" t="s">
        <v>68</v>
      </c>
      <c r="G290" s="22" t="s">
        <v>155</v>
      </c>
      <c r="H290" s="18"/>
      <c r="I290" s="21">
        <v>5739.48</v>
      </c>
      <c r="J290" s="19">
        <f t="shared" si="40"/>
        <v>609936.82000000007</v>
      </c>
      <c r="K290" s="54">
        <f>(I290+I291)/J287*12</f>
        <v>0.11375007859565757</v>
      </c>
      <c r="M290"/>
    </row>
    <row r="291" spans="1:13" x14ac:dyDescent="0.2">
      <c r="A291" s="40">
        <f t="shared" si="37"/>
        <v>35</v>
      </c>
      <c r="B291" s="41">
        <v>44925</v>
      </c>
      <c r="C291" s="42">
        <f t="shared" si="38"/>
        <v>2022</v>
      </c>
      <c r="D291" s="43" t="s">
        <v>36</v>
      </c>
      <c r="E291" s="47" t="s">
        <v>70</v>
      </c>
      <c r="F291" s="46" t="s">
        <v>79</v>
      </c>
      <c r="G291" s="43" t="s">
        <v>93</v>
      </c>
      <c r="H291" s="43"/>
      <c r="I291" s="44">
        <v>-1.61</v>
      </c>
      <c r="J291" s="45">
        <f t="shared" si="40"/>
        <v>609935.21000000008</v>
      </c>
      <c r="K291" s="4"/>
      <c r="M291"/>
    </row>
    <row r="292" spans="1:13" x14ac:dyDescent="0.2">
      <c r="A292" s="16">
        <f t="shared" si="37"/>
        <v>36</v>
      </c>
      <c r="B292" s="17">
        <v>44957</v>
      </c>
      <c r="C292" s="39">
        <f t="shared" si="38"/>
        <v>2023</v>
      </c>
      <c r="D292" s="18" t="s">
        <v>35</v>
      </c>
      <c r="E292" s="22" t="s">
        <v>71</v>
      </c>
      <c r="F292" s="37" t="s">
        <v>68</v>
      </c>
      <c r="G292" s="22" t="s">
        <v>155</v>
      </c>
      <c r="H292" s="18"/>
      <c r="I292" s="21">
        <v>5802.12</v>
      </c>
      <c r="J292" s="19">
        <f t="shared" si="40"/>
        <v>615737.33000000007</v>
      </c>
      <c r="K292" s="54">
        <f>(I292)/J291*12</f>
        <v>0.11415219003342991</v>
      </c>
      <c r="M292"/>
    </row>
    <row r="293" spans="1:13" x14ac:dyDescent="0.2">
      <c r="A293" s="16">
        <f t="shared" si="37"/>
        <v>37</v>
      </c>
      <c r="B293" s="17">
        <v>44958</v>
      </c>
      <c r="C293" s="39">
        <f t="shared" si="38"/>
        <v>2023</v>
      </c>
      <c r="D293" s="18" t="s">
        <v>33</v>
      </c>
      <c r="E293" s="18"/>
      <c r="F293" s="37" t="s">
        <v>38</v>
      </c>
      <c r="G293" s="18" t="s">
        <v>33</v>
      </c>
      <c r="H293" s="22" t="s">
        <v>41</v>
      </c>
      <c r="I293" s="21">
        <v>255040.77</v>
      </c>
      <c r="J293" s="19">
        <f t="shared" si="40"/>
        <v>870778.10000000009</v>
      </c>
      <c r="K293" s="4"/>
      <c r="M293"/>
    </row>
    <row r="294" spans="1:13" x14ac:dyDescent="0.2">
      <c r="A294" s="16">
        <f t="shared" si="37"/>
        <v>38</v>
      </c>
      <c r="B294" s="17">
        <v>44963</v>
      </c>
      <c r="C294" s="39">
        <f t="shared" si="38"/>
        <v>2023</v>
      </c>
      <c r="D294" s="18" t="s">
        <v>34</v>
      </c>
      <c r="E294" s="18"/>
      <c r="F294" s="37" t="s">
        <v>85</v>
      </c>
      <c r="G294" s="18" t="s">
        <v>34</v>
      </c>
      <c r="H294" s="22" t="s">
        <v>41</v>
      </c>
      <c r="I294" s="21">
        <v>-69</v>
      </c>
      <c r="J294" s="19">
        <f t="shared" si="40"/>
        <v>870709.10000000009</v>
      </c>
      <c r="K294" s="4"/>
      <c r="M294"/>
    </row>
    <row r="295" spans="1:13" x14ac:dyDescent="0.2">
      <c r="A295" s="16">
        <f t="shared" si="37"/>
        <v>39</v>
      </c>
      <c r="B295" s="17">
        <v>44985</v>
      </c>
      <c r="C295" s="39">
        <f t="shared" si="38"/>
        <v>2023</v>
      </c>
      <c r="D295" s="18" t="s">
        <v>35</v>
      </c>
      <c r="E295" s="22" t="s">
        <v>71</v>
      </c>
      <c r="F295" s="37" t="s">
        <v>68</v>
      </c>
      <c r="G295" s="22" t="s">
        <v>155</v>
      </c>
      <c r="H295" s="18"/>
      <c r="I295" s="21">
        <v>6703</v>
      </c>
      <c r="J295" s="19">
        <f t="shared" si="40"/>
        <v>877412.10000000009</v>
      </c>
      <c r="K295" s="54">
        <f>(I295+I296)/J294*12</f>
        <v>9.2376018580717714E-2</v>
      </c>
      <c r="M295"/>
    </row>
    <row r="296" spans="1:13" x14ac:dyDescent="0.2">
      <c r="A296" s="16">
        <f t="shared" si="37"/>
        <v>40</v>
      </c>
      <c r="B296" s="17">
        <v>44985</v>
      </c>
      <c r="C296" s="39">
        <f t="shared" si="38"/>
        <v>2023</v>
      </c>
      <c r="D296" s="18" t="s">
        <v>36</v>
      </c>
      <c r="E296" s="22" t="s">
        <v>70</v>
      </c>
      <c r="F296" s="37" t="s">
        <v>79</v>
      </c>
      <c r="G296" s="18" t="s">
        <v>93</v>
      </c>
      <c r="H296" s="18"/>
      <c r="I296" s="21">
        <v>-0.28000000000000003</v>
      </c>
      <c r="J296" s="19">
        <f t="shared" si="40"/>
        <v>877411.82000000007</v>
      </c>
      <c r="K296" s="4"/>
      <c r="M296"/>
    </row>
    <row r="297" spans="1:13" x14ac:dyDescent="0.2">
      <c r="A297" s="16">
        <f t="shared" si="37"/>
        <v>41</v>
      </c>
      <c r="B297" s="17">
        <v>44991</v>
      </c>
      <c r="C297" s="39">
        <f t="shared" si="38"/>
        <v>2023</v>
      </c>
      <c r="D297" s="18" t="s">
        <v>34</v>
      </c>
      <c r="E297" s="18"/>
      <c r="F297" s="37" t="s">
        <v>85</v>
      </c>
      <c r="G297" s="18" t="s">
        <v>34</v>
      </c>
      <c r="H297" s="22" t="s">
        <v>41</v>
      </c>
      <c r="I297" s="21">
        <v>-69</v>
      </c>
      <c r="J297" s="19">
        <f t="shared" si="40"/>
        <v>877342.82000000007</v>
      </c>
      <c r="K297" s="4"/>
      <c r="M297" s="4"/>
    </row>
    <row r="298" spans="1:13" x14ac:dyDescent="0.2">
      <c r="A298" s="16">
        <f t="shared" si="37"/>
        <v>42</v>
      </c>
      <c r="B298" s="17">
        <v>45016</v>
      </c>
      <c r="C298" s="39">
        <f t="shared" si="38"/>
        <v>2023</v>
      </c>
      <c r="D298" s="18" t="s">
        <v>35</v>
      </c>
      <c r="E298" s="22" t="s">
        <v>71</v>
      </c>
      <c r="F298" s="37" t="s">
        <v>68</v>
      </c>
      <c r="G298" s="22" t="s">
        <v>155</v>
      </c>
      <c r="H298" s="18"/>
      <c r="I298" s="21">
        <v>8678.4500000000007</v>
      </c>
      <c r="J298" s="19">
        <f t="shared" si="40"/>
        <v>886021.27</v>
      </c>
      <c r="K298" s="54">
        <f>(I298+I299)/J297*12</f>
        <v>0.11869572261388087</v>
      </c>
      <c r="M298" s="4"/>
    </row>
    <row r="299" spans="1:13" x14ac:dyDescent="0.2">
      <c r="A299" s="16">
        <f t="shared" si="37"/>
        <v>43</v>
      </c>
      <c r="B299" s="17">
        <v>45016</v>
      </c>
      <c r="C299" s="39">
        <f t="shared" si="38"/>
        <v>2023</v>
      </c>
      <c r="D299" s="18" t="s">
        <v>36</v>
      </c>
      <c r="E299" s="22" t="s">
        <v>70</v>
      </c>
      <c r="F299" s="37" t="s">
        <v>79</v>
      </c>
      <c r="G299" s="18" t="s">
        <v>93</v>
      </c>
      <c r="H299" s="18"/>
      <c r="I299" s="21">
        <v>-0.38</v>
      </c>
      <c r="J299" s="19">
        <f t="shared" si="40"/>
        <v>886020.89</v>
      </c>
      <c r="K299" s="4"/>
      <c r="M299" s="4"/>
    </row>
    <row r="300" spans="1:13" x14ac:dyDescent="0.2">
      <c r="A300" s="16">
        <f t="shared" si="37"/>
        <v>44</v>
      </c>
      <c r="B300" s="17">
        <v>45022</v>
      </c>
      <c r="C300" s="39">
        <f t="shared" si="38"/>
        <v>2023</v>
      </c>
      <c r="D300" s="18" t="s">
        <v>34</v>
      </c>
      <c r="E300" s="18"/>
      <c r="F300" s="37" t="s">
        <v>85</v>
      </c>
      <c r="G300" s="18" t="s">
        <v>34</v>
      </c>
      <c r="H300" s="22" t="s">
        <v>41</v>
      </c>
      <c r="I300" s="21">
        <v>-69</v>
      </c>
      <c r="J300" s="19">
        <f t="shared" si="40"/>
        <v>885951.89</v>
      </c>
      <c r="K300" s="4"/>
      <c r="M300" s="4"/>
    </row>
    <row r="301" spans="1:13" x14ac:dyDescent="0.2">
      <c r="A301" s="16">
        <f t="shared" si="37"/>
        <v>45</v>
      </c>
      <c r="B301" s="17">
        <v>45046</v>
      </c>
      <c r="C301" s="39">
        <f t="shared" si="38"/>
        <v>2023</v>
      </c>
      <c r="D301" s="18" t="s">
        <v>35</v>
      </c>
      <c r="E301" s="22" t="s">
        <v>71</v>
      </c>
      <c r="F301" s="37" t="s">
        <v>68</v>
      </c>
      <c r="G301" s="22" t="s">
        <v>155</v>
      </c>
      <c r="H301" s="18"/>
      <c r="I301" s="21">
        <v>6760.43</v>
      </c>
      <c r="J301" s="19">
        <f t="shared" si="40"/>
        <v>892712.32000000007</v>
      </c>
      <c r="K301" s="54">
        <f>(I301+I302)/J300*12</f>
        <v>9.156131491519251E-2</v>
      </c>
      <c r="M301" s="4"/>
    </row>
    <row r="302" spans="1:13" x14ac:dyDescent="0.2">
      <c r="A302" s="16">
        <f t="shared" si="37"/>
        <v>46</v>
      </c>
      <c r="B302" s="17">
        <v>45046</v>
      </c>
      <c r="C302" s="39">
        <f t="shared" si="38"/>
        <v>2023</v>
      </c>
      <c r="D302" s="18" t="s">
        <v>36</v>
      </c>
      <c r="E302" s="22" t="s">
        <v>70</v>
      </c>
      <c r="F302" s="37" t="s">
        <v>79</v>
      </c>
      <c r="G302" s="18" t="s">
        <v>93</v>
      </c>
      <c r="H302" s="18"/>
      <c r="I302" s="21">
        <v>-0.52</v>
      </c>
      <c r="J302" s="19">
        <f t="shared" si="40"/>
        <v>892711.8</v>
      </c>
      <c r="K302" s="4"/>
      <c r="M302" s="4"/>
    </row>
    <row r="303" spans="1:13" x14ac:dyDescent="0.2">
      <c r="A303" s="16">
        <f t="shared" si="37"/>
        <v>47</v>
      </c>
      <c r="B303" s="17">
        <v>45051</v>
      </c>
      <c r="C303" s="39">
        <f t="shared" si="38"/>
        <v>2023</v>
      </c>
      <c r="D303" s="18" t="s">
        <v>34</v>
      </c>
      <c r="E303" s="18"/>
      <c r="F303" s="37" t="s">
        <v>85</v>
      </c>
      <c r="G303" s="18" t="s">
        <v>34</v>
      </c>
      <c r="H303" s="22" t="s">
        <v>41</v>
      </c>
      <c r="I303" s="21">
        <v>-69</v>
      </c>
      <c r="J303" s="19">
        <f t="shared" si="40"/>
        <v>892642.8</v>
      </c>
      <c r="K303" s="4"/>
      <c r="M303" s="4"/>
    </row>
    <row r="304" spans="1:13" x14ac:dyDescent="0.2">
      <c r="A304" s="16">
        <f t="shared" si="37"/>
        <v>48</v>
      </c>
      <c r="B304" s="17">
        <v>45077</v>
      </c>
      <c r="C304" s="39">
        <f t="shared" si="38"/>
        <v>2023</v>
      </c>
      <c r="D304" s="18" t="s">
        <v>34</v>
      </c>
      <c r="E304" s="18"/>
      <c r="F304" s="37" t="s">
        <v>91</v>
      </c>
      <c r="G304" s="18" t="s">
        <v>34</v>
      </c>
      <c r="H304" s="22" t="s">
        <v>41</v>
      </c>
      <c r="I304" s="21">
        <v>-850</v>
      </c>
      <c r="J304" s="19">
        <f t="shared" si="40"/>
        <v>891792.8</v>
      </c>
      <c r="K304" s="4"/>
      <c r="M304" s="4"/>
    </row>
    <row r="305" spans="1:13" x14ac:dyDescent="0.2">
      <c r="A305" s="16">
        <f t="shared" si="37"/>
        <v>49</v>
      </c>
      <c r="B305" s="17">
        <v>45077</v>
      </c>
      <c r="C305" s="39">
        <f t="shared" si="38"/>
        <v>2023</v>
      </c>
      <c r="D305" s="18" t="s">
        <v>35</v>
      </c>
      <c r="E305" s="22" t="s">
        <v>71</v>
      </c>
      <c r="F305" s="37" t="s">
        <v>68</v>
      </c>
      <c r="G305" s="22" t="s">
        <v>155</v>
      </c>
      <c r="H305" s="18"/>
      <c r="I305" s="21">
        <v>8579.24</v>
      </c>
      <c r="J305" s="19">
        <f t="shared" si="40"/>
        <v>900372.04</v>
      </c>
      <c r="K305" s="54">
        <f>(I305+I306)/J304*12</f>
        <v>1.7416153169211542E-3</v>
      </c>
      <c r="M305" s="4"/>
    </row>
    <row r="306" spans="1:13" x14ac:dyDescent="0.2">
      <c r="A306" s="16">
        <f t="shared" si="37"/>
        <v>50</v>
      </c>
      <c r="B306" s="17">
        <v>45077</v>
      </c>
      <c r="C306" s="39">
        <f t="shared" si="38"/>
        <v>2023</v>
      </c>
      <c r="D306" s="18" t="s">
        <v>36</v>
      </c>
      <c r="E306" s="22" t="s">
        <v>70</v>
      </c>
      <c r="F306" s="37" t="s">
        <v>79</v>
      </c>
      <c r="G306" s="18" t="s">
        <v>93</v>
      </c>
      <c r="H306" s="18"/>
      <c r="I306" s="21">
        <v>-8449.81</v>
      </c>
      <c r="J306" s="19">
        <f t="shared" si="40"/>
        <v>891922.23</v>
      </c>
      <c r="K306" s="4"/>
      <c r="M306" s="4"/>
    </row>
    <row r="307" spans="1:13" x14ac:dyDescent="0.2">
      <c r="A307" s="16">
        <f t="shared" si="37"/>
        <v>51</v>
      </c>
      <c r="B307" s="17">
        <v>45082</v>
      </c>
      <c r="C307" s="39">
        <f t="shared" si="38"/>
        <v>2023</v>
      </c>
      <c r="D307" s="18" t="s">
        <v>34</v>
      </c>
      <c r="E307" s="18"/>
      <c r="F307" s="37" t="s">
        <v>85</v>
      </c>
      <c r="G307" s="18" t="s">
        <v>34</v>
      </c>
      <c r="H307" s="22" t="s">
        <v>41</v>
      </c>
      <c r="I307" s="21">
        <v>-69</v>
      </c>
      <c r="J307" s="19">
        <f t="shared" si="40"/>
        <v>891853.23</v>
      </c>
      <c r="K307" s="4"/>
      <c r="M307" s="4"/>
    </row>
    <row r="308" spans="1:13" x14ac:dyDescent="0.2">
      <c r="A308" s="16">
        <f t="shared" si="37"/>
        <v>52</v>
      </c>
      <c r="B308" s="17">
        <v>45107</v>
      </c>
      <c r="C308" s="39">
        <f t="shared" si="38"/>
        <v>2023</v>
      </c>
      <c r="D308" s="18" t="s">
        <v>35</v>
      </c>
      <c r="E308" s="22" t="s">
        <v>71</v>
      </c>
      <c r="F308" s="37" t="s">
        <v>68</v>
      </c>
      <c r="G308" s="22" t="s">
        <v>155</v>
      </c>
      <c r="H308" s="18"/>
      <c r="I308" s="21">
        <v>8186.54</v>
      </c>
      <c r="J308" s="19">
        <f t="shared" si="40"/>
        <v>900039.77</v>
      </c>
      <c r="K308" s="54">
        <f>(I308+I309)/J307*12</f>
        <v>0.110150814837549</v>
      </c>
      <c r="M308" s="4"/>
    </row>
    <row r="309" spans="1:13" x14ac:dyDescent="0.2">
      <c r="A309" s="16">
        <f t="shared" si="37"/>
        <v>53</v>
      </c>
      <c r="B309" s="17">
        <v>45107</v>
      </c>
      <c r="C309" s="39">
        <f t="shared" si="38"/>
        <v>2023</v>
      </c>
      <c r="D309" s="18" t="s">
        <v>36</v>
      </c>
      <c r="E309" s="22" t="s">
        <v>70</v>
      </c>
      <c r="F309" s="37" t="s">
        <v>79</v>
      </c>
      <c r="G309" s="18" t="s">
        <v>93</v>
      </c>
      <c r="H309" s="18"/>
      <c r="I309" s="21">
        <v>-0.01</v>
      </c>
      <c r="J309" s="19">
        <f t="shared" si="40"/>
        <v>900039.76</v>
      </c>
      <c r="K309" s="4"/>
      <c r="M309" s="4"/>
    </row>
    <row r="310" spans="1:13" x14ac:dyDescent="0.2">
      <c r="A310" s="16">
        <f t="shared" si="37"/>
        <v>54</v>
      </c>
      <c r="B310" s="17">
        <v>45112</v>
      </c>
      <c r="C310" s="39">
        <f t="shared" si="38"/>
        <v>2023</v>
      </c>
      <c r="D310" s="18" t="s">
        <v>34</v>
      </c>
      <c r="E310" s="18"/>
      <c r="F310" s="37" t="s">
        <v>85</v>
      </c>
      <c r="G310" s="18" t="s">
        <v>34</v>
      </c>
      <c r="H310" s="22" t="s">
        <v>41</v>
      </c>
      <c r="I310" s="21">
        <v>-69</v>
      </c>
      <c r="J310" s="19">
        <f t="shared" si="40"/>
        <v>899970.76</v>
      </c>
      <c r="K310" s="4"/>
      <c r="M310" s="4"/>
    </row>
    <row r="311" spans="1:13" x14ac:dyDescent="0.2">
      <c r="A311" s="16">
        <f t="shared" si="37"/>
        <v>55</v>
      </c>
      <c r="B311" s="17">
        <v>45124</v>
      </c>
      <c r="C311" s="39">
        <f t="shared" si="38"/>
        <v>2023</v>
      </c>
      <c r="D311" s="18" t="s">
        <v>34</v>
      </c>
      <c r="E311" s="18"/>
      <c r="F311" s="37" t="s">
        <v>91</v>
      </c>
      <c r="G311" s="18" t="s">
        <v>34</v>
      </c>
      <c r="H311" s="22" t="s">
        <v>41</v>
      </c>
      <c r="I311" s="21">
        <v>-1200</v>
      </c>
      <c r="J311" s="19">
        <f t="shared" si="40"/>
        <v>898770.76</v>
      </c>
      <c r="K311" s="4"/>
      <c r="M311" s="4"/>
    </row>
    <row r="312" spans="1:13" x14ac:dyDescent="0.2">
      <c r="A312" s="16">
        <f t="shared" si="37"/>
        <v>56</v>
      </c>
      <c r="B312" s="17">
        <v>45138</v>
      </c>
      <c r="C312" s="39">
        <f t="shared" si="38"/>
        <v>2023</v>
      </c>
      <c r="D312" s="18" t="s">
        <v>35</v>
      </c>
      <c r="E312" s="22" t="s">
        <v>71</v>
      </c>
      <c r="F312" s="37" t="s">
        <v>68</v>
      </c>
      <c r="G312" s="22" t="s">
        <v>155</v>
      </c>
      <c r="H312" s="18"/>
      <c r="I312" s="21">
        <v>8120.11</v>
      </c>
      <c r="J312" s="19">
        <f t="shared" si="40"/>
        <v>906890.87</v>
      </c>
      <c r="K312" s="54">
        <f>(I312+I313)/J311*12</f>
        <v>0.10837041472065689</v>
      </c>
      <c r="M312" s="4"/>
    </row>
    <row r="313" spans="1:13" x14ac:dyDescent="0.2">
      <c r="A313" s="16">
        <f t="shared" si="37"/>
        <v>57</v>
      </c>
      <c r="B313" s="17">
        <v>45138</v>
      </c>
      <c r="C313" s="39">
        <f t="shared" si="38"/>
        <v>2023</v>
      </c>
      <c r="D313" s="18" t="s">
        <v>36</v>
      </c>
      <c r="E313" s="22" t="s">
        <v>70</v>
      </c>
      <c r="F313" s="37" t="s">
        <v>79</v>
      </c>
      <c r="G313" s="18" t="s">
        <v>93</v>
      </c>
      <c r="H313" s="18"/>
      <c r="I313" s="21">
        <v>-3.43</v>
      </c>
      <c r="J313" s="19">
        <f t="shared" si="40"/>
        <v>906887.44</v>
      </c>
      <c r="K313" s="4"/>
      <c r="M313" s="4"/>
    </row>
    <row r="314" spans="1:13" x14ac:dyDescent="0.2">
      <c r="A314" s="16">
        <f t="shared" si="37"/>
        <v>58</v>
      </c>
      <c r="B314" s="17">
        <v>45145</v>
      </c>
      <c r="C314" s="39">
        <f t="shared" si="38"/>
        <v>2023</v>
      </c>
      <c r="D314" s="18" t="s">
        <v>34</v>
      </c>
      <c r="E314" s="18"/>
      <c r="F314" s="37" t="s">
        <v>85</v>
      </c>
      <c r="G314" s="18" t="s">
        <v>34</v>
      </c>
      <c r="H314" s="22" t="s">
        <v>41</v>
      </c>
      <c r="I314" s="21">
        <v>-69</v>
      </c>
      <c r="J314" s="19">
        <f t="shared" si="40"/>
        <v>906818.44</v>
      </c>
      <c r="K314" s="4"/>
      <c r="M314" s="4"/>
    </row>
    <row r="315" spans="1:13" x14ac:dyDescent="0.2">
      <c r="A315" s="16">
        <f t="shared" si="37"/>
        <v>59</v>
      </c>
      <c r="B315" s="17">
        <v>45169</v>
      </c>
      <c r="C315" s="39">
        <f t="shared" si="38"/>
        <v>2023</v>
      </c>
      <c r="D315" s="18" t="s">
        <v>35</v>
      </c>
      <c r="E315" s="22" t="s">
        <v>71</v>
      </c>
      <c r="F315" s="37" t="s">
        <v>68</v>
      </c>
      <c r="G315" s="22" t="s">
        <v>155</v>
      </c>
      <c r="H315" s="18"/>
      <c r="I315" s="21">
        <v>8757.9699999999993</v>
      </c>
      <c r="J315" s="19">
        <f t="shared" si="40"/>
        <v>915576.40999999992</v>
      </c>
      <c r="K315" s="54">
        <f>(I315+I316)/J314*12</f>
        <v>0.11589133542542429</v>
      </c>
      <c r="M315" s="4"/>
    </row>
    <row r="316" spans="1:13" x14ac:dyDescent="0.2">
      <c r="A316" s="16">
        <f t="shared" si="37"/>
        <v>60</v>
      </c>
      <c r="B316" s="17">
        <v>45169</v>
      </c>
      <c r="C316" s="39">
        <f t="shared" si="38"/>
        <v>2023</v>
      </c>
      <c r="D316" s="18" t="s">
        <v>36</v>
      </c>
      <c r="E316" s="22" t="s">
        <v>70</v>
      </c>
      <c r="F316" s="37" t="s">
        <v>79</v>
      </c>
      <c r="G316" s="18" t="s">
        <v>93</v>
      </c>
      <c r="H316" s="18"/>
      <c r="I316" s="21">
        <v>-0.27</v>
      </c>
      <c r="J316" s="19">
        <f t="shared" si="40"/>
        <v>915576.1399999999</v>
      </c>
      <c r="K316" s="4"/>
      <c r="M316" s="4"/>
    </row>
    <row r="317" spans="1:13" x14ac:dyDescent="0.2">
      <c r="A317" s="16">
        <f t="shared" si="37"/>
        <v>61</v>
      </c>
      <c r="B317" s="17">
        <v>45174</v>
      </c>
      <c r="C317" s="39">
        <f t="shared" si="38"/>
        <v>2023</v>
      </c>
      <c r="D317" s="18" t="s">
        <v>34</v>
      </c>
      <c r="E317" s="18"/>
      <c r="F317" s="37" t="s">
        <v>85</v>
      </c>
      <c r="G317" s="18" t="s">
        <v>34</v>
      </c>
      <c r="H317" s="22" t="s">
        <v>41</v>
      </c>
      <c r="I317" s="21">
        <v>-69</v>
      </c>
      <c r="J317" s="19">
        <f t="shared" si="40"/>
        <v>915507.1399999999</v>
      </c>
      <c r="K317" s="4"/>
      <c r="M317" s="4"/>
    </row>
    <row r="318" spans="1:13" x14ac:dyDescent="0.2">
      <c r="A318" s="16">
        <f t="shared" si="37"/>
        <v>62</v>
      </c>
      <c r="B318" s="17">
        <v>45199</v>
      </c>
      <c r="C318" s="39">
        <f t="shared" si="38"/>
        <v>2023</v>
      </c>
      <c r="D318" s="18" t="s">
        <v>35</v>
      </c>
      <c r="E318" s="22" t="s">
        <v>71</v>
      </c>
      <c r="F318" s="37" t="s">
        <v>68</v>
      </c>
      <c r="G318" s="22" t="s">
        <v>155</v>
      </c>
      <c r="H318" s="18"/>
      <c r="I318" s="21">
        <v>7511.27</v>
      </c>
      <c r="J318" s="19">
        <f t="shared" si="40"/>
        <v>923018.40999999992</v>
      </c>
      <c r="K318" s="54">
        <f>(I318+I319)/J317*12</f>
        <v>9.8448778892101296E-2</v>
      </c>
      <c r="M318" s="4"/>
    </row>
    <row r="319" spans="1:13" x14ac:dyDescent="0.2">
      <c r="A319" s="16">
        <f t="shared" si="37"/>
        <v>63</v>
      </c>
      <c r="B319" s="17">
        <v>45199</v>
      </c>
      <c r="C319" s="39">
        <f t="shared" si="38"/>
        <v>2023</v>
      </c>
      <c r="D319" s="18" t="s">
        <v>36</v>
      </c>
      <c r="E319" s="22" t="s">
        <v>70</v>
      </c>
      <c r="F319" s="37" t="s">
        <v>79</v>
      </c>
      <c r="G319" s="18" t="s">
        <v>93</v>
      </c>
      <c r="H319" s="18"/>
      <c r="I319" s="21">
        <v>-0.39</v>
      </c>
      <c r="J319" s="19">
        <f t="shared" si="40"/>
        <v>923018.0199999999</v>
      </c>
      <c r="K319" s="4"/>
      <c r="M319" s="4"/>
    </row>
    <row r="320" spans="1:13" x14ac:dyDescent="0.2">
      <c r="A320" s="16">
        <f t="shared" si="37"/>
        <v>64</v>
      </c>
      <c r="B320" s="17">
        <v>45204</v>
      </c>
      <c r="C320" s="39">
        <f t="shared" si="38"/>
        <v>2023</v>
      </c>
      <c r="D320" s="18" t="s">
        <v>34</v>
      </c>
      <c r="E320" s="18"/>
      <c r="F320" s="37" t="s">
        <v>85</v>
      </c>
      <c r="G320" s="18" t="s">
        <v>34</v>
      </c>
      <c r="H320" s="22" t="s">
        <v>41</v>
      </c>
      <c r="I320" s="21">
        <v>-69</v>
      </c>
      <c r="J320" s="19">
        <f t="shared" si="40"/>
        <v>922949.0199999999</v>
      </c>
      <c r="K320" s="4"/>
      <c r="M320" s="4"/>
    </row>
    <row r="321" spans="1:13" x14ac:dyDescent="0.2">
      <c r="A321" s="16">
        <f t="shared" si="37"/>
        <v>65</v>
      </c>
      <c r="B321" s="17">
        <v>45230</v>
      </c>
      <c r="C321" s="39">
        <f t="shared" si="38"/>
        <v>2023</v>
      </c>
      <c r="D321" s="18" t="s">
        <v>35</v>
      </c>
      <c r="E321" s="22" t="s">
        <v>71</v>
      </c>
      <c r="F321" s="37" t="s">
        <v>68</v>
      </c>
      <c r="G321" s="22" t="s">
        <v>155</v>
      </c>
      <c r="H321" s="18"/>
      <c r="I321" s="21">
        <v>7588.9</v>
      </c>
      <c r="J321" s="19">
        <f t="shared" si="40"/>
        <v>930537.91999999993</v>
      </c>
      <c r="K321" s="54">
        <f>(I321+I322)/J320*12</f>
        <v>9.8662740873813382E-2</v>
      </c>
      <c r="M321" s="4"/>
    </row>
    <row r="322" spans="1:13" x14ac:dyDescent="0.2">
      <c r="A322" s="16">
        <f t="shared" ref="A322:A359" si="41">A321+1</f>
        <v>66</v>
      </c>
      <c r="B322" s="17">
        <v>45230</v>
      </c>
      <c r="C322" s="39">
        <f t="shared" ref="C322:C361" si="42">IF(B322="","",YEAR(B322))</f>
        <v>2023</v>
      </c>
      <c r="D322" s="18" t="s">
        <v>36</v>
      </c>
      <c r="E322" s="22" t="s">
        <v>70</v>
      </c>
      <c r="F322" s="37" t="s">
        <v>79</v>
      </c>
      <c r="G322" s="18" t="s">
        <v>93</v>
      </c>
      <c r="H322" s="18"/>
      <c r="I322" s="21">
        <v>-0.51</v>
      </c>
      <c r="J322" s="19">
        <f t="shared" si="40"/>
        <v>930537.40999999992</v>
      </c>
      <c r="K322" s="4"/>
      <c r="M322" s="4"/>
    </row>
    <row r="323" spans="1:13" x14ac:dyDescent="0.2">
      <c r="A323" s="16">
        <f t="shared" si="41"/>
        <v>67</v>
      </c>
      <c r="B323" s="17">
        <v>45236</v>
      </c>
      <c r="C323" s="39">
        <f t="shared" si="42"/>
        <v>2023</v>
      </c>
      <c r="D323" s="18" t="s">
        <v>34</v>
      </c>
      <c r="E323" s="18"/>
      <c r="F323" s="37" t="s">
        <v>85</v>
      </c>
      <c r="G323" s="18" t="s">
        <v>34</v>
      </c>
      <c r="H323" s="22" t="s">
        <v>41</v>
      </c>
      <c r="I323" s="21">
        <v>-69</v>
      </c>
      <c r="J323" s="19">
        <f t="shared" si="40"/>
        <v>930468.40999999992</v>
      </c>
      <c r="K323" s="4"/>
      <c r="M323" s="4"/>
    </row>
    <row r="324" spans="1:13" x14ac:dyDescent="0.2">
      <c r="A324" s="16">
        <f t="shared" si="41"/>
        <v>68</v>
      </c>
      <c r="B324" s="17">
        <v>45260</v>
      </c>
      <c r="C324" s="39">
        <f t="shared" si="42"/>
        <v>2023</v>
      </c>
      <c r="D324" s="18" t="s">
        <v>35</v>
      </c>
      <c r="E324" s="22" t="s">
        <v>71</v>
      </c>
      <c r="F324" s="37" t="s">
        <v>68</v>
      </c>
      <c r="G324" s="22" t="s">
        <v>155</v>
      </c>
      <c r="H324" s="18"/>
      <c r="I324" s="21">
        <v>7053.29</v>
      </c>
      <c r="J324" s="19">
        <f t="shared" si="40"/>
        <v>937521.7</v>
      </c>
      <c r="K324" s="75">
        <f>(I324+I325)/J323*12</f>
        <v>-3.0767471192278302E-2</v>
      </c>
      <c r="M324" s="4"/>
    </row>
    <row r="325" spans="1:13" x14ac:dyDescent="0.2">
      <c r="A325" s="16">
        <f t="shared" si="41"/>
        <v>69</v>
      </c>
      <c r="B325" s="17">
        <v>45260</v>
      </c>
      <c r="C325" s="39">
        <f t="shared" si="42"/>
        <v>2023</v>
      </c>
      <c r="D325" s="18" t="s">
        <v>36</v>
      </c>
      <c r="E325" s="22" t="s">
        <v>70</v>
      </c>
      <c r="F325" s="37" t="s">
        <v>79</v>
      </c>
      <c r="G325" s="18" t="s">
        <v>93</v>
      </c>
      <c r="H325" s="18"/>
      <c r="I325" s="21">
        <v>-9438.9699999999993</v>
      </c>
      <c r="J325" s="19">
        <f t="shared" si="40"/>
        <v>928082.73</v>
      </c>
      <c r="K325" s="4"/>
      <c r="M325" s="4"/>
    </row>
    <row r="326" spans="1:13" x14ac:dyDescent="0.2">
      <c r="A326" s="16">
        <f t="shared" si="41"/>
        <v>70</v>
      </c>
      <c r="B326" s="17">
        <v>45265</v>
      </c>
      <c r="C326" s="39">
        <f t="shared" si="42"/>
        <v>2023</v>
      </c>
      <c r="D326" s="18" t="s">
        <v>34</v>
      </c>
      <c r="E326" s="18"/>
      <c r="F326" s="37" t="s">
        <v>85</v>
      </c>
      <c r="G326" s="18" t="s">
        <v>34</v>
      </c>
      <c r="H326" s="22" t="s">
        <v>41</v>
      </c>
      <c r="I326" s="21">
        <v>-72</v>
      </c>
      <c r="J326" s="19">
        <f t="shared" si="40"/>
        <v>928010.73</v>
      </c>
      <c r="K326" s="4"/>
      <c r="M326" s="4"/>
    </row>
    <row r="327" spans="1:13" x14ac:dyDescent="0.2">
      <c r="A327" s="16">
        <f t="shared" si="41"/>
        <v>71</v>
      </c>
      <c r="B327" s="17">
        <v>45291</v>
      </c>
      <c r="C327" s="39">
        <f t="shared" si="42"/>
        <v>2023</v>
      </c>
      <c r="D327" s="18" t="s">
        <v>35</v>
      </c>
      <c r="E327" s="22" t="s">
        <v>71</v>
      </c>
      <c r="F327" s="37" t="s">
        <v>68</v>
      </c>
      <c r="G327" s="22" t="s">
        <v>155</v>
      </c>
      <c r="H327" s="18"/>
      <c r="I327" s="21">
        <v>6908.87</v>
      </c>
      <c r="J327" s="19">
        <f t="shared" ref="J327:J390" si="43">IF(I327="",".",J326+I327)</f>
        <v>934919.6</v>
      </c>
      <c r="K327" s="54">
        <f>(I327+I328)/J325*12</f>
        <v>8.9330743176311456E-2</v>
      </c>
      <c r="M327" s="4"/>
    </row>
    <row r="328" spans="1:13" x14ac:dyDescent="0.2">
      <c r="A328" s="40">
        <f t="shared" si="41"/>
        <v>72</v>
      </c>
      <c r="B328" s="41">
        <v>45291</v>
      </c>
      <c r="C328" s="42">
        <f t="shared" si="42"/>
        <v>2023</v>
      </c>
      <c r="D328" s="43" t="s">
        <v>36</v>
      </c>
      <c r="E328" s="47" t="s">
        <v>70</v>
      </c>
      <c r="F328" s="46" t="s">
        <v>79</v>
      </c>
      <c r="G328" s="43" t="s">
        <v>93</v>
      </c>
      <c r="H328" s="43"/>
      <c r="I328" s="44">
        <v>-0.01</v>
      </c>
      <c r="J328" s="45">
        <f t="shared" si="43"/>
        <v>934919.59</v>
      </c>
      <c r="K328" s="4"/>
      <c r="M328" s="4"/>
    </row>
    <row r="329" spans="1:13" x14ac:dyDescent="0.2">
      <c r="A329" s="16">
        <f t="shared" si="41"/>
        <v>73</v>
      </c>
      <c r="B329" s="17">
        <v>45296</v>
      </c>
      <c r="C329" s="39">
        <f t="shared" si="42"/>
        <v>2024</v>
      </c>
      <c r="D329" s="18" t="s">
        <v>34</v>
      </c>
      <c r="E329" s="18"/>
      <c r="F329" s="37" t="s">
        <v>85</v>
      </c>
      <c r="G329" s="18" t="s">
        <v>34</v>
      </c>
      <c r="H329" s="22" t="s">
        <v>41</v>
      </c>
      <c r="I329" s="21">
        <v>-72</v>
      </c>
      <c r="J329" s="19">
        <f t="shared" si="43"/>
        <v>934847.59</v>
      </c>
      <c r="K329" s="4"/>
      <c r="M329" s="4"/>
    </row>
    <row r="330" spans="1:13" x14ac:dyDescent="0.2">
      <c r="A330" s="16">
        <f t="shared" si="41"/>
        <v>74</v>
      </c>
      <c r="B330" s="17">
        <v>45322</v>
      </c>
      <c r="C330" s="39">
        <f t="shared" si="42"/>
        <v>2024</v>
      </c>
      <c r="D330" s="18" t="s">
        <v>35</v>
      </c>
      <c r="E330" s="22" t="s">
        <v>71</v>
      </c>
      <c r="F330" s="37" t="s">
        <v>68</v>
      </c>
      <c r="G330" s="22" t="s">
        <v>155</v>
      </c>
      <c r="H330" s="18"/>
      <c r="I330" s="21">
        <v>7451.07</v>
      </c>
      <c r="J330" s="19">
        <f t="shared" si="43"/>
        <v>942298.65999999992</v>
      </c>
      <c r="K330" s="54">
        <f>(I330+I331)/J328*12</f>
        <v>9.5635390418977118E-2</v>
      </c>
      <c r="M330" s="4"/>
    </row>
    <row r="331" spans="1:13" x14ac:dyDescent="0.2">
      <c r="A331" s="16">
        <f t="shared" si="41"/>
        <v>75</v>
      </c>
      <c r="B331" s="17">
        <v>45322</v>
      </c>
      <c r="C331" s="39">
        <f t="shared" si="42"/>
        <v>2024</v>
      </c>
      <c r="D331" s="18" t="s">
        <v>36</v>
      </c>
      <c r="E331" s="22" t="s">
        <v>70</v>
      </c>
      <c r="F331" s="37" t="s">
        <v>79</v>
      </c>
      <c r="G331" s="18" t="s">
        <v>93</v>
      </c>
      <c r="H331" s="18"/>
      <c r="I331" s="21">
        <v>-0.12</v>
      </c>
      <c r="J331" s="19">
        <f t="shared" si="43"/>
        <v>942298.53999999992</v>
      </c>
      <c r="K331" s="4"/>
      <c r="M331" s="4"/>
    </row>
    <row r="332" spans="1:13" x14ac:dyDescent="0.2">
      <c r="A332" s="16">
        <f t="shared" si="41"/>
        <v>76</v>
      </c>
      <c r="B332" s="17">
        <v>45351</v>
      </c>
      <c r="C332" s="39">
        <f t="shared" si="42"/>
        <v>2024</v>
      </c>
      <c r="D332" s="18" t="s">
        <v>35</v>
      </c>
      <c r="E332" s="22" t="s">
        <v>71</v>
      </c>
      <c r="F332" s="37" t="s">
        <v>68</v>
      </c>
      <c r="G332" s="22" t="s">
        <v>155</v>
      </c>
      <c r="H332" s="18"/>
      <c r="I332" s="21">
        <v>6186.6</v>
      </c>
      <c r="J332" s="19">
        <f t="shared" si="43"/>
        <v>948485.1399999999</v>
      </c>
      <c r="K332" s="54">
        <f>(I332+I333)/J330*12</f>
        <v>7.8785212323235196E-2</v>
      </c>
      <c r="M332" s="4"/>
    </row>
    <row r="333" spans="1:13" x14ac:dyDescent="0.2">
      <c r="A333" s="16">
        <f t="shared" si="41"/>
        <v>77</v>
      </c>
      <c r="B333" s="17">
        <v>45351</v>
      </c>
      <c r="C333" s="39">
        <f t="shared" si="42"/>
        <v>2024</v>
      </c>
      <c r="D333" s="18" t="s">
        <v>36</v>
      </c>
      <c r="E333" s="22" t="s">
        <v>70</v>
      </c>
      <c r="F333" s="37" t="s">
        <v>79</v>
      </c>
      <c r="G333" s="18" t="s">
        <v>93</v>
      </c>
      <c r="H333" s="18"/>
      <c r="I333" s="21">
        <v>0</v>
      </c>
      <c r="J333" s="19">
        <f t="shared" si="43"/>
        <v>948485.1399999999</v>
      </c>
      <c r="K333" s="4"/>
      <c r="M333" s="4"/>
    </row>
    <row r="334" spans="1:13" x14ac:dyDescent="0.2">
      <c r="A334" s="16">
        <f t="shared" si="41"/>
        <v>78</v>
      </c>
      <c r="B334" s="17">
        <v>45382</v>
      </c>
      <c r="C334" s="39">
        <f t="shared" si="42"/>
        <v>2024</v>
      </c>
      <c r="D334" s="18" t="s">
        <v>35</v>
      </c>
      <c r="E334" s="22" t="s">
        <v>71</v>
      </c>
      <c r="F334" s="37" t="s">
        <v>68</v>
      </c>
      <c r="G334" s="22" t="s">
        <v>155</v>
      </c>
      <c r="H334" s="18"/>
      <c r="I334" s="21">
        <v>6441.49</v>
      </c>
      <c r="J334" s="19">
        <f t="shared" si="43"/>
        <v>954926.62999999989</v>
      </c>
      <c r="K334" s="54">
        <f>(I334+I335)/J332*12</f>
        <v>8.1496142364444427E-2</v>
      </c>
      <c r="M334" s="4"/>
    </row>
    <row r="335" spans="1:13" x14ac:dyDescent="0.2">
      <c r="A335" s="16">
        <f t="shared" si="41"/>
        <v>79</v>
      </c>
      <c r="B335" s="17">
        <v>45382</v>
      </c>
      <c r="C335" s="39">
        <f t="shared" si="42"/>
        <v>2024</v>
      </c>
      <c r="D335" s="18" t="s">
        <v>36</v>
      </c>
      <c r="E335" s="22" t="s">
        <v>70</v>
      </c>
      <c r="F335" s="37" t="s">
        <v>79</v>
      </c>
      <c r="G335" s="18" t="s">
        <v>93</v>
      </c>
      <c r="H335" s="18"/>
      <c r="I335" s="21">
        <v>0</v>
      </c>
      <c r="J335" s="19">
        <f t="shared" si="43"/>
        <v>954926.62999999989</v>
      </c>
      <c r="K335" s="4"/>
      <c r="M335"/>
    </row>
    <row r="336" spans="1:13" x14ac:dyDescent="0.2">
      <c r="A336" s="16">
        <f t="shared" si="41"/>
        <v>80</v>
      </c>
      <c r="B336" s="17">
        <v>45385</v>
      </c>
      <c r="C336" s="39">
        <f t="shared" si="42"/>
        <v>2024</v>
      </c>
      <c r="D336" s="18" t="s">
        <v>34</v>
      </c>
      <c r="E336" s="18"/>
      <c r="F336" s="37" t="s">
        <v>91</v>
      </c>
      <c r="G336" s="18" t="s">
        <v>34</v>
      </c>
      <c r="H336" s="22" t="s">
        <v>41</v>
      </c>
      <c r="I336" s="21">
        <v>-817.6</v>
      </c>
      <c r="J336" s="19">
        <f t="shared" si="43"/>
        <v>954109.02999999991</v>
      </c>
      <c r="K336" s="4"/>
      <c r="M336" s="4"/>
    </row>
    <row r="337" spans="1:13" x14ac:dyDescent="0.2">
      <c r="A337" s="16">
        <f t="shared" si="41"/>
        <v>81</v>
      </c>
      <c r="B337" s="17">
        <v>45387</v>
      </c>
      <c r="C337" s="39">
        <f t="shared" si="42"/>
        <v>2024</v>
      </c>
      <c r="D337" s="18" t="s">
        <v>34</v>
      </c>
      <c r="E337" s="18"/>
      <c r="F337" s="37" t="s">
        <v>85</v>
      </c>
      <c r="G337" s="18" t="s">
        <v>34</v>
      </c>
      <c r="H337" s="22" t="s">
        <v>41</v>
      </c>
      <c r="I337" s="21">
        <v>-72</v>
      </c>
      <c r="J337" s="19">
        <f t="shared" si="43"/>
        <v>954037.02999999991</v>
      </c>
      <c r="K337" s="4"/>
      <c r="M337" s="4"/>
    </row>
    <row r="338" spans="1:13" x14ac:dyDescent="0.2">
      <c r="A338" s="16">
        <f t="shared" si="41"/>
        <v>82</v>
      </c>
      <c r="B338" s="17">
        <v>45412</v>
      </c>
      <c r="C338" s="39">
        <f t="shared" si="42"/>
        <v>2024</v>
      </c>
      <c r="D338" s="18" t="s">
        <v>35</v>
      </c>
      <c r="E338" s="22" t="s">
        <v>71</v>
      </c>
      <c r="F338" s="37" t="s">
        <v>68</v>
      </c>
      <c r="G338" s="22" t="s">
        <v>155</v>
      </c>
      <c r="H338" s="18"/>
      <c r="I338" s="21">
        <v>6826.21</v>
      </c>
      <c r="J338" s="19">
        <f t="shared" si="43"/>
        <v>960863.23999999987</v>
      </c>
      <c r="K338" s="54">
        <f>(I338+I339)/J337*12</f>
        <v>8.5795160382820798E-2</v>
      </c>
      <c r="M338" s="4"/>
    </row>
    <row r="339" spans="1:13" x14ac:dyDescent="0.2">
      <c r="A339" s="16">
        <f t="shared" si="41"/>
        <v>83</v>
      </c>
      <c r="B339" s="17">
        <v>45412</v>
      </c>
      <c r="C339" s="39">
        <f t="shared" si="42"/>
        <v>2024</v>
      </c>
      <c r="D339" s="18" t="s">
        <v>36</v>
      </c>
      <c r="E339" s="22" t="s">
        <v>70</v>
      </c>
      <c r="F339" s="37" t="s">
        <v>79</v>
      </c>
      <c r="G339" s="18" t="s">
        <v>93</v>
      </c>
      <c r="H339" s="18"/>
      <c r="I339" s="21">
        <v>-5.23</v>
      </c>
      <c r="J339" s="19">
        <f t="shared" si="43"/>
        <v>960858.00999999989</v>
      </c>
      <c r="K339" s="4"/>
      <c r="M339" s="4"/>
    </row>
    <row r="340" spans="1:13" x14ac:dyDescent="0.2">
      <c r="A340" s="16">
        <f t="shared" si="41"/>
        <v>84</v>
      </c>
      <c r="B340" s="17">
        <v>45418</v>
      </c>
      <c r="C340" s="39">
        <f t="shared" si="42"/>
        <v>2024</v>
      </c>
      <c r="D340" s="18" t="s">
        <v>34</v>
      </c>
      <c r="E340" s="18"/>
      <c r="F340" s="37" t="s">
        <v>85</v>
      </c>
      <c r="G340" s="18" t="s">
        <v>34</v>
      </c>
      <c r="H340" s="22" t="s">
        <v>41</v>
      </c>
      <c r="I340" s="21">
        <v>-72</v>
      </c>
      <c r="J340" s="19">
        <f t="shared" si="43"/>
        <v>960786.00999999989</v>
      </c>
      <c r="K340" s="4"/>
      <c r="M340" s="4"/>
    </row>
    <row r="341" spans="1:13" x14ac:dyDescent="0.2">
      <c r="A341" s="16">
        <f t="shared" si="41"/>
        <v>85</v>
      </c>
      <c r="B341" s="17">
        <v>45441</v>
      </c>
      <c r="C341" s="39">
        <f t="shared" si="42"/>
        <v>2024</v>
      </c>
      <c r="D341" s="18" t="s">
        <v>34</v>
      </c>
      <c r="E341" s="18"/>
      <c r="F341" s="37" t="s">
        <v>85</v>
      </c>
      <c r="G341" s="18" t="s">
        <v>34</v>
      </c>
      <c r="H341" s="22" t="s">
        <v>41</v>
      </c>
      <c r="I341" s="21">
        <v>-1049.08</v>
      </c>
      <c r="J341" s="19">
        <f t="shared" si="43"/>
        <v>959736.92999999993</v>
      </c>
      <c r="K341" s="4"/>
      <c r="M341" s="4"/>
    </row>
    <row r="342" spans="1:13" x14ac:dyDescent="0.2">
      <c r="A342" s="16">
        <f t="shared" si="41"/>
        <v>86</v>
      </c>
      <c r="B342" s="17">
        <v>45443</v>
      </c>
      <c r="C342" s="39">
        <f t="shared" si="42"/>
        <v>2024</v>
      </c>
      <c r="D342" s="18" t="s">
        <v>35</v>
      </c>
      <c r="E342" s="22" t="s">
        <v>71</v>
      </c>
      <c r="F342" s="37" t="s">
        <v>68</v>
      </c>
      <c r="G342" s="22" t="s">
        <v>155</v>
      </c>
      <c r="H342" s="18"/>
      <c r="I342" s="21">
        <v>6405.87</v>
      </c>
      <c r="J342" s="19">
        <f t="shared" si="43"/>
        <v>966142.79999999993</v>
      </c>
      <c r="K342" s="75">
        <f>(I342+I343)/J341*12</f>
        <v>-1.9671640644275304E-2</v>
      </c>
      <c r="M342" s="4"/>
    </row>
    <row r="343" spans="1:13" x14ac:dyDescent="0.2">
      <c r="A343" s="16">
        <f t="shared" si="41"/>
        <v>87</v>
      </c>
      <c r="B343" s="17">
        <v>45443</v>
      </c>
      <c r="C343" s="39">
        <f t="shared" si="42"/>
        <v>2024</v>
      </c>
      <c r="D343" s="18" t="s">
        <v>36</v>
      </c>
      <c r="E343" s="22" t="s">
        <v>70</v>
      </c>
      <c r="F343" s="37" t="s">
        <v>79</v>
      </c>
      <c r="G343" s="18" t="s">
        <v>93</v>
      </c>
      <c r="H343" s="18"/>
      <c r="I343" s="21">
        <v>-7979.17</v>
      </c>
      <c r="J343" s="19">
        <f t="shared" si="43"/>
        <v>958163.62999999989</v>
      </c>
      <c r="K343" s="4"/>
      <c r="M343" s="4"/>
    </row>
    <row r="344" spans="1:13" x14ac:dyDescent="0.2">
      <c r="A344" s="16">
        <f t="shared" si="41"/>
        <v>88</v>
      </c>
      <c r="B344" s="17">
        <v>45448</v>
      </c>
      <c r="C344" s="39">
        <f t="shared" si="42"/>
        <v>2024</v>
      </c>
      <c r="D344" s="18" t="s">
        <v>34</v>
      </c>
      <c r="E344" s="18"/>
      <c r="F344" s="37" t="s">
        <v>85</v>
      </c>
      <c r="G344" s="18" t="s">
        <v>34</v>
      </c>
      <c r="H344" s="22" t="s">
        <v>41</v>
      </c>
      <c r="I344" s="21">
        <v>-72</v>
      </c>
      <c r="J344" s="19">
        <f t="shared" si="43"/>
        <v>958091.62999999989</v>
      </c>
      <c r="K344" s="4"/>
      <c r="M344" s="4"/>
    </row>
    <row r="345" spans="1:13" x14ac:dyDescent="0.2">
      <c r="A345" s="16">
        <f t="shared" si="41"/>
        <v>89</v>
      </c>
      <c r="B345" s="17">
        <v>45471</v>
      </c>
      <c r="C345" s="39">
        <f t="shared" si="42"/>
        <v>2024</v>
      </c>
      <c r="D345" s="18" t="s">
        <v>35</v>
      </c>
      <c r="E345" s="22" t="s">
        <v>71</v>
      </c>
      <c r="F345" s="37" t="s">
        <v>68</v>
      </c>
      <c r="G345" s="22" t="s">
        <v>155</v>
      </c>
      <c r="H345" s="18"/>
      <c r="I345" s="21">
        <v>6084.94</v>
      </c>
      <c r="J345" s="19">
        <f t="shared" si="43"/>
        <v>964176.56999999983</v>
      </c>
      <c r="K345" s="79">
        <f>(I345+I346)/J344*12</f>
        <v>7.6213127965641447E-2</v>
      </c>
      <c r="M345" s="4"/>
    </row>
    <row r="346" spans="1:13" x14ac:dyDescent="0.2">
      <c r="A346" s="16">
        <f t="shared" si="41"/>
        <v>90</v>
      </c>
      <c r="B346" s="17">
        <v>45471</v>
      </c>
      <c r="C346" s="39">
        <f t="shared" si="42"/>
        <v>2024</v>
      </c>
      <c r="D346" s="18" t="s">
        <v>36</v>
      </c>
      <c r="E346" s="22" t="s">
        <v>70</v>
      </c>
      <c r="F346" s="37" t="s">
        <v>79</v>
      </c>
      <c r="G346" s="18" t="s">
        <v>93</v>
      </c>
      <c r="H346" s="18"/>
      <c r="I346" s="21">
        <v>-0.01</v>
      </c>
      <c r="J346" s="19">
        <f t="shared" si="43"/>
        <v>964176.55999999982</v>
      </c>
      <c r="K346" s="4"/>
      <c r="M346" s="4"/>
    </row>
    <row r="347" spans="1:13" x14ac:dyDescent="0.2">
      <c r="A347" s="16">
        <f t="shared" si="41"/>
        <v>91</v>
      </c>
      <c r="B347" s="17">
        <v>45478</v>
      </c>
      <c r="C347" s="39">
        <f t="shared" si="42"/>
        <v>2024</v>
      </c>
      <c r="D347" s="18" t="s">
        <v>34</v>
      </c>
      <c r="E347" s="18"/>
      <c r="F347" s="37"/>
      <c r="G347" s="18" t="s">
        <v>34</v>
      </c>
      <c r="H347" s="22" t="s">
        <v>41</v>
      </c>
      <c r="I347" s="21">
        <v>-922</v>
      </c>
      <c r="J347" s="19">
        <f t="shared" si="43"/>
        <v>963254.55999999982</v>
      </c>
      <c r="K347" s="4"/>
      <c r="M347" s="4"/>
    </row>
    <row r="348" spans="1:13" x14ac:dyDescent="0.2">
      <c r="A348" s="16">
        <f t="shared" si="41"/>
        <v>92</v>
      </c>
      <c r="B348" s="17">
        <v>45504</v>
      </c>
      <c r="C348" s="39">
        <f t="shared" si="42"/>
        <v>2024</v>
      </c>
      <c r="D348" s="18" t="s">
        <v>35</v>
      </c>
      <c r="E348" s="22" t="s">
        <v>71</v>
      </c>
      <c r="F348" s="37" t="s">
        <v>68</v>
      </c>
      <c r="G348" s="22" t="s">
        <v>155</v>
      </c>
      <c r="H348" s="18"/>
      <c r="I348" s="21">
        <v>7046.15</v>
      </c>
      <c r="J348" s="19">
        <f t="shared" si="43"/>
        <v>970300.70999999985</v>
      </c>
      <c r="K348" s="85">
        <f>(I348+I349)/J347*12</f>
        <v>8.7760477355020267E-2</v>
      </c>
      <c r="M348" s="4"/>
    </row>
    <row r="349" spans="1:13" x14ac:dyDescent="0.2">
      <c r="A349" s="16">
        <f t="shared" si="41"/>
        <v>93</v>
      </c>
      <c r="B349" s="17">
        <v>45504</v>
      </c>
      <c r="C349" s="39">
        <f t="shared" si="42"/>
        <v>2024</v>
      </c>
      <c r="D349" s="18" t="s">
        <v>36</v>
      </c>
      <c r="E349" s="22" t="s">
        <v>70</v>
      </c>
      <c r="F349" s="37" t="s">
        <v>79</v>
      </c>
      <c r="G349" s="18" t="s">
        <v>93</v>
      </c>
      <c r="H349" s="18"/>
      <c r="I349" s="21">
        <v>-1.51</v>
      </c>
      <c r="J349" s="19">
        <f t="shared" si="43"/>
        <v>970299.19999999984</v>
      </c>
      <c r="K349" s="4"/>
      <c r="M349" s="4"/>
    </row>
    <row r="350" spans="1:13" x14ac:dyDescent="0.2">
      <c r="A350" s="16">
        <f t="shared" si="41"/>
        <v>94</v>
      </c>
      <c r="B350" s="17">
        <v>45509</v>
      </c>
      <c r="C350" s="39">
        <f t="shared" si="42"/>
        <v>2024</v>
      </c>
      <c r="D350" s="18" t="s">
        <v>34</v>
      </c>
      <c r="E350" s="18"/>
      <c r="F350" s="37" t="s">
        <v>85</v>
      </c>
      <c r="G350" s="18" t="s">
        <v>34</v>
      </c>
      <c r="H350" s="22" t="s">
        <v>41</v>
      </c>
      <c r="I350" s="21">
        <v>-73.8</v>
      </c>
      <c r="J350" s="19">
        <f t="shared" si="43"/>
        <v>970225.39999999979</v>
      </c>
      <c r="K350" s="4"/>
      <c r="M350" s="4"/>
    </row>
    <row r="351" spans="1:13" x14ac:dyDescent="0.2">
      <c r="A351" s="16">
        <f t="shared" si="41"/>
        <v>95</v>
      </c>
      <c r="B351" s="17">
        <v>45535</v>
      </c>
      <c r="C351" s="39">
        <f t="shared" si="42"/>
        <v>2024</v>
      </c>
      <c r="D351" s="18" t="s">
        <v>35</v>
      </c>
      <c r="E351" s="22" t="s">
        <v>71</v>
      </c>
      <c r="F351" s="37" t="s">
        <v>68</v>
      </c>
      <c r="G351" s="22" t="s">
        <v>155</v>
      </c>
      <c r="H351" s="18"/>
      <c r="I351" s="21">
        <v>6811.3</v>
      </c>
      <c r="J351" s="19">
        <f t="shared" si="43"/>
        <v>977036.69999999984</v>
      </c>
      <c r="K351" s="85">
        <f>(I351+I352)/J350*12</f>
        <v>8.4241331962655291E-2</v>
      </c>
      <c r="M351" s="4"/>
    </row>
    <row r="352" spans="1:13" x14ac:dyDescent="0.2">
      <c r="A352" s="16">
        <f t="shared" si="41"/>
        <v>96</v>
      </c>
      <c r="B352" s="17">
        <v>45535</v>
      </c>
      <c r="C352" s="39">
        <f t="shared" si="42"/>
        <v>2024</v>
      </c>
      <c r="D352" s="18" t="s">
        <v>36</v>
      </c>
      <c r="E352" s="22" t="s">
        <v>70</v>
      </c>
      <c r="F352" s="37" t="s">
        <v>79</v>
      </c>
      <c r="G352" s="18" t="s">
        <v>93</v>
      </c>
      <c r="H352" s="18"/>
      <c r="I352" s="21">
        <v>-0.21</v>
      </c>
      <c r="J352" s="19">
        <f t="shared" si="43"/>
        <v>977036.48999999987</v>
      </c>
      <c r="K352" s="4"/>
      <c r="M352" s="4"/>
    </row>
    <row r="353" spans="1:13" x14ac:dyDescent="0.2">
      <c r="A353" s="16">
        <f t="shared" si="41"/>
        <v>97</v>
      </c>
      <c r="B353" s="17">
        <v>45540</v>
      </c>
      <c r="C353" s="39">
        <f t="shared" si="42"/>
        <v>2024</v>
      </c>
      <c r="D353" s="18" t="s">
        <v>34</v>
      </c>
      <c r="E353" s="18"/>
      <c r="F353" s="37" t="s">
        <v>85</v>
      </c>
      <c r="G353" s="18" t="s">
        <v>34</v>
      </c>
      <c r="H353" s="22" t="s">
        <v>41</v>
      </c>
      <c r="I353" s="21">
        <v>-73.8</v>
      </c>
      <c r="J353" s="19">
        <f t="shared" si="43"/>
        <v>976962.68999999983</v>
      </c>
      <c r="K353" s="4"/>
      <c r="M353" s="4"/>
    </row>
    <row r="354" spans="1:13" x14ac:dyDescent="0.2">
      <c r="A354" s="16">
        <f t="shared" si="41"/>
        <v>98</v>
      </c>
      <c r="B354" s="17">
        <v>45565</v>
      </c>
      <c r="C354" s="39">
        <f t="shared" si="42"/>
        <v>2024</v>
      </c>
      <c r="D354" s="18" t="s">
        <v>35</v>
      </c>
      <c r="E354" s="22" t="s">
        <v>71</v>
      </c>
      <c r="F354" s="37" t="s">
        <v>68</v>
      </c>
      <c r="G354" s="22" t="s">
        <v>155</v>
      </c>
      <c r="H354" s="18"/>
      <c r="I354" s="21">
        <v>6574.94</v>
      </c>
      <c r="J354" s="19">
        <f t="shared" si="43"/>
        <v>983537.62999999977</v>
      </c>
      <c r="K354" s="85">
        <f>(I354+I355)/J353*12</f>
        <v>8.0755837257203755E-2</v>
      </c>
      <c r="M354" s="4"/>
    </row>
    <row r="355" spans="1:13" x14ac:dyDescent="0.2">
      <c r="A355" s="16">
        <f t="shared" si="41"/>
        <v>99</v>
      </c>
      <c r="B355" s="17">
        <v>45565</v>
      </c>
      <c r="C355" s="39">
        <f t="shared" si="42"/>
        <v>2024</v>
      </c>
      <c r="D355" s="18" t="s">
        <v>36</v>
      </c>
      <c r="E355" s="22" t="s">
        <v>70</v>
      </c>
      <c r="F355" s="37" t="s">
        <v>79</v>
      </c>
      <c r="G355" s="18" t="s">
        <v>93</v>
      </c>
      <c r="H355" s="18"/>
      <c r="I355" s="21">
        <v>-0.32</v>
      </c>
      <c r="J355" s="19">
        <f t="shared" si="43"/>
        <v>983537.30999999982</v>
      </c>
      <c r="K355" s="4"/>
      <c r="M355" s="4"/>
    </row>
    <row r="356" spans="1:13" x14ac:dyDescent="0.2">
      <c r="A356" s="16">
        <f t="shared" si="41"/>
        <v>100</v>
      </c>
      <c r="B356" s="17">
        <v>45572</v>
      </c>
      <c r="C356" s="39">
        <f t="shared" si="42"/>
        <v>2024</v>
      </c>
      <c r="D356" s="18" t="s">
        <v>34</v>
      </c>
      <c r="E356" s="18"/>
      <c r="F356" s="37" t="s">
        <v>85</v>
      </c>
      <c r="G356" s="18" t="s">
        <v>34</v>
      </c>
      <c r="H356" s="22" t="s">
        <v>41</v>
      </c>
      <c r="I356" s="21">
        <v>-73.8</v>
      </c>
      <c r="J356" s="19">
        <f t="shared" si="43"/>
        <v>983463.50999999978</v>
      </c>
      <c r="K356" s="4"/>
      <c r="M356" s="4"/>
    </row>
    <row r="357" spans="1:13" x14ac:dyDescent="0.2">
      <c r="A357" s="16">
        <f t="shared" si="41"/>
        <v>101</v>
      </c>
      <c r="B357" s="17">
        <v>45596</v>
      </c>
      <c r="C357" s="39">
        <f t="shared" si="42"/>
        <v>2024</v>
      </c>
      <c r="D357" s="18" t="s">
        <v>34</v>
      </c>
      <c r="E357" s="18"/>
      <c r="F357" t="s">
        <v>91</v>
      </c>
      <c r="G357" s="18" t="s">
        <v>34</v>
      </c>
      <c r="H357" s="22" t="s">
        <v>41</v>
      </c>
      <c r="I357" s="21">
        <v>-184</v>
      </c>
      <c r="J357" s="19">
        <f t="shared" si="43"/>
        <v>983279.50999999978</v>
      </c>
      <c r="K357" s="4"/>
      <c r="M357" s="4"/>
    </row>
    <row r="358" spans="1:13" x14ac:dyDescent="0.2">
      <c r="A358" s="16">
        <f t="shared" si="41"/>
        <v>102</v>
      </c>
      <c r="B358" s="17">
        <v>45596</v>
      </c>
      <c r="C358" s="39">
        <f t="shared" si="42"/>
        <v>2024</v>
      </c>
      <c r="D358" s="18" t="s">
        <v>35</v>
      </c>
      <c r="E358" s="22" t="s">
        <v>71</v>
      </c>
      <c r="F358" s="37" t="s">
        <v>68</v>
      </c>
      <c r="G358" s="22" t="s">
        <v>155</v>
      </c>
      <c r="H358" s="18"/>
      <c r="I358" s="21">
        <v>7462.65</v>
      </c>
      <c r="J358" s="19">
        <f t="shared" si="43"/>
        <v>990742.1599999998</v>
      </c>
      <c r="K358" s="85">
        <f>(I358+I359)/J357*12</f>
        <v>9.1053743202683057E-2</v>
      </c>
      <c r="M358" s="4"/>
    </row>
    <row r="359" spans="1:13" x14ac:dyDescent="0.2">
      <c r="A359" s="16">
        <f t="shared" si="41"/>
        <v>103</v>
      </c>
      <c r="B359" s="17">
        <v>45596</v>
      </c>
      <c r="C359" s="39">
        <f t="shared" si="42"/>
        <v>2024</v>
      </c>
      <c r="D359" s="18" t="s">
        <v>36</v>
      </c>
      <c r="E359" s="22" t="s">
        <v>70</v>
      </c>
      <c r="F359" s="37" t="s">
        <v>79</v>
      </c>
      <c r="G359" s="18" t="s">
        <v>93</v>
      </c>
      <c r="H359" s="18"/>
      <c r="I359" s="21">
        <v>-1.71</v>
      </c>
      <c r="J359" s="19">
        <f t="shared" si="43"/>
        <v>990740.44999999984</v>
      </c>
      <c r="K359" s="4"/>
      <c r="M359" s="4"/>
    </row>
    <row r="360" spans="1:13" x14ac:dyDescent="0.2">
      <c r="A360" s="16">
        <f>A357+1</f>
        <v>102</v>
      </c>
      <c r="B360" s="17">
        <v>45601</v>
      </c>
      <c r="C360" s="39">
        <f t="shared" ref="C360" si="44">IF(B360="","",YEAR(B360))</f>
        <v>2024</v>
      </c>
      <c r="D360" s="18" t="s">
        <v>34</v>
      </c>
      <c r="E360" s="18"/>
      <c r="F360" s="37" t="s">
        <v>85</v>
      </c>
      <c r="G360" s="18" t="s">
        <v>34</v>
      </c>
      <c r="H360" s="22" t="s">
        <v>41</v>
      </c>
      <c r="I360" s="21">
        <v>-73.8</v>
      </c>
      <c r="J360" s="19">
        <f t="shared" si="43"/>
        <v>990666.64999999979</v>
      </c>
      <c r="K360" s="4"/>
      <c r="M360" s="4"/>
    </row>
    <row r="361" spans="1:13" x14ac:dyDescent="0.2">
      <c r="A361" s="16">
        <f>A358+1</f>
        <v>103</v>
      </c>
      <c r="B361" s="17">
        <v>45603</v>
      </c>
      <c r="C361" s="39">
        <f t="shared" si="42"/>
        <v>2024</v>
      </c>
      <c r="D361" s="18" t="s">
        <v>34</v>
      </c>
      <c r="E361" s="18"/>
      <c r="F361" t="s">
        <v>91</v>
      </c>
      <c r="G361" s="18" t="s">
        <v>34</v>
      </c>
      <c r="H361" s="22" t="s">
        <v>41</v>
      </c>
      <c r="I361" s="21">
        <v>-421.6</v>
      </c>
      <c r="J361" s="19">
        <f t="shared" si="43"/>
        <v>990245.04999999981</v>
      </c>
      <c r="K361" s="4"/>
      <c r="M361" s="4"/>
    </row>
    <row r="362" spans="1:13" x14ac:dyDescent="0.2">
      <c r="A362" s="16">
        <f>A359+1</f>
        <v>104</v>
      </c>
      <c r="B362" s="17">
        <v>45625</v>
      </c>
      <c r="C362" s="39">
        <f t="shared" ref="C362:C425" si="45">IF(B362="","",YEAR(B362))</f>
        <v>2024</v>
      </c>
      <c r="D362" s="18" t="s">
        <v>34</v>
      </c>
      <c r="E362" s="18"/>
      <c r="F362" t="s">
        <v>91</v>
      </c>
      <c r="G362" s="18" t="s">
        <v>34</v>
      </c>
      <c r="H362" s="22" t="s">
        <v>41</v>
      </c>
      <c r="I362" s="21">
        <v>-653</v>
      </c>
      <c r="J362" s="19">
        <f t="shared" si="43"/>
        <v>989592.04999999981</v>
      </c>
      <c r="K362" s="4"/>
      <c r="M362" s="4"/>
    </row>
    <row r="363" spans="1:13" x14ac:dyDescent="0.2">
      <c r="A363" s="16">
        <f t="shared" ref="A363:A364" si="46">A362+1</f>
        <v>105</v>
      </c>
      <c r="B363" s="17">
        <v>45625</v>
      </c>
      <c r="C363" s="39">
        <f t="shared" si="45"/>
        <v>2024</v>
      </c>
      <c r="D363" s="18" t="s">
        <v>35</v>
      </c>
      <c r="E363" s="22" t="s">
        <v>71</v>
      </c>
      <c r="F363" s="37" t="s">
        <v>68</v>
      </c>
      <c r="G363" s="22" t="s">
        <v>155</v>
      </c>
      <c r="H363" s="18"/>
      <c r="I363" s="21">
        <v>6453.93</v>
      </c>
      <c r="J363" s="19">
        <f t="shared" si="43"/>
        <v>996045.97999999986</v>
      </c>
      <c r="K363" s="75">
        <f>(I363+I364)/J362*12</f>
        <v>-1.963645524436055E-2</v>
      </c>
      <c r="M363" s="4"/>
    </row>
    <row r="364" spans="1:13" x14ac:dyDescent="0.2">
      <c r="A364" s="16">
        <f t="shared" si="46"/>
        <v>106</v>
      </c>
      <c r="B364" s="17">
        <v>45625</v>
      </c>
      <c r="C364" s="39">
        <f t="shared" si="45"/>
        <v>2024</v>
      </c>
      <c r="D364" s="18" t="s">
        <v>36</v>
      </c>
      <c r="E364" s="22" t="s">
        <v>70</v>
      </c>
      <c r="F364" s="37" t="s">
        <v>79</v>
      </c>
      <c r="G364" s="18" t="s">
        <v>93</v>
      </c>
      <c r="H364" s="18"/>
      <c r="I364" s="21">
        <v>-8073.27</v>
      </c>
      <c r="J364" s="19">
        <f t="shared" si="43"/>
        <v>987972.70999999985</v>
      </c>
      <c r="K364" s="4"/>
      <c r="M364" s="4"/>
    </row>
    <row r="365" spans="1:13" x14ac:dyDescent="0.2">
      <c r="A365" s="16">
        <f t="shared" ref="A365:A371" si="47">A362+1</f>
        <v>105</v>
      </c>
      <c r="B365" s="17">
        <v>45631</v>
      </c>
      <c r="C365" s="39">
        <f t="shared" si="45"/>
        <v>2024</v>
      </c>
      <c r="D365" s="18" t="s">
        <v>34</v>
      </c>
      <c r="E365" s="18"/>
      <c r="F365" s="37" t="s">
        <v>85</v>
      </c>
      <c r="G365" s="18" t="s">
        <v>34</v>
      </c>
      <c r="H365" s="22" t="s">
        <v>41</v>
      </c>
      <c r="I365" s="21">
        <v>-73.8</v>
      </c>
      <c r="J365" s="19">
        <f t="shared" si="43"/>
        <v>987898.9099999998</v>
      </c>
      <c r="K365" s="4"/>
      <c r="M365" s="4"/>
    </row>
    <row r="366" spans="1:13" x14ac:dyDescent="0.2">
      <c r="A366" s="16">
        <f t="shared" si="47"/>
        <v>106</v>
      </c>
      <c r="B366" s="17">
        <v>45632</v>
      </c>
      <c r="C366" s="39">
        <f t="shared" si="45"/>
        <v>2024</v>
      </c>
      <c r="D366" s="18" t="s">
        <v>34</v>
      </c>
      <c r="E366" s="18"/>
      <c r="F366" t="s">
        <v>91</v>
      </c>
      <c r="G366" s="18" t="s">
        <v>34</v>
      </c>
      <c r="H366" s="22" t="s">
        <v>41</v>
      </c>
      <c r="I366" s="21">
        <v>-653</v>
      </c>
      <c r="J366" s="19">
        <f t="shared" si="43"/>
        <v>987245.9099999998</v>
      </c>
      <c r="K366" s="4"/>
      <c r="M366" s="4"/>
    </row>
    <row r="367" spans="1:13" x14ac:dyDescent="0.2">
      <c r="A367" s="16">
        <f t="shared" si="47"/>
        <v>107</v>
      </c>
      <c r="B367" s="17">
        <v>45635</v>
      </c>
      <c r="C367" s="39">
        <f t="shared" si="45"/>
        <v>2024</v>
      </c>
      <c r="D367" s="18" t="s">
        <v>34</v>
      </c>
      <c r="E367" s="18"/>
      <c r="F367" t="s">
        <v>91</v>
      </c>
      <c r="G367" s="18" t="s">
        <v>34</v>
      </c>
      <c r="H367" s="22" t="s">
        <v>41</v>
      </c>
      <c r="I367" s="21">
        <v>-6764.79</v>
      </c>
      <c r="J367" s="19">
        <f t="shared" si="43"/>
        <v>980481.11999999976</v>
      </c>
      <c r="K367" s="4"/>
      <c r="M367" s="4"/>
    </row>
    <row r="368" spans="1:13" x14ac:dyDescent="0.2">
      <c r="A368" s="16">
        <f t="shared" si="47"/>
        <v>106</v>
      </c>
      <c r="B368" s="17">
        <v>45636</v>
      </c>
      <c r="C368" s="39">
        <f t="shared" si="45"/>
        <v>2024</v>
      </c>
      <c r="D368" s="18" t="s">
        <v>34</v>
      </c>
      <c r="E368" s="18"/>
      <c r="F368" t="s">
        <v>91</v>
      </c>
      <c r="G368" s="18" t="s">
        <v>34</v>
      </c>
      <c r="H368" s="22" t="s">
        <v>41</v>
      </c>
      <c r="I368" s="21">
        <v>-7200</v>
      </c>
      <c r="J368" s="19">
        <f t="shared" si="43"/>
        <v>973281.11999999976</v>
      </c>
      <c r="K368" s="4"/>
      <c r="M368" s="4"/>
    </row>
    <row r="369" spans="1:13" x14ac:dyDescent="0.2">
      <c r="A369" s="16">
        <f t="shared" si="47"/>
        <v>107</v>
      </c>
      <c r="B369" s="17">
        <v>45649</v>
      </c>
      <c r="C369" s="39">
        <f t="shared" si="45"/>
        <v>2024</v>
      </c>
      <c r="D369" s="18" t="s">
        <v>34</v>
      </c>
      <c r="E369" s="18"/>
      <c r="F369" t="s">
        <v>91</v>
      </c>
      <c r="G369" s="18" t="s">
        <v>34</v>
      </c>
      <c r="H369" s="22" t="s">
        <v>41</v>
      </c>
      <c r="I369" s="21">
        <v>-3700</v>
      </c>
      <c r="J369" s="19">
        <f t="shared" si="43"/>
        <v>969581.11999999976</v>
      </c>
      <c r="K369" s="4"/>
      <c r="M369" s="4"/>
    </row>
    <row r="370" spans="1:13" x14ac:dyDescent="0.2">
      <c r="A370" s="16">
        <f t="shared" si="47"/>
        <v>108</v>
      </c>
      <c r="B370" s="17">
        <v>45657</v>
      </c>
      <c r="C370" s="39">
        <f t="shared" si="45"/>
        <v>2024</v>
      </c>
      <c r="D370" s="18" t="s">
        <v>35</v>
      </c>
      <c r="E370" s="22" t="s">
        <v>71</v>
      </c>
      <c r="F370" s="37" t="s">
        <v>68</v>
      </c>
      <c r="G370" s="22" t="s">
        <v>155</v>
      </c>
      <c r="H370" s="18"/>
      <c r="I370" s="21">
        <v>7197.46</v>
      </c>
      <c r="J370" s="19">
        <f t="shared" si="43"/>
        <v>976778.57999999973</v>
      </c>
      <c r="K370" s="85">
        <f>(I370+I371)/J367*12</f>
        <v>8.7944498105175156E-2</v>
      </c>
      <c r="M370" s="4"/>
    </row>
    <row r="371" spans="1:13" x14ac:dyDescent="0.2">
      <c r="A371" s="40">
        <f t="shared" si="47"/>
        <v>107</v>
      </c>
      <c r="B371" s="41">
        <v>45657</v>
      </c>
      <c r="C371" s="42">
        <f t="shared" si="45"/>
        <v>2024</v>
      </c>
      <c r="D371" s="43" t="s">
        <v>36</v>
      </c>
      <c r="E371" s="47" t="s">
        <v>70</v>
      </c>
      <c r="F371" s="46" t="s">
        <v>79</v>
      </c>
      <c r="G371" s="43" t="s">
        <v>93</v>
      </c>
      <c r="H371" s="43"/>
      <c r="I371" s="44">
        <v>-11.8</v>
      </c>
      <c r="J371" s="45">
        <f t="shared" si="43"/>
        <v>976766.77999999968</v>
      </c>
      <c r="K371" s="4"/>
      <c r="M371" s="4"/>
    </row>
    <row r="372" spans="1:13" x14ac:dyDescent="0.2">
      <c r="A372" s="16">
        <f t="shared" ref="A372:A435" si="48">A371+1</f>
        <v>108</v>
      </c>
      <c r="B372" s="17">
        <v>45664</v>
      </c>
      <c r="C372" s="39">
        <f t="shared" si="45"/>
        <v>2025</v>
      </c>
      <c r="D372" s="18" t="s">
        <v>34</v>
      </c>
      <c r="E372" s="18"/>
      <c r="F372" s="37" t="s">
        <v>85</v>
      </c>
      <c r="G372" s="18" t="s">
        <v>34</v>
      </c>
      <c r="H372" s="22" t="s">
        <v>41</v>
      </c>
      <c r="I372" s="21">
        <v>-73.8</v>
      </c>
      <c r="J372" s="19">
        <f t="shared" si="43"/>
        <v>976692.97999999963</v>
      </c>
      <c r="K372" s="4"/>
      <c r="M372" s="4"/>
    </row>
    <row r="373" spans="1:13" x14ac:dyDescent="0.2">
      <c r="A373" s="16">
        <f t="shared" si="48"/>
        <v>109</v>
      </c>
      <c r="B373" s="17">
        <v>45667</v>
      </c>
      <c r="C373" s="39">
        <f t="shared" si="45"/>
        <v>2025</v>
      </c>
      <c r="D373" s="18" t="s">
        <v>34</v>
      </c>
      <c r="E373" s="18"/>
      <c r="F373" t="s">
        <v>91</v>
      </c>
      <c r="G373" s="18" t="s">
        <v>34</v>
      </c>
      <c r="H373" s="22" t="s">
        <v>41</v>
      </c>
      <c r="I373" s="21">
        <v>-653</v>
      </c>
      <c r="J373" s="19">
        <f t="shared" si="43"/>
        <v>976039.97999999963</v>
      </c>
      <c r="K373" s="4"/>
      <c r="M373" s="4"/>
    </row>
    <row r="374" spans="1:13" x14ac:dyDescent="0.2">
      <c r="A374" s="16">
        <f t="shared" si="48"/>
        <v>110</v>
      </c>
      <c r="B374" s="17">
        <v>45671</v>
      </c>
      <c r="C374" s="39">
        <f t="shared" si="45"/>
        <v>2025</v>
      </c>
      <c r="D374" s="18" t="s">
        <v>34</v>
      </c>
      <c r="E374" s="18"/>
      <c r="F374" t="s">
        <v>91</v>
      </c>
      <c r="G374" s="18" t="s">
        <v>34</v>
      </c>
      <c r="H374" s="22" t="s">
        <v>41</v>
      </c>
      <c r="I374" s="21">
        <v>-2498.14</v>
      </c>
      <c r="J374" s="19">
        <f t="shared" si="43"/>
        <v>973541.83999999962</v>
      </c>
      <c r="K374" s="4"/>
      <c r="M374" s="4"/>
    </row>
    <row r="375" spans="1:13" x14ac:dyDescent="0.2">
      <c r="A375" s="16">
        <f t="shared" si="48"/>
        <v>111</v>
      </c>
      <c r="B375" s="17">
        <v>45673</v>
      </c>
      <c r="C375" s="39">
        <f t="shared" si="45"/>
        <v>2025</v>
      </c>
      <c r="D375" s="18" t="s">
        <v>34</v>
      </c>
      <c r="E375" s="18"/>
      <c r="F375" t="s">
        <v>91</v>
      </c>
      <c r="G375" s="18" t="s">
        <v>34</v>
      </c>
      <c r="H375" s="22" t="s">
        <v>41</v>
      </c>
      <c r="I375" s="21">
        <v>-88.25</v>
      </c>
      <c r="J375" s="19">
        <f t="shared" si="43"/>
        <v>973453.58999999962</v>
      </c>
      <c r="K375" s="4"/>
      <c r="M375" s="4"/>
    </row>
    <row r="376" spans="1:13" x14ac:dyDescent="0.2">
      <c r="A376" s="16">
        <f t="shared" si="48"/>
        <v>112</v>
      </c>
      <c r="B376" s="17">
        <v>45688</v>
      </c>
      <c r="C376" s="39">
        <f t="shared" si="45"/>
        <v>2025</v>
      </c>
      <c r="D376" s="18" t="s">
        <v>35</v>
      </c>
      <c r="E376" s="22" t="s">
        <v>71</v>
      </c>
      <c r="F376" s="37" t="s">
        <v>68</v>
      </c>
      <c r="G376" s="22" t="s">
        <v>155</v>
      </c>
      <c r="H376" s="18"/>
      <c r="I376" s="21">
        <v>8414.3700000000008</v>
      </c>
      <c r="J376" s="19">
        <f t="shared" si="43"/>
        <v>981867.95999999961</v>
      </c>
      <c r="K376" s="85">
        <f>(I376+I377)/J375*12</f>
        <v>0.10363538748673171</v>
      </c>
      <c r="M376" s="4"/>
    </row>
    <row r="377" spans="1:13" x14ac:dyDescent="0.2">
      <c r="A377" s="16">
        <f t="shared" si="48"/>
        <v>113</v>
      </c>
      <c r="B377" s="17">
        <v>45688</v>
      </c>
      <c r="C377" s="39">
        <f t="shared" si="45"/>
        <v>2025</v>
      </c>
      <c r="D377" s="18" t="s">
        <v>36</v>
      </c>
      <c r="E377" s="22" t="s">
        <v>70</v>
      </c>
      <c r="F377" s="37" t="s">
        <v>79</v>
      </c>
      <c r="G377" s="18" t="s">
        <v>93</v>
      </c>
      <c r="H377" s="18"/>
      <c r="I377" s="21">
        <v>-7.35</v>
      </c>
      <c r="J377" s="19">
        <f t="shared" si="43"/>
        <v>981860.60999999964</v>
      </c>
      <c r="K377" s="4"/>
      <c r="M377" s="4"/>
    </row>
    <row r="378" spans="1:13" x14ac:dyDescent="0.2">
      <c r="A378" s="16">
        <f t="shared" si="48"/>
        <v>114</v>
      </c>
      <c r="B378" s="17">
        <v>45693</v>
      </c>
      <c r="C378" s="39">
        <f t="shared" si="45"/>
        <v>2025</v>
      </c>
      <c r="D378" s="18" t="s">
        <v>34</v>
      </c>
      <c r="E378" s="18"/>
      <c r="F378" t="s">
        <v>91</v>
      </c>
      <c r="G378" s="18" t="s">
        <v>34</v>
      </c>
      <c r="H378" s="22" t="s">
        <v>41</v>
      </c>
      <c r="I378" s="21">
        <v>-15892.58</v>
      </c>
      <c r="J378" s="19">
        <f t="shared" si="43"/>
        <v>965968.02999999968</v>
      </c>
      <c r="K378" s="4"/>
      <c r="M378" s="4"/>
    </row>
    <row r="379" spans="1:13" x14ac:dyDescent="0.2">
      <c r="A379" s="16">
        <f t="shared" si="48"/>
        <v>115</v>
      </c>
      <c r="B379" s="17">
        <v>45716</v>
      </c>
      <c r="C379" s="39">
        <f t="shared" si="45"/>
        <v>2025</v>
      </c>
      <c r="D379" s="18" t="s">
        <v>35</v>
      </c>
      <c r="E379" s="22" t="s">
        <v>71</v>
      </c>
      <c r="F379" s="37" t="s">
        <v>68</v>
      </c>
      <c r="G379" s="22" t="s">
        <v>155</v>
      </c>
      <c r="H379" s="18"/>
      <c r="I379" s="21">
        <v>8031.03</v>
      </c>
      <c r="J379" s="19">
        <f t="shared" si="43"/>
        <v>973999.05999999971</v>
      </c>
      <c r="K379" s="85">
        <f>(I379+I380)/J378*12</f>
        <v>9.9079676581014825E-2</v>
      </c>
      <c r="M379"/>
    </row>
    <row r="380" spans="1:13" x14ac:dyDescent="0.2">
      <c r="A380" s="16">
        <f t="shared" si="48"/>
        <v>116</v>
      </c>
      <c r="B380" s="17">
        <v>45716</v>
      </c>
      <c r="C380" s="39">
        <f t="shared" si="45"/>
        <v>2025</v>
      </c>
      <c r="D380" s="18" t="s">
        <v>36</v>
      </c>
      <c r="E380" s="22" t="s">
        <v>70</v>
      </c>
      <c r="F380" s="37" t="s">
        <v>79</v>
      </c>
      <c r="G380" s="18" t="s">
        <v>93</v>
      </c>
      <c r="H380" s="18"/>
      <c r="I380" s="21">
        <v>-55.38</v>
      </c>
      <c r="J380" s="19">
        <f t="shared" si="43"/>
        <v>973943.6799999997</v>
      </c>
      <c r="K380" s="4"/>
      <c r="M380"/>
    </row>
    <row r="381" spans="1:13" x14ac:dyDescent="0.2">
      <c r="A381" s="16">
        <f t="shared" si="48"/>
        <v>117</v>
      </c>
      <c r="B381" s="17">
        <v>45747</v>
      </c>
      <c r="C381" s="39">
        <f t="shared" si="45"/>
        <v>2025</v>
      </c>
      <c r="D381" s="18" t="s">
        <v>35</v>
      </c>
      <c r="E381" s="22" t="s">
        <v>71</v>
      </c>
      <c r="F381" s="37" t="s">
        <v>68</v>
      </c>
      <c r="G381" s="22" t="s">
        <v>155</v>
      </c>
      <c r="H381" s="18"/>
      <c r="I381" s="21">
        <v>7877.8</v>
      </c>
      <c r="J381" s="19">
        <f t="shared" si="43"/>
        <v>981821.47999999975</v>
      </c>
      <c r="K381" s="85">
        <f>(I381+I382)/J380*12</f>
        <v>9.7062696684884306E-2</v>
      </c>
      <c r="M381"/>
    </row>
    <row r="382" spans="1:13" x14ac:dyDescent="0.2">
      <c r="A382" s="16">
        <f t="shared" si="48"/>
        <v>118</v>
      </c>
      <c r="B382" s="17">
        <v>45747</v>
      </c>
      <c r="C382" s="39">
        <f t="shared" si="45"/>
        <v>2025</v>
      </c>
      <c r="D382" s="18" t="s">
        <v>36</v>
      </c>
      <c r="E382" s="22" t="s">
        <v>70</v>
      </c>
      <c r="F382" s="37" t="s">
        <v>79</v>
      </c>
      <c r="G382" s="18" t="s">
        <v>93</v>
      </c>
      <c r="H382" s="18"/>
      <c r="I382" s="21">
        <v>0</v>
      </c>
      <c r="J382" s="19">
        <f t="shared" si="43"/>
        <v>981821.47999999975</v>
      </c>
      <c r="K382" s="4"/>
      <c r="M382"/>
    </row>
    <row r="383" spans="1:13" x14ac:dyDescent="0.2">
      <c r="A383" s="16">
        <f t="shared" si="48"/>
        <v>119</v>
      </c>
      <c r="B383" s="17">
        <v>45777</v>
      </c>
      <c r="C383" s="39">
        <f t="shared" si="45"/>
        <v>2025</v>
      </c>
      <c r="D383" s="18" t="s">
        <v>35</v>
      </c>
      <c r="E383" s="22" t="s">
        <v>71</v>
      </c>
      <c r="F383" s="37" t="s">
        <v>68</v>
      </c>
      <c r="G383" s="22" t="s">
        <v>155</v>
      </c>
      <c r="H383" s="18"/>
      <c r="I383" s="21">
        <v>8735.4</v>
      </c>
      <c r="J383" s="19">
        <f t="shared" si="43"/>
        <v>990556.87999999977</v>
      </c>
      <c r="K383" s="85">
        <f>(I383+I384)/J382*12</f>
        <v>0.10676564134653076</v>
      </c>
      <c r="M383"/>
    </row>
    <row r="384" spans="1:13" x14ac:dyDescent="0.2">
      <c r="A384" s="16">
        <f t="shared" si="48"/>
        <v>120</v>
      </c>
      <c r="B384" s="17">
        <v>45777</v>
      </c>
      <c r="C384" s="39">
        <f t="shared" si="45"/>
        <v>2025</v>
      </c>
      <c r="D384" s="18" t="s">
        <v>36</v>
      </c>
      <c r="E384" s="22" t="s">
        <v>70</v>
      </c>
      <c r="F384" s="37" t="s">
        <v>79</v>
      </c>
      <c r="G384" s="18" t="s">
        <v>93</v>
      </c>
      <c r="H384" s="18"/>
      <c r="I384" s="21">
        <v>0</v>
      </c>
      <c r="J384" s="19">
        <f t="shared" si="43"/>
        <v>990556.87999999977</v>
      </c>
      <c r="K384" s="4"/>
      <c r="M384"/>
    </row>
    <row r="385" spans="1:13" x14ac:dyDescent="0.2">
      <c r="A385" s="16">
        <f t="shared" si="48"/>
        <v>121</v>
      </c>
      <c r="B385" s="17">
        <v>45808</v>
      </c>
      <c r="C385" s="39">
        <f t="shared" si="45"/>
        <v>2025</v>
      </c>
      <c r="D385" s="18" t="s">
        <v>35</v>
      </c>
      <c r="E385" s="22" t="s">
        <v>71</v>
      </c>
      <c r="F385" s="37" t="s">
        <v>68</v>
      </c>
      <c r="G385" s="22" t="s">
        <v>155</v>
      </c>
      <c r="H385" s="18"/>
      <c r="I385" s="21">
        <v>9672.98</v>
      </c>
      <c r="J385" s="19">
        <f t="shared" si="43"/>
        <v>1000229.8599999998</v>
      </c>
      <c r="K385" s="75">
        <f>(I385+I386)/J384*12</f>
        <v>-2.6598371614964872E-3</v>
      </c>
      <c r="M385"/>
    </row>
    <row r="386" spans="1:13" x14ac:dyDescent="0.2">
      <c r="A386" s="16">
        <f t="shared" si="48"/>
        <v>122</v>
      </c>
      <c r="B386" s="17">
        <v>45808</v>
      </c>
      <c r="C386" s="39">
        <f t="shared" si="45"/>
        <v>2025</v>
      </c>
      <c r="D386" s="18" t="s">
        <v>36</v>
      </c>
      <c r="E386" s="22" t="s">
        <v>70</v>
      </c>
      <c r="F386" s="37" t="s">
        <v>79</v>
      </c>
      <c r="G386" s="18" t="s">
        <v>93</v>
      </c>
      <c r="H386" s="18"/>
      <c r="I386" s="21">
        <v>-9892.5400000000009</v>
      </c>
      <c r="J386" s="19">
        <f t="shared" si="43"/>
        <v>990337.31999999972</v>
      </c>
      <c r="K386" s="4"/>
      <c r="M386"/>
    </row>
    <row r="387" spans="1:13" x14ac:dyDescent="0.2">
      <c r="A387" s="16">
        <f t="shared" si="48"/>
        <v>123</v>
      </c>
      <c r="B387" s="17">
        <v>45825</v>
      </c>
      <c r="C387" s="39">
        <f t="shared" si="45"/>
        <v>2025</v>
      </c>
      <c r="D387" s="18" t="s">
        <v>33</v>
      </c>
      <c r="E387" s="18"/>
      <c r="F387" s="37" t="s">
        <v>38</v>
      </c>
      <c r="G387" s="18" t="s">
        <v>33</v>
      </c>
      <c r="H387" s="22" t="s">
        <v>41</v>
      </c>
      <c r="I387" s="21">
        <v>247295.96</v>
      </c>
      <c r="J387" s="19">
        <f t="shared" si="43"/>
        <v>1237633.2799999998</v>
      </c>
      <c r="K387" s="4"/>
      <c r="M387"/>
    </row>
    <row r="388" spans="1:13" x14ac:dyDescent="0.2">
      <c r="A388" s="16">
        <f t="shared" si="48"/>
        <v>124</v>
      </c>
      <c r="B388" s="17">
        <v>45831</v>
      </c>
      <c r="C388" s="39">
        <f t="shared" si="45"/>
        <v>2025</v>
      </c>
      <c r="D388" s="18" t="s">
        <v>34</v>
      </c>
      <c r="E388" s="18"/>
      <c r="F388" t="s">
        <v>91</v>
      </c>
      <c r="G388" s="18" t="s">
        <v>34</v>
      </c>
      <c r="H388" s="22" t="s">
        <v>41</v>
      </c>
      <c r="I388" s="21">
        <v>-353</v>
      </c>
      <c r="J388" s="19">
        <f t="shared" si="43"/>
        <v>1237280.2799999998</v>
      </c>
      <c r="K388" s="4"/>
      <c r="M388"/>
    </row>
    <row r="389" spans="1:13" x14ac:dyDescent="0.2">
      <c r="A389" s="16">
        <f t="shared" si="48"/>
        <v>125</v>
      </c>
      <c r="B389" s="17">
        <v>45838</v>
      </c>
      <c r="C389" s="39">
        <f t="shared" si="45"/>
        <v>2025</v>
      </c>
      <c r="D389" s="18" t="s">
        <v>35</v>
      </c>
      <c r="E389" s="22" t="s">
        <v>71</v>
      </c>
      <c r="F389" s="37" t="s">
        <v>68</v>
      </c>
      <c r="G389" s="22" t="s">
        <v>155</v>
      </c>
      <c r="H389" s="18"/>
      <c r="I389" s="21">
        <v>10247.64</v>
      </c>
      <c r="J389" s="19">
        <f t="shared" si="43"/>
        <v>1247527.9199999997</v>
      </c>
      <c r="K389" s="85">
        <f>(I389+I390)/J388*12</f>
        <v>9.9383657840242973E-2</v>
      </c>
      <c r="M389"/>
    </row>
    <row r="390" spans="1:13" x14ac:dyDescent="0.2">
      <c r="A390" s="16">
        <f t="shared" si="48"/>
        <v>126</v>
      </c>
      <c r="B390" s="17">
        <v>45838</v>
      </c>
      <c r="C390" s="39">
        <f t="shared" si="45"/>
        <v>2025</v>
      </c>
      <c r="D390" s="18" t="s">
        <v>36</v>
      </c>
      <c r="E390" s="22" t="s">
        <v>70</v>
      </c>
      <c r="F390" s="37" t="s">
        <v>79</v>
      </c>
      <c r="G390" s="18" t="s">
        <v>93</v>
      </c>
      <c r="H390" s="18"/>
      <c r="I390" s="21">
        <v>-0.52</v>
      </c>
      <c r="J390" s="19">
        <f t="shared" si="43"/>
        <v>1247527.3999999997</v>
      </c>
      <c r="K390" s="4"/>
      <c r="M390"/>
    </row>
    <row r="391" spans="1:13" x14ac:dyDescent="0.2">
      <c r="A391" s="16">
        <f t="shared" si="48"/>
        <v>127</v>
      </c>
      <c r="B391" s="17">
        <v>45845</v>
      </c>
      <c r="C391" s="39">
        <f t="shared" si="45"/>
        <v>2025</v>
      </c>
      <c r="D391" s="18" t="s">
        <v>34</v>
      </c>
      <c r="E391" s="18"/>
      <c r="F391" t="s">
        <v>91</v>
      </c>
      <c r="G391" s="18" t="s">
        <v>34</v>
      </c>
      <c r="H391" s="22" t="s">
        <v>41</v>
      </c>
      <c r="I391" s="21">
        <v>-75.400000000000006</v>
      </c>
      <c r="J391" s="19">
        <f t="shared" ref="J391:J449" si="49">IF(I391="",".",J390+I391)</f>
        <v>1247451.9999999998</v>
      </c>
      <c r="K391" s="4"/>
      <c r="M391"/>
    </row>
    <row r="392" spans="1:13" x14ac:dyDescent="0.2">
      <c r="A392" s="16">
        <f t="shared" si="48"/>
        <v>128</v>
      </c>
      <c r="B392" s="17">
        <v>45859</v>
      </c>
      <c r="C392" s="39">
        <f t="shared" si="45"/>
        <v>2025</v>
      </c>
      <c r="D392" s="18" t="s">
        <v>34</v>
      </c>
      <c r="E392" s="18"/>
      <c r="F392" t="s">
        <v>91</v>
      </c>
      <c r="G392" s="18" t="s">
        <v>34</v>
      </c>
      <c r="H392" s="22" t="s">
        <v>41</v>
      </c>
      <c r="I392" s="21">
        <v>-1006</v>
      </c>
      <c r="J392" s="19">
        <f t="shared" si="49"/>
        <v>1246445.9999999998</v>
      </c>
      <c r="K392" s="4"/>
      <c r="M392"/>
    </row>
    <row r="393" spans="1:13" x14ac:dyDescent="0.2">
      <c r="A393" s="16">
        <f t="shared" si="48"/>
        <v>129</v>
      </c>
      <c r="B393" s="17">
        <v>45869</v>
      </c>
      <c r="C393" s="39">
        <f t="shared" si="45"/>
        <v>2025</v>
      </c>
      <c r="D393" s="18" t="s">
        <v>35</v>
      </c>
      <c r="E393" s="22" t="s">
        <v>71</v>
      </c>
      <c r="F393" s="37" t="s">
        <v>68</v>
      </c>
      <c r="G393" s="22" t="s">
        <v>155</v>
      </c>
      <c r="H393" s="18"/>
      <c r="I393" s="21">
        <v>13746.39</v>
      </c>
      <c r="J393" s="19">
        <f t="shared" si="49"/>
        <v>1260192.3899999997</v>
      </c>
      <c r="K393" s="85">
        <f>(I393+I394)/J392*12</f>
        <v>0.13230724796742099</v>
      </c>
      <c r="M393"/>
    </row>
    <row r="394" spans="1:13" x14ac:dyDescent="0.2">
      <c r="A394" s="16">
        <f t="shared" si="48"/>
        <v>130</v>
      </c>
      <c r="B394" s="17">
        <v>45869</v>
      </c>
      <c r="C394" s="39">
        <f t="shared" si="45"/>
        <v>2025</v>
      </c>
      <c r="D394" s="18" t="s">
        <v>36</v>
      </c>
      <c r="E394" s="22" t="s">
        <v>70</v>
      </c>
      <c r="F394" s="37" t="s">
        <v>79</v>
      </c>
      <c r="G394" s="18" t="s">
        <v>93</v>
      </c>
      <c r="H394" s="18"/>
      <c r="I394" s="21">
        <v>-3.57</v>
      </c>
      <c r="J394" s="19">
        <f t="shared" si="49"/>
        <v>1260188.8199999996</v>
      </c>
      <c r="K394" s="4"/>
      <c r="M394"/>
    </row>
    <row r="395" spans="1:13" x14ac:dyDescent="0.2">
      <c r="A395" s="16">
        <f t="shared" si="48"/>
        <v>131</v>
      </c>
      <c r="B395" s="17">
        <v>45874</v>
      </c>
      <c r="C395" s="39">
        <f t="shared" si="45"/>
        <v>2025</v>
      </c>
      <c r="D395" s="18" t="s">
        <v>34</v>
      </c>
      <c r="E395" s="18"/>
      <c r="F395" t="s">
        <v>91</v>
      </c>
      <c r="G395" s="18" t="s">
        <v>34</v>
      </c>
      <c r="H395" s="22" t="s">
        <v>41</v>
      </c>
      <c r="I395" s="21">
        <v>-728.4</v>
      </c>
      <c r="J395" s="19">
        <f t="shared" si="49"/>
        <v>1259460.4199999997</v>
      </c>
      <c r="K395" s="4"/>
      <c r="M395"/>
    </row>
    <row r="396" spans="1:13" x14ac:dyDescent="0.2">
      <c r="A396" s="16">
        <f t="shared" si="48"/>
        <v>132</v>
      </c>
      <c r="B396" s="17">
        <v>45890</v>
      </c>
      <c r="C396" s="39">
        <f t="shared" si="45"/>
        <v>2025</v>
      </c>
      <c r="D396" s="18" t="s">
        <v>34</v>
      </c>
      <c r="E396" s="18"/>
      <c r="F396" t="s">
        <v>91</v>
      </c>
      <c r="G396" s="18" t="s">
        <v>34</v>
      </c>
      <c r="H396" s="22" t="s">
        <v>41</v>
      </c>
      <c r="I396" s="21">
        <v>-353</v>
      </c>
      <c r="J396" s="19">
        <f t="shared" si="49"/>
        <v>1259107.4199999997</v>
      </c>
      <c r="K396" s="4"/>
      <c r="M396"/>
    </row>
    <row r="397" spans="1:13" x14ac:dyDescent="0.2">
      <c r="A397" s="16">
        <f t="shared" si="48"/>
        <v>133</v>
      </c>
      <c r="B397" s="17">
        <v>45891</v>
      </c>
      <c r="C397" s="39">
        <f t="shared" si="45"/>
        <v>2025</v>
      </c>
      <c r="D397" s="18" t="s">
        <v>34</v>
      </c>
      <c r="E397" s="18"/>
      <c r="F397" t="s">
        <v>91</v>
      </c>
      <c r="G397" s="18" t="s">
        <v>34</v>
      </c>
      <c r="H397" s="22" t="s">
        <v>41</v>
      </c>
      <c r="I397" s="21">
        <v>-600</v>
      </c>
      <c r="J397" s="19">
        <f t="shared" si="49"/>
        <v>1258507.4199999997</v>
      </c>
      <c r="K397" s="4"/>
      <c r="M397"/>
    </row>
    <row r="398" spans="1:13" x14ac:dyDescent="0.2">
      <c r="A398" s="16">
        <f t="shared" si="48"/>
        <v>134</v>
      </c>
      <c r="B398" s="17">
        <v>45900</v>
      </c>
      <c r="C398" s="39">
        <f t="shared" si="45"/>
        <v>2025</v>
      </c>
      <c r="D398" s="18" t="s">
        <v>35</v>
      </c>
      <c r="E398" s="22" t="s">
        <v>71</v>
      </c>
      <c r="F398" s="37" t="s">
        <v>68</v>
      </c>
      <c r="G398" s="22" t="s">
        <v>155</v>
      </c>
      <c r="H398" s="18"/>
      <c r="I398" s="21">
        <v>12573.89</v>
      </c>
      <c r="J398" s="19">
        <f t="shared" si="49"/>
        <v>1271081.3099999996</v>
      </c>
      <c r="K398" s="85">
        <f>(I398+I399)/J397*12</f>
        <v>0.11981202303916494</v>
      </c>
      <c r="M398"/>
    </row>
    <row r="399" spans="1:13" x14ac:dyDescent="0.2">
      <c r="A399" s="16">
        <f t="shared" si="48"/>
        <v>135</v>
      </c>
      <c r="B399" s="17">
        <v>45900</v>
      </c>
      <c r="C399" s="39">
        <f t="shared" si="45"/>
        <v>2025</v>
      </c>
      <c r="D399" s="18" t="s">
        <v>36</v>
      </c>
      <c r="E399" s="22" t="s">
        <v>70</v>
      </c>
      <c r="F399" s="37" t="s">
        <v>79</v>
      </c>
      <c r="G399" s="18" t="s">
        <v>93</v>
      </c>
      <c r="H399" s="18"/>
      <c r="I399" s="21">
        <v>-8.5299999999999994</v>
      </c>
      <c r="J399" s="19">
        <f t="shared" si="49"/>
        <v>1271072.7799999996</v>
      </c>
      <c r="K399" s="4"/>
      <c r="M399"/>
    </row>
    <row r="400" spans="1:13" x14ac:dyDescent="0.2">
      <c r="A400" s="16">
        <f t="shared" si="48"/>
        <v>136</v>
      </c>
      <c r="B400" s="17">
        <v>45905</v>
      </c>
      <c r="C400" s="39">
        <f t="shared" si="45"/>
        <v>2025</v>
      </c>
      <c r="D400" s="18" t="s">
        <v>34</v>
      </c>
      <c r="E400" s="18"/>
      <c r="F400" t="s">
        <v>91</v>
      </c>
      <c r="G400" s="18" t="s">
        <v>34</v>
      </c>
      <c r="H400" s="22" t="s">
        <v>41</v>
      </c>
      <c r="I400" s="21">
        <v>-734.4</v>
      </c>
      <c r="J400" s="19">
        <f t="shared" si="49"/>
        <v>1270338.3799999997</v>
      </c>
      <c r="K400" s="4"/>
      <c r="M400"/>
    </row>
    <row r="401" spans="1:13" x14ac:dyDescent="0.2">
      <c r="A401" s="16">
        <f t="shared" si="48"/>
        <v>137</v>
      </c>
      <c r="B401" s="17">
        <v>45910</v>
      </c>
      <c r="C401" s="39">
        <f t="shared" si="45"/>
        <v>2025</v>
      </c>
      <c r="D401" s="18" t="s">
        <v>34</v>
      </c>
      <c r="E401" s="18"/>
      <c r="F401" t="s">
        <v>91</v>
      </c>
      <c r="G401" s="18" t="s">
        <v>34</v>
      </c>
      <c r="H401" s="22" t="s">
        <v>41</v>
      </c>
      <c r="I401" s="21">
        <v>-353</v>
      </c>
      <c r="J401" s="19">
        <f t="shared" si="49"/>
        <v>1269985.3799999997</v>
      </c>
      <c r="K401" s="4"/>
      <c r="M401"/>
    </row>
    <row r="402" spans="1:13" x14ac:dyDescent="0.2">
      <c r="A402" s="16">
        <f t="shared" si="48"/>
        <v>138</v>
      </c>
      <c r="B402" s="17">
        <v>45930</v>
      </c>
      <c r="C402" s="39">
        <f t="shared" si="45"/>
        <v>2025</v>
      </c>
      <c r="D402" s="18" t="s">
        <v>35</v>
      </c>
      <c r="E402" s="22" t="s">
        <v>71</v>
      </c>
      <c r="F402" s="37" t="s">
        <v>68</v>
      </c>
      <c r="G402" s="22" t="s">
        <v>155</v>
      </c>
      <c r="H402" s="18"/>
      <c r="I402" s="21">
        <v>13347.57</v>
      </c>
      <c r="J402" s="19">
        <f t="shared" si="49"/>
        <v>1283332.9499999997</v>
      </c>
      <c r="K402" s="85">
        <f>(I402+I403)/J401*12</f>
        <v>0.12605200226793167</v>
      </c>
      <c r="M402"/>
    </row>
    <row r="403" spans="1:13" x14ac:dyDescent="0.2">
      <c r="A403" s="16">
        <f t="shared" si="48"/>
        <v>139</v>
      </c>
      <c r="B403" s="17">
        <v>45930</v>
      </c>
      <c r="C403" s="39">
        <f t="shared" si="45"/>
        <v>2025</v>
      </c>
      <c r="D403" s="18" t="s">
        <v>36</v>
      </c>
      <c r="E403" s="22" t="s">
        <v>70</v>
      </c>
      <c r="F403" s="37" t="s">
        <v>79</v>
      </c>
      <c r="G403" s="18" t="s">
        <v>93</v>
      </c>
      <c r="H403" s="18"/>
      <c r="I403" s="21">
        <v>-7.22</v>
      </c>
      <c r="J403" s="19">
        <f t="shared" si="49"/>
        <v>1283325.7299999997</v>
      </c>
      <c r="K403" s="4"/>
      <c r="M403"/>
    </row>
    <row r="404" spans="1:13" x14ac:dyDescent="0.2">
      <c r="A404" s="16">
        <f t="shared" si="48"/>
        <v>140</v>
      </c>
      <c r="B404" s="17">
        <v>45932</v>
      </c>
      <c r="C404" s="39">
        <f t="shared" si="45"/>
        <v>2025</v>
      </c>
      <c r="D404" s="18" t="s">
        <v>34</v>
      </c>
      <c r="E404" s="18"/>
      <c r="F404" t="s">
        <v>91</v>
      </c>
      <c r="G404" s="18" t="s">
        <v>34</v>
      </c>
      <c r="H404" s="22" t="s">
        <v>41</v>
      </c>
      <c r="I404" s="21">
        <v>-1871</v>
      </c>
      <c r="J404" s="19">
        <f t="shared" si="49"/>
        <v>1281454.7299999997</v>
      </c>
      <c r="K404" s="4"/>
      <c r="M404"/>
    </row>
    <row r="405" spans="1:13" x14ac:dyDescent="0.2">
      <c r="A405" s="16">
        <f t="shared" si="48"/>
        <v>141</v>
      </c>
      <c r="B405" s="17">
        <v>45936</v>
      </c>
      <c r="C405" s="39">
        <f t="shared" si="45"/>
        <v>2025</v>
      </c>
      <c r="D405" s="18" t="s">
        <v>34</v>
      </c>
      <c r="E405" s="18"/>
      <c r="F405" t="s">
        <v>91</v>
      </c>
      <c r="G405" s="18" t="s">
        <v>34</v>
      </c>
      <c r="H405" s="22" t="s">
        <v>41</v>
      </c>
      <c r="I405" s="21">
        <v>-81.400000000000006</v>
      </c>
      <c r="J405" s="19">
        <f t="shared" si="49"/>
        <v>1281373.3299999998</v>
      </c>
      <c r="K405" s="4"/>
      <c r="M405"/>
    </row>
    <row r="406" spans="1:13" x14ac:dyDescent="0.2">
      <c r="A406" s="16">
        <f t="shared" si="48"/>
        <v>142</v>
      </c>
      <c r="B406" s="17">
        <v>45940</v>
      </c>
      <c r="C406" s="39">
        <f t="shared" si="45"/>
        <v>2025</v>
      </c>
      <c r="D406" s="18" t="s">
        <v>34</v>
      </c>
      <c r="E406" s="18"/>
      <c r="F406" t="s">
        <v>91</v>
      </c>
      <c r="G406" s="18" t="s">
        <v>34</v>
      </c>
      <c r="H406" s="22" t="s">
        <v>41</v>
      </c>
      <c r="I406" s="21">
        <v>-353</v>
      </c>
      <c r="J406" s="19">
        <f t="shared" si="49"/>
        <v>1281020.3299999998</v>
      </c>
      <c r="K406" s="4"/>
      <c r="M406"/>
    </row>
    <row r="407" spans="1:13" x14ac:dyDescent="0.2">
      <c r="A407" s="16">
        <f t="shared" si="48"/>
        <v>143</v>
      </c>
      <c r="B407" s="17">
        <v>45950</v>
      </c>
      <c r="C407" s="39">
        <f t="shared" si="45"/>
        <v>2025</v>
      </c>
      <c r="D407" s="18" t="s">
        <v>33</v>
      </c>
      <c r="E407" s="18"/>
      <c r="F407" s="37" t="s">
        <v>38</v>
      </c>
      <c r="G407" s="18" t="s">
        <v>33</v>
      </c>
      <c r="H407" s="22" t="s">
        <v>41</v>
      </c>
      <c r="I407" s="21">
        <v>150000</v>
      </c>
      <c r="J407" s="19">
        <f t="shared" si="49"/>
        <v>1431020.3299999998</v>
      </c>
      <c r="K407" s="4"/>
      <c r="M407"/>
    </row>
    <row r="408" spans="1:13" x14ac:dyDescent="0.2">
      <c r="A408" s="16">
        <f t="shared" si="48"/>
        <v>144</v>
      </c>
      <c r="B408" s="17">
        <v>45954</v>
      </c>
      <c r="C408" s="39">
        <f t="shared" si="45"/>
        <v>2025</v>
      </c>
      <c r="D408" s="18" t="s">
        <v>34</v>
      </c>
      <c r="E408" s="18"/>
      <c r="F408" t="s">
        <v>91</v>
      </c>
      <c r="G408" s="18" t="s">
        <v>34</v>
      </c>
      <c r="H408" s="22" t="s">
        <v>41</v>
      </c>
      <c r="I408" s="21">
        <v>-184</v>
      </c>
      <c r="J408" s="19">
        <f t="shared" si="49"/>
        <v>1430836.3299999998</v>
      </c>
      <c r="K408" s="4"/>
      <c r="M408"/>
    </row>
    <row r="409" spans="1:13" x14ac:dyDescent="0.2">
      <c r="A409" s="16">
        <f t="shared" si="48"/>
        <v>145</v>
      </c>
      <c r="B409" s="17">
        <v>45961</v>
      </c>
      <c r="C409" s="39">
        <f t="shared" si="45"/>
        <v>2025</v>
      </c>
      <c r="D409" s="18" t="s">
        <v>35</v>
      </c>
      <c r="E409" s="22" t="s">
        <v>71</v>
      </c>
      <c r="F409" s="37" t="s">
        <v>68</v>
      </c>
      <c r="G409" s="22" t="s">
        <v>155</v>
      </c>
      <c r="H409" s="18"/>
      <c r="I409" s="21">
        <v>14703.11</v>
      </c>
      <c r="J409" s="19">
        <f t="shared" si="49"/>
        <v>1445539.44</v>
      </c>
      <c r="K409" s="85">
        <f>(I409+I410)/J408*12</f>
        <v>0.12313307700259472</v>
      </c>
      <c r="M409"/>
    </row>
    <row r="410" spans="1:13" x14ac:dyDescent="0.2">
      <c r="A410" s="16">
        <f t="shared" si="48"/>
        <v>146</v>
      </c>
      <c r="B410" s="17">
        <v>45961</v>
      </c>
      <c r="C410" s="39">
        <f t="shared" si="45"/>
        <v>2025</v>
      </c>
      <c r="D410" s="18" t="s">
        <v>36</v>
      </c>
      <c r="E410" s="22" t="s">
        <v>70</v>
      </c>
      <c r="F410" s="37" t="s">
        <v>79</v>
      </c>
      <c r="G410" s="18" t="s">
        <v>93</v>
      </c>
      <c r="H410" s="18"/>
      <c r="I410" s="21">
        <v>-21.17</v>
      </c>
      <c r="J410" s="19">
        <f t="shared" si="49"/>
        <v>1445518.27</v>
      </c>
      <c r="K410" s="4"/>
      <c r="M410"/>
    </row>
    <row r="411" spans="1:13" x14ac:dyDescent="0.2">
      <c r="A411" s="16">
        <f t="shared" si="48"/>
        <v>147</v>
      </c>
      <c r="B411" s="17">
        <v>45966</v>
      </c>
      <c r="C411" s="39">
        <f t="shared" si="45"/>
        <v>2025</v>
      </c>
      <c r="D411" s="18" t="s">
        <v>34</v>
      </c>
      <c r="E411" s="18"/>
      <c r="F411" t="s">
        <v>91</v>
      </c>
      <c r="G411" s="18" t="s">
        <v>34</v>
      </c>
      <c r="H411" s="22" t="s">
        <v>41</v>
      </c>
      <c r="I411" s="21">
        <v>-1952.4</v>
      </c>
      <c r="J411" s="19">
        <f t="shared" si="49"/>
        <v>1443565.87</v>
      </c>
      <c r="K411" s="4"/>
      <c r="M411"/>
    </row>
    <row r="412" spans="1:13" x14ac:dyDescent="0.2">
      <c r="A412" s="16">
        <f t="shared" si="48"/>
        <v>148</v>
      </c>
      <c r="B412" s="17">
        <v>45971</v>
      </c>
      <c r="C412" s="39">
        <f t="shared" si="45"/>
        <v>2025</v>
      </c>
      <c r="D412" s="18" t="s">
        <v>34</v>
      </c>
      <c r="E412" s="18"/>
      <c r="F412" t="s">
        <v>91</v>
      </c>
      <c r="G412" s="18" t="s">
        <v>34</v>
      </c>
      <c r="H412" s="22" t="s">
        <v>41</v>
      </c>
      <c r="I412" s="21">
        <v>-353</v>
      </c>
      <c r="J412" s="19">
        <f t="shared" si="49"/>
        <v>1443212.87</v>
      </c>
      <c r="K412" s="4"/>
      <c r="M412"/>
    </row>
    <row r="413" spans="1:13" x14ac:dyDescent="0.2">
      <c r="A413" s="16">
        <f t="shared" si="48"/>
        <v>149</v>
      </c>
      <c r="B413" s="17">
        <v>45975</v>
      </c>
      <c r="C413" s="39">
        <f t="shared" si="45"/>
        <v>2025</v>
      </c>
      <c r="D413" s="18" t="s">
        <v>34</v>
      </c>
      <c r="E413" s="18"/>
      <c r="F413" t="s">
        <v>91</v>
      </c>
      <c r="G413" s="18" t="s">
        <v>34</v>
      </c>
      <c r="H413" s="22" t="s">
        <v>41</v>
      </c>
      <c r="I413" s="21">
        <v>-353</v>
      </c>
      <c r="J413" s="19">
        <f t="shared" si="49"/>
        <v>1442859.87</v>
      </c>
      <c r="K413" s="4"/>
      <c r="M413"/>
    </row>
    <row r="414" spans="1:13" x14ac:dyDescent="0.2">
      <c r="A414" s="16">
        <f t="shared" si="48"/>
        <v>150</v>
      </c>
      <c r="B414" s="17">
        <v>45991</v>
      </c>
      <c r="C414" s="39">
        <f t="shared" si="45"/>
        <v>2025</v>
      </c>
      <c r="D414" s="18" t="s">
        <v>35</v>
      </c>
      <c r="E414" s="22" t="s">
        <v>71</v>
      </c>
      <c r="F414" s="37" t="s">
        <v>68</v>
      </c>
      <c r="G414" s="22" t="s">
        <v>155</v>
      </c>
      <c r="H414" s="18"/>
      <c r="I414" s="21">
        <v>13050.28</v>
      </c>
      <c r="J414" s="19">
        <f t="shared" si="49"/>
        <v>1455910.1500000001</v>
      </c>
      <c r="K414" s="75">
        <f>(I414+I415)/J413*12</f>
        <v>-1.990621584062768E-2</v>
      </c>
      <c r="M414"/>
    </row>
    <row r="415" spans="1:13" x14ac:dyDescent="0.2">
      <c r="A415" s="16">
        <f t="shared" si="48"/>
        <v>151</v>
      </c>
      <c r="B415" s="17">
        <v>45991</v>
      </c>
      <c r="C415" s="39">
        <f t="shared" si="45"/>
        <v>2025</v>
      </c>
      <c r="D415" s="18" t="s">
        <v>36</v>
      </c>
      <c r="E415" s="22" t="s">
        <v>70</v>
      </c>
      <c r="F415" s="37" t="s">
        <v>79</v>
      </c>
      <c r="G415" s="18" t="s">
        <v>93</v>
      </c>
      <c r="H415" s="18"/>
      <c r="I415" s="21">
        <v>-15443.77</v>
      </c>
      <c r="J415" s="19">
        <f t="shared" si="49"/>
        <v>1440466.3800000001</v>
      </c>
      <c r="K415" s="4"/>
      <c r="M415"/>
    </row>
    <row r="416" spans="1:13" x14ac:dyDescent="0.2">
      <c r="A416" s="16">
        <f t="shared" si="48"/>
        <v>152</v>
      </c>
      <c r="B416" s="17">
        <v>45994</v>
      </c>
      <c r="C416" s="39">
        <f t="shared" si="45"/>
        <v>2025</v>
      </c>
      <c r="D416" s="18" t="s">
        <v>34</v>
      </c>
      <c r="E416" s="18"/>
      <c r="F416" t="s">
        <v>91</v>
      </c>
      <c r="G416" s="18" t="s">
        <v>34</v>
      </c>
      <c r="H416" s="22" t="s">
        <v>41</v>
      </c>
      <c r="I416" s="21">
        <v>-25000</v>
      </c>
      <c r="J416" s="19">
        <f t="shared" si="49"/>
        <v>1415466.3800000001</v>
      </c>
      <c r="K416" s="4"/>
      <c r="M416"/>
    </row>
    <row r="417" spans="1:13" x14ac:dyDescent="0.2">
      <c r="A417" s="16">
        <f t="shared" si="48"/>
        <v>153</v>
      </c>
      <c r="B417" s="17">
        <v>45995</v>
      </c>
      <c r="C417" s="39">
        <f t="shared" si="45"/>
        <v>2025</v>
      </c>
      <c r="D417" s="18" t="s">
        <v>34</v>
      </c>
      <c r="E417" s="18"/>
      <c r="F417" t="s">
        <v>91</v>
      </c>
      <c r="G417" s="18" t="s">
        <v>34</v>
      </c>
      <c r="H417" s="22" t="s">
        <v>41</v>
      </c>
      <c r="I417" s="21">
        <v>-25000</v>
      </c>
      <c r="J417" s="19">
        <f t="shared" si="49"/>
        <v>1390466.3800000001</v>
      </c>
      <c r="K417" s="4"/>
      <c r="M417"/>
    </row>
    <row r="418" spans="1:13" x14ac:dyDescent="0.2">
      <c r="A418" s="16">
        <f t="shared" si="48"/>
        <v>154</v>
      </c>
      <c r="B418" s="17">
        <v>45996</v>
      </c>
      <c r="C418" s="39">
        <f t="shared" si="45"/>
        <v>2025</v>
      </c>
      <c r="D418" s="18" t="s">
        <v>34</v>
      </c>
      <c r="E418" s="18"/>
      <c r="F418" t="s">
        <v>91</v>
      </c>
      <c r="G418" s="18" t="s">
        <v>34</v>
      </c>
      <c r="H418" s="22" t="s">
        <v>41</v>
      </c>
      <c r="I418" s="21">
        <v>-13952.4</v>
      </c>
      <c r="J418" s="19">
        <f t="shared" si="49"/>
        <v>1376513.9800000002</v>
      </c>
      <c r="K418" s="4"/>
      <c r="M418"/>
    </row>
    <row r="419" spans="1:13" x14ac:dyDescent="0.2">
      <c r="A419" s="16">
        <f t="shared" si="48"/>
        <v>155</v>
      </c>
      <c r="B419" s="17">
        <v>46001</v>
      </c>
      <c r="C419" s="39">
        <f t="shared" si="45"/>
        <v>2025</v>
      </c>
      <c r="D419" s="18" t="s">
        <v>34</v>
      </c>
      <c r="E419" s="18"/>
      <c r="F419" t="s">
        <v>91</v>
      </c>
      <c r="G419" s="18" t="s">
        <v>34</v>
      </c>
      <c r="H419" s="22" t="s">
        <v>41</v>
      </c>
      <c r="I419" s="21">
        <v>-353</v>
      </c>
      <c r="J419" s="19">
        <f t="shared" si="49"/>
        <v>1376160.9800000002</v>
      </c>
      <c r="K419" s="4"/>
      <c r="M419"/>
    </row>
    <row r="420" spans="1:13" x14ac:dyDescent="0.2">
      <c r="A420" s="16">
        <f t="shared" si="48"/>
        <v>156</v>
      </c>
      <c r="B420" s="17">
        <v>46006</v>
      </c>
      <c r="C420" s="39">
        <f t="shared" si="45"/>
        <v>2025</v>
      </c>
      <c r="D420" s="18" t="s">
        <v>33</v>
      </c>
      <c r="E420" s="18"/>
      <c r="F420" s="37" t="s">
        <v>38</v>
      </c>
      <c r="G420" s="18" t="s">
        <v>33</v>
      </c>
      <c r="H420" s="22" t="s">
        <v>41</v>
      </c>
      <c r="I420" s="21">
        <v>200000</v>
      </c>
      <c r="J420" s="19">
        <f t="shared" si="49"/>
        <v>1576160.9800000002</v>
      </c>
      <c r="K420" s="4"/>
    </row>
    <row r="421" spans="1:13" x14ac:dyDescent="0.2">
      <c r="A421" s="16">
        <f t="shared" si="48"/>
        <v>157</v>
      </c>
      <c r="B421" s="17">
        <v>46022</v>
      </c>
      <c r="C421" s="39">
        <f t="shared" si="45"/>
        <v>2025</v>
      </c>
      <c r="D421" s="18" t="s">
        <v>35</v>
      </c>
      <c r="E421" s="22" t="s">
        <v>71</v>
      </c>
      <c r="F421" s="37" t="s">
        <v>68</v>
      </c>
      <c r="G421" s="22" t="s">
        <v>155</v>
      </c>
      <c r="H421" s="18"/>
      <c r="I421" s="21">
        <v>15590.85</v>
      </c>
      <c r="J421" s="19">
        <f t="shared" si="49"/>
        <v>1591751.8300000003</v>
      </c>
      <c r="K421" s="85">
        <f>(I421)/J420*12</f>
        <v>0.11869993127224859</v>
      </c>
      <c r="M421"/>
    </row>
    <row r="422" spans="1:13" x14ac:dyDescent="0.2">
      <c r="A422" s="40">
        <f t="shared" si="48"/>
        <v>158</v>
      </c>
      <c r="B422" s="41">
        <v>46022</v>
      </c>
      <c r="C422" s="42">
        <f t="shared" si="45"/>
        <v>2025</v>
      </c>
      <c r="D422" s="43" t="s">
        <v>36</v>
      </c>
      <c r="E422" s="47" t="s">
        <v>70</v>
      </c>
      <c r="F422" s="46" t="s">
        <v>79</v>
      </c>
      <c r="G422" s="43" t="s">
        <v>93</v>
      </c>
      <c r="H422" s="43"/>
      <c r="I422" s="44">
        <v>-29.1</v>
      </c>
      <c r="J422" s="45">
        <f t="shared" si="49"/>
        <v>1591722.7300000002</v>
      </c>
    </row>
    <row r="423" spans="1:13" x14ac:dyDescent="0.2">
      <c r="A423" s="16">
        <f t="shared" si="48"/>
        <v>159</v>
      </c>
      <c r="B423" s="17">
        <v>46053</v>
      </c>
      <c r="C423" s="39">
        <f t="shared" si="45"/>
        <v>2026</v>
      </c>
      <c r="D423" s="18" t="s">
        <v>35</v>
      </c>
      <c r="E423" s="22" t="s">
        <v>71</v>
      </c>
      <c r="F423" s="37" t="s">
        <v>68</v>
      </c>
      <c r="G423" s="22" t="s">
        <v>155</v>
      </c>
      <c r="H423" s="18"/>
      <c r="I423" s="21">
        <v>16022.22</v>
      </c>
      <c r="J423" s="19">
        <f t="shared" si="49"/>
        <v>1607744.9500000002</v>
      </c>
      <c r="K423" s="85">
        <f>(I423)/J422*12</f>
        <v>0.12079154011955334</v>
      </c>
    </row>
    <row r="424" spans="1:13" x14ac:dyDescent="0.2">
      <c r="A424" s="16">
        <f t="shared" si="48"/>
        <v>160</v>
      </c>
      <c r="B424" s="17">
        <v>46080</v>
      </c>
      <c r="C424" s="39">
        <f t="shared" si="45"/>
        <v>2026</v>
      </c>
      <c r="D424" s="18" t="s">
        <v>35</v>
      </c>
      <c r="E424" s="22" t="s">
        <v>71</v>
      </c>
      <c r="F424" s="37" t="s">
        <v>68</v>
      </c>
      <c r="G424" s="22" t="s">
        <v>155</v>
      </c>
      <c r="H424" s="18"/>
      <c r="I424" s="21">
        <v>13803.51</v>
      </c>
      <c r="J424" s="19">
        <f t="shared" si="49"/>
        <v>1621548.4600000002</v>
      </c>
      <c r="K424" s="85">
        <f>I424/J423*12</f>
        <v>0.10302761019401738</v>
      </c>
    </row>
    <row r="425" spans="1:13" x14ac:dyDescent="0.2">
      <c r="A425" s="16">
        <f t="shared" si="48"/>
        <v>161</v>
      </c>
      <c r="B425" s="17">
        <v>46112</v>
      </c>
      <c r="C425" s="39">
        <f t="shared" si="45"/>
        <v>2026</v>
      </c>
      <c r="D425" s="18" t="s">
        <v>35</v>
      </c>
      <c r="E425" s="22" t="s">
        <v>71</v>
      </c>
      <c r="F425" s="37" t="s">
        <v>68</v>
      </c>
      <c r="G425" s="22" t="s">
        <v>155</v>
      </c>
      <c r="H425" s="18"/>
      <c r="I425" s="21">
        <v>17189.88</v>
      </c>
      <c r="J425" s="19">
        <f t="shared" si="49"/>
        <v>1638738.34</v>
      </c>
      <c r="K425" s="85">
        <f>I425/J424*12</f>
        <v>0.12721085128717027</v>
      </c>
    </row>
    <row r="426" spans="1:13" x14ac:dyDescent="0.2">
      <c r="A426" s="16">
        <f t="shared" si="48"/>
        <v>162</v>
      </c>
      <c r="B426" s="17">
        <v>46114</v>
      </c>
      <c r="C426" s="39">
        <f t="shared" ref="C426:C449" si="50">IF(B426="","",YEAR(B426))</f>
        <v>2026</v>
      </c>
      <c r="D426" s="18" t="s">
        <v>34</v>
      </c>
      <c r="E426" s="18"/>
      <c r="F426" t="s">
        <v>142</v>
      </c>
      <c r="G426" s="18" t="s">
        <v>144</v>
      </c>
      <c r="H426" s="22" t="s">
        <v>41</v>
      </c>
      <c r="I426" s="21">
        <v>-758.56</v>
      </c>
      <c r="J426" s="19">
        <f t="shared" si="49"/>
        <v>1637979.78</v>
      </c>
      <c r="K426" s="4"/>
    </row>
    <row r="427" spans="1:13" x14ac:dyDescent="0.2">
      <c r="A427" s="16">
        <f t="shared" si="48"/>
        <v>163</v>
      </c>
      <c r="B427" s="17">
        <v>46118</v>
      </c>
      <c r="C427" s="39">
        <f t="shared" si="50"/>
        <v>2026</v>
      </c>
      <c r="D427" s="18" t="s">
        <v>34</v>
      </c>
      <c r="E427" s="18"/>
      <c r="F427" t="s">
        <v>142</v>
      </c>
      <c r="G427" s="18" t="s">
        <v>144</v>
      </c>
      <c r="H427" s="22" t="s">
        <v>41</v>
      </c>
      <c r="I427" s="21">
        <v>-81.400000000000006</v>
      </c>
      <c r="J427" s="19">
        <f t="shared" si="49"/>
        <v>1637898.3800000001</v>
      </c>
      <c r="K427" s="4"/>
      <c r="M427"/>
    </row>
    <row r="428" spans="1:13" x14ac:dyDescent="0.2">
      <c r="A428" s="16">
        <f t="shared" si="48"/>
        <v>164</v>
      </c>
      <c r="B428" s="17">
        <v>46122</v>
      </c>
      <c r="C428" s="39">
        <f t="shared" si="50"/>
        <v>2026</v>
      </c>
      <c r="D428" s="18" t="s">
        <v>34</v>
      </c>
      <c r="E428" s="18"/>
      <c r="F428" t="s">
        <v>142</v>
      </c>
      <c r="G428" s="18" t="s">
        <v>144</v>
      </c>
      <c r="H428" s="22" t="s">
        <v>41</v>
      </c>
      <c r="I428" s="21">
        <v>-377</v>
      </c>
      <c r="J428" s="19">
        <f t="shared" si="49"/>
        <v>1637521.3800000001</v>
      </c>
      <c r="K428" s="4"/>
      <c r="M428"/>
    </row>
    <row r="429" spans="1:13" x14ac:dyDescent="0.2">
      <c r="A429" s="16">
        <f t="shared" si="48"/>
        <v>165</v>
      </c>
      <c r="B429" s="17">
        <v>46142</v>
      </c>
      <c r="C429" s="39">
        <f t="shared" si="50"/>
        <v>2026</v>
      </c>
      <c r="D429" s="18" t="s">
        <v>35</v>
      </c>
      <c r="E429" s="22" t="s">
        <v>71</v>
      </c>
      <c r="F429" s="37" t="s">
        <v>68</v>
      </c>
      <c r="G429" s="22" t="s">
        <v>155</v>
      </c>
      <c r="H429" s="18"/>
      <c r="I429" s="21">
        <v>15246.12</v>
      </c>
      <c r="J429" s="19">
        <f t="shared" si="49"/>
        <v>1652767.5000000002</v>
      </c>
      <c r="K429" s="4"/>
      <c r="M429"/>
    </row>
    <row r="430" spans="1:13" x14ac:dyDescent="0.2">
      <c r="A430" s="16">
        <f t="shared" si="48"/>
        <v>166</v>
      </c>
      <c r="B430" s="17">
        <v>46142</v>
      </c>
      <c r="C430" s="39">
        <f t="shared" si="50"/>
        <v>2026</v>
      </c>
      <c r="D430" s="18" t="s">
        <v>36</v>
      </c>
      <c r="E430" s="22" t="s">
        <v>70</v>
      </c>
      <c r="F430" s="37" t="s">
        <v>79</v>
      </c>
      <c r="G430" s="18" t="s">
        <v>93</v>
      </c>
      <c r="H430" s="18"/>
      <c r="I430" s="21">
        <v>-10.01</v>
      </c>
      <c r="J430" s="19">
        <f t="shared" si="49"/>
        <v>1652757.4900000002</v>
      </c>
      <c r="K430" s="85">
        <f>I429/J429*12</f>
        <v>0.11069520667607513</v>
      </c>
      <c r="M430"/>
    </row>
    <row r="431" spans="1:13" x14ac:dyDescent="0.2">
      <c r="A431" s="16">
        <f t="shared" si="48"/>
        <v>167</v>
      </c>
      <c r="B431" s="17">
        <v>46147</v>
      </c>
      <c r="C431" s="39">
        <f t="shared" si="50"/>
        <v>2026</v>
      </c>
      <c r="D431" s="18" t="s">
        <v>34</v>
      </c>
      <c r="E431" s="18"/>
      <c r="F431" t="s">
        <v>142</v>
      </c>
      <c r="G431" s="18" t="s">
        <v>144</v>
      </c>
      <c r="H431" s="22" t="s">
        <v>41</v>
      </c>
      <c r="I431" s="21">
        <v>-1998</v>
      </c>
      <c r="J431" s="19">
        <f t="shared" si="49"/>
        <v>1650759.4900000002</v>
      </c>
      <c r="K431" s="4"/>
      <c r="M431"/>
    </row>
    <row r="432" spans="1:13" x14ac:dyDescent="0.2">
      <c r="A432" s="16">
        <f t="shared" si="48"/>
        <v>168</v>
      </c>
      <c r="B432" s="17">
        <v>46148</v>
      </c>
      <c r="C432" s="39">
        <f t="shared" si="50"/>
        <v>2026</v>
      </c>
      <c r="D432" s="18" t="s">
        <v>34</v>
      </c>
      <c r="E432" s="18"/>
      <c r="F432" t="s">
        <v>142</v>
      </c>
      <c r="G432" s="18" t="s">
        <v>144</v>
      </c>
      <c r="H432" s="22" t="s">
        <v>41</v>
      </c>
      <c r="I432" s="21">
        <v>-93.1</v>
      </c>
      <c r="J432" s="19">
        <f t="shared" si="49"/>
        <v>1650666.3900000001</v>
      </c>
      <c r="K432" s="4"/>
      <c r="M432"/>
    </row>
    <row r="433" spans="1:13" x14ac:dyDescent="0.2">
      <c r="A433" s="16">
        <f t="shared" si="48"/>
        <v>169</v>
      </c>
      <c r="B433" s="17">
        <v>46153</v>
      </c>
      <c r="C433" s="39">
        <f t="shared" si="50"/>
        <v>2026</v>
      </c>
      <c r="D433" s="18" t="s">
        <v>34</v>
      </c>
      <c r="E433" s="18"/>
      <c r="F433" t="s">
        <v>142</v>
      </c>
      <c r="G433" s="18" t="s">
        <v>144</v>
      </c>
      <c r="H433" s="22" t="s">
        <v>41</v>
      </c>
      <c r="I433" s="21">
        <v>-377</v>
      </c>
      <c r="J433" s="19">
        <f t="shared" si="49"/>
        <v>1650289.3900000001</v>
      </c>
      <c r="K433" s="4"/>
      <c r="M433"/>
    </row>
    <row r="434" spans="1:13" x14ac:dyDescent="0.2">
      <c r="A434" s="16">
        <f t="shared" si="48"/>
        <v>170</v>
      </c>
      <c r="B434" s="17">
        <v>46173</v>
      </c>
      <c r="C434" s="39">
        <f t="shared" si="50"/>
        <v>2026</v>
      </c>
      <c r="D434" s="18" t="s">
        <v>35</v>
      </c>
      <c r="E434" s="22" t="s">
        <v>71</v>
      </c>
      <c r="F434" s="37" t="s">
        <v>68</v>
      </c>
      <c r="G434" s="22" t="s">
        <v>155</v>
      </c>
      <c r="H434" s="18"/>
      <c r="I434" s="21">
        <v>15241.93</v>
      </c>
      <c r="J434" s="19">
        <f t="shared" si="49"/>
        <v>1665531.32</v>
      </c>
      <c r="K434" s="4"/>
      <c r="M434"/>
    </row>
    <row r="435" spans="1:13" x14ac:dyDescent="0.2">
      <c r="A435" s="16">
        <f t="shared" si="48"/>
        <v>171</v>
      </c>
      <c r="B435" s="17">
        <v>46173</v>
      </c>
      <c r="C435" s="39">
        <f t="shared" si="50"/>
        <v>2026</v>
      </c>
      <c r="D435" s="18" t="s">
        <v>36</v>
      </c>
      <c r="E435" s="22" t="s">
        <v>70</v>
      </c>
      <c r="F435" s="37" t="s">
        <v>79</v>
      </c>
      <c r="G435" s="18" t="s">
        <v>93</v>
      </c>
      <c r="H435" s="18"/>
      <c r="I435" s="21">
        <v>-18558.849999999999</v>
      </c>
      <c r="J435" s="19">
        <f t="shared" si="49"/>
        <v>1646972.47</v>
      </c>
      <c r="K435" s="75">
        <f>(I434+I435)/J434*12</f>
        <v>-2.3898103579343064E-2</v>
      </c>
      <c r="M435"/>
    </row>
    <row r="436" spans="1:13" x14ac:dyDescent="0.2">
      <c r="A436" s="16">
        <f t="shared" ref="A436:A449" si="51">A435+1</f>
        <v>172</v>
      </c>
      <c r="B436" s="17">
        <v>46178</v>
      </c>
      <c r="C436" s="39">
        <f t="shared" si="50"/>
        <v>2026</v>
      </c>
      <c r="D436" s="18" t="s">
        <v>34</v>
      </c>
      <c r="E436" s="18"/>
      <c r="F436" t="s">
        <v>142</v>
      </c>
      <c r="G436" s="18" t="s">
        <v>144</v>
      </c>
      <c r="H436" s="22" t="s">
        <v>41</v>
      </c>
      <c r="I436" s="21">
        <v>-2091.1</v>
      </c>
      <c r="J436" s="19">
        <f t="shared" si="49"/>
        <v>1644881.3699999999</v>
      </c>
      <c r="K436" s="4"/>
      <c r="M436"/>
    </row>
    <row r="437" spans="1:13" x14ac:dyDescent="0.2">
      <c r="A437" s="16">
        <f t="shared" si="51"/>
        <v>173</v>
      </c>
      <c r="B437" s="17">
        <v>46183</v>
      </c>
      <c r="C437" s="39">
        <f t="shared" si="50"/>
        <v>2026</v>
      </c>
      <c r="D437" s="18" t="s">
        <v>34</v>
      </c>
      <c r="E437" s="18"/>
      <c r="F437" t="s">
        <v>142</v>
      </c>
      <c r="G437" s="18" t="s">
        <v>144</v>
      </c>
      <c r="H437" s="22" t="s">
        <v>41</v>
      </c>
      <c r="I437" s="21">
        <v>-377</v>
      </c>
      <c r="J437" s="19">
        <f t="shared" si="49"/>
        <v>1644504.3699999999</v>
      </c>
      <c r="K437" s="4"/>
      <c r="M437"/>
    </row>
    <row r="438" spans="1:13" x14ac:dyDescent="0.2">
      <c r="A438" s="16">
        <f t="shared" si="51"/>
        <v>174</v>
      </c>
      <c r="B438" s="17">
        <v>46190</v>
      </c>
      <c r="C438" s="39">
        <f t="shared" si="50"/>
        <v>2026</v>
      </c>
      <c r="D438" s="18" t="s">
        <v>34</v>
      </c>
      <c r="E438" s="18"/>
      <c r="F438" t="s">
        <v>142</v>
      </c>
      <c r="G438" s="18" t="s">
        <v>144</v>
      </c>
      <c r="H438" s="22" t="s">
        <v>41</v>
      </c>
      <c r="I438" s="21">
        <v>-935.39</v>
      </c>
      <c r="J438" s="19">
        <f t="shared" si="49"/>
        <v>1643568.98</v>
      </c>
      <c r="K438" s="4"/>
      <c r="M438"/>
    </row>
    <row r="439" spans="1:13" x14ac:dyDescent="0.2">
      <c r="A439" s="16">
        <f t="shared" si="51"/>
        <v>175</v>
      </c>
      <c r="B439" s="17">
        <v>46203</v>
      </c>
      <c r="C439" s="39">
        <f t="shared" si="50"/>
        <v>2026</v>
      </c>
      <c r="D439" s="18" t="s">
        <v>35</v>
      </c>
      <c r="E439" s="22" t="s">
        <v>71</v>
      </c>
      <c r="F439" s="37" t="s">
        <v>68</v>
      </c>
      <c r="G439" s="22" t="s">
        <v>155</v>
      </c>
      <c r="H439" s="18"/>
      <c r="I439" s="21">
        <v>15694.11</v>
      </c>
      <c r="J439" s="19">
        <f t="shared" si="49"/>
        <v>1659263.09</v>
      </c>
      <c r="K439" s="4"/>
      <c r="M439"/>
    </row>
    <row r="440" spans="1:13" x14ac:dyDescent="0.2">
      <c r="A440" s="16">
        <f t="shared" si="51"/>
        <v>176</v>
      </c>
      <c r="B440" s="17">
        <v>46203</v>
      </c>
      <c r="C440" s="39">
        <f t="shared" si="50"/>
        <v>2026</v>
      </c>
      <c r="D440" s="18" t="s">
        <v>36</v>
      </c>
      <c r="E440" s="22" t="s">
        <v>70</v>
      </c>
      <c r="F440" s="37" t="s">
        <v>79</v>
      </c>
      <c r="G440" s="18" t="s">
        <v>93</v>
      </c>
      <c r="H440" s="18"/>
      <c r="I440" s="21">
        <v>-2.33</v>
      </c>
      <c r="J440" s="19">
        <f t="shared" si="49"/>
        <v>1659260.76</v>
      </c>
      <c r="K440" s="85">
        <f>(I439+I440)/J439*12</f>
        <v>0.1134849326395852</v>
      </c>
      <c r="M440"/>
    </row>
    <row r="441" spans="1:13" x14ac:dyDescent="0.2">
      <c r="A441" s="16">
        <f t="shared" si="51"/>
        <v>177</v>
      </c>
      <c r="B441" s="17">
        <v>46209</v>
      </c>
      <c r="C441" s="39">
        <f t="shared" si="50"/>
        <v>2026</v>
      </c>
      <c r="D441" s="18" t="s">
        <v>34</v>
      </c>
      <c r="E441" s="18"/>
      <c r="F441" t="s">
        <v>142</v>
      </c>
      <c r="G441" s="18" t="s">
        <v>144</v>
      </c>
      <c r="H441" s="22" t="s">
        <v>41</v>
      </c>
      <c r="I441" s="21">
        <v>-93.1</v>
      </c>
      <c r="J441" s="19">
        <f t="shared" si="49"/>
        <v>1659167.66</v>
      </c>
      <c r="K441" s="4"/>
      <c r="M441"/>
    </row>
    <row r="442" spans="1:13" x14ac:dyDescent="0.2">
      <c r="A442" s="16">
        <f t="shared" si="51"/>
        <v>178</v>
      </c>
      <c r="B442" s="17">
        <v>46213</v>
      </c>
      <c r="C442" s="39">
        <f t="shared" ref="C442" si="52">IF(B442="","",YEAR(B442))</f>
        <v>2026</v>
      </c>
      <c r="D442" s="18" t="s">
        <v>34</v>
      </c>
      <c r="E442" s="18"/>
      <c r="F442" t="s">
        <v>142</v>
      </c>
      <c r="G442" s="18" t="s">
        <v>144</v>
      </c>
      <c r="H442" s="22" t="s">
        <v>41</v>
      </c>
      <c r="I442" s="21">
        <v>-2375</v>
      </c>
      <c r="J442" s="19">
        <f t="shared" si="49"/>
        <v>1656792.66</v>
      </c>
      <c r="K442" s="4"/>
      <c r="M442"/>
    </row>
    <row r="443" spans="1:13" x14ac:dyDescent="0.2">
      <c r="A443" s="16">
        <f t="shared" si="51"/>
        <v>179</v>
      </c>
      <c r="B443" s="17">
        <v>46234</v>
      </c>
      <c r="C443" s="39">
        <f t="shared" si="50"/>
        <v>2026</v>
      </c>
      <c r="D443" s="18" t="s">
        <v>35</v>
      </c>
      <c r="E443" s="22" t="s">
        <v>71</v>
      </c>
      <c r="F443" s="37" t="s">
        <v>68</v>
      </c>
      <c r="G443" s="18" t="s">
        <v>155</v>
      </c>
      <c r="H443" s="18"/>
      <c r="I443" s="21">
        <v>17203.96</v>
      </c>
      <c r="J443" s="19">
        <f t="shared" si="49"/>
        <v>1673996.6199999999</v>
      </c>
      <c r="K443" s="4"/>
      <c r="M443"/>
    </row>
    <row r="444" spans="1:13" x14ac:dyDescent="0.2">
      <c r="A444" s="16">
        <f t="shared" si="51"/>
        <v>180</v>
      </c>
      <c r="B444" s="17">
        <v>46234</v>
      </c>
      <c r="C444" s="39">
        <f t="shared" si="50"/>
        <v>2026</v>
      </c>
      <c r="D444" s="18" t="s">
        <v>36</v>
      </c>
      <c r="E444" s="22" t="s">
        <v>70</v>
      </c>
      <c r="F444" s="37" t="s">
        <v>79</v>
      </c>
      <c r="G444" s="18" t="s">
        <v>93</v>
      </c>
      <c r="H444" s="18"/>
      <c r="I444" s="21">
        <v>-6.63</v>
      </c>
      <c r="J444" s="19">
        <f t="shared" si="49"/>
        <v>1673989.99</v>
      </c>
      <c r="K444" s="85">
        <f>(I443+I444)/J443*12</f>
        <v>0.1232786001682608</v>
      </c>
      <c r="M444"/>
    </row>
    <row r="445" spans="1:13" x14ac:dyDescent="0.2">
      <c r="A445" s="16">
        <f t="shared" si="51"/>
        <v>181</v>
      </c>
      <c r="B445" s="17">
        <v>46239</v>
      </c>
      <c r="C445" s="39">
        <f t="shared" si="50"/>
        <v>2026</v>
      </c>
      <c r="D445" s="18" t="s">
        <v>34</v>
      </c>
      <c r="E445" s="18"/>
      <c r="F445" t="s">
        <v>142</v>
      </c>
      <c r="G445" s="18" t="s">
        <v>144</v>
      </c>
      <c r="H445" s="22" t="s">
        <v>41</v>
      </c>
      <c r="I445" s="21">
        <v>-2091.1</v>
      </c>
      <c r="J445" s="19">
        <f t="shared" si="49"/>
        <v>1671898.89</v>
      </c>
      <c r="K445" s="4"/>
      <c r="M445"/>
    </row>
    <row r="446" spans="1:13" x14ac:dyDescent="0.2">
      <c r="A446" s="16">
        <f t="shared" si="51"/>
        <v>182</v>
      </c>
      <c r="B446" s="17">
        <v>46244</v>
      </c>
      <c r="C446" s="39">
        <f t="shared" si="50"/>
        <v>2026</v>
      </c>
      <c r="D446" s="18" t="s">
        <v>34</v>
      </c>
      <c r="E446" s="18"/>
      <c r="F446" t="s">
        <v>142</v>
      </c>
      <c r="G446" s="18" t="s">
        <v>144</v>
      </c>
      <c r="H446" s="22" t="s">
        <v>41</v>
      </c>
      <c r="I446" s="21">
        <v>-377</v>
      </c>
      <c r="J446" s="19">
        <f t="shared" si="49"/>
        <v>1671521.89</v>
      </c>
      <c r="K446" s="4"/>
      <c r="M446"/>
    </row>
    <row r="447" spans="1:13" x14ac:dyDescent="0.2">
      <c r="A447" s="16">
        <f t="shared" si="51"/>
        <v>183</v>
      </c>
      <c r="B447" s="17">
        <v>46265</v>
      </c>
      <c r="C447" s="39">
        <f t="shared" si="50"/>
        <v>2026</v>
      </c>
      <c r="D447" s="18" t="s">
        <v>35</v>
      </c>
      <c r="E447" s="22" t="s">
        <v>71</v>
      </c>
      <c r="F447" s="37" t="s">
        <v>68</v>
      </c>
      <c r="G447" s="18" t="s">
        <v>155</v>
      </c>
      <c r="H447" s="18"/>
      <c r="I447" s="21">
        <v>15667.56</v>
      </c>
      <c r="J447" s="19">
        <f t="shared" si="49"/>
        <v>1687189.45</v>
      </c>
      <c r="K447" s="4"/>
      <c r="M447"/>
    </row>
    <row r="448" spans="1:13" x14ac:dyDescent="0.2">
      <c r="A448" s="16">
        <f t="shared" si="51"/>
        <v>184</v>
      </c>
      <c r="B448" s="17">
        <v>46265</v>
      </c>
      <c r="C448" s="39">
        <f t="shared" si="50"/>
        <v>2026</v>
      </c>
      <c r="D448" s="18" t="s">
        <v>36</v>
      </c>
      <c r="E448" s="22" t="s">
        <v>70</v>
      </c>
      <c r="F448" s="37" t="s">
        <v>79</v>
      </c>
      <c r="G448" s="18" t="s">
        <v>93</v>
      </c>
      <c r="H448" s="18"/>
      <c r="I448" s="21">
        <v>-10.71</v>
      </c>
      <c r="J448" s="19">
        <f t="shared" si="49"/>
        <v>1687178.74</v>
      </c>
      <c r="K448" s="85">
        <f>(I447+I448)/J447*12</f>
        <v>0.11135809318864577</v>
      </c>
      <c r="M448"/>
    </row>
    <row r="449" spans="1:14" x14ac:dyDescent="0.2">
      <c r="A449" s="16">
        <f t="shared" si="51"/>
        <v>185</v>
      </c>
      <c r="B449" s="17">
        <v>46295</v>
      </c>
      <c r="C449" s="39">
        <f t="shared" si="50"/>
        <v>2026</v>
      </c>
      <c r="D449" s="18" t="s">
        <v>35</v>
      </c>
      <c r="E449" s="22" t="s">
        <v>71</v>
      </c>
      <c r="F449" s="37" t="s">
        <v>68</v>
      </c>
      <c r="G449" s="18" t="s">
        <v>155</v>
      </c>
      <c r="H449" s="18"/>
      <c r="I449" s="21">
        <v>15176.21</v>
      </c>
      <c r="J449" s="19">
        <f t="shared" si="49"/>
        <v>1702354.95</v>
      </c>
      <c r="K449" s="75">
        <f>(+I449)/J448*12</f>
        <v>0.10794026482339387</v>
      </c>
      <c r="L449" s="53">
        <f>J449/M449</f>
        <v>288534.73728813557</v>
      </c>
      <c r="M449" s="86">
        <f>'Conta corrente'!M263</f>
        <v>5.9</v>
      </c>
      <c r="N449" s="18" t="s">
        <v>104</v>
      </c>
    </row>
    <row r="450" spans="1:14" x14ac:dyDescent="0.2">
      <c r="A450" s="4"/>
      <c r="B450" s="17"/>
      <c r="C450" s="39"/>
      <c r="D450" s="18"/>
      <c r="E450" s="22"/>
      <c r="F450" s="37"/>
      <c r="G450" s="18"/>
      <c r="H450" s="18"/>
      <c r="I450" s="21"/>
      <c r="J450" s="19"/>
      <c r="K450" s="85"/>
      <c r="L450" s="112"/>
      <c r="M450" s="111"/>
      <c r="N450" s="18"/>
    </row>
    <row r="451" spans="1:14" ht="13.5" thickBot="1" x14ac:dyDescent="0.25">
      <c r="I451" s="21"/>
      <c r="J451" s="19"/>
      <c r="M451" s="4"/>
    </row>
    <row r="452" spans="1:14" ht="13.5" thickBot="1" x14ac:dyDescent="0.25">
      <c r="J452" s="78">
        <f>J256+J449</f>
        <v>1743058.5799999998</v>
      </c>
      <c r="L452" s="53">
        <f>J452/M452</f>
        <v>295433.65762711858</v>
      </c>
      <c r="M452" s="86">
        <f>'Conta corrente'!M263</f>
        <v>5.9</v>
      </c>
      <c r="N452" s="87" t="s">
        <v>104</v>
      </c>
    </row>
    <row r="455" spans="1:14" x14ac:dyDescent="0.2">
      <c r="J455" s="77"/>
    </row>
    <row r="456" spans="1:14" x14ac:dyDescent="0.2">
      <c r="J456" s="77"/>
    </row>
    <row r="457" spans="1:14" x14ac:dyDescent="0.2">
      <c r="J457" s="77"/>
    </row>
    <row r="458" spans="1:14" x14ac:dyDescent="0.2">
      <c r="J458" s="77"/>
    </row>
    <row r="459" spans="1:14" x14ac:dyDescent="0.2">
      <c r="J459" s="77"/>
    </row>
    <row r="460" spans="1:14" x14ac:dyDescent="0.2">
      <c r="J460" s="77"/>
    </row>
    <row r="461" spans="1:14" x14ac:dyDescent="0.2">
      <c r="J461" s="77"/>
    </row>
    <row r="462" spans="1:14" x14ac:dyDescent="0.2">
      <c r="J462" s="77"/>
    </row>
  </sheetData>
  <autoFilter ref="A1:H452" xr:uid="{00000000-0009-0000-0000-00000500000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K40"/>
  <sheetViews>
    <sheetView workbookViewId="0">
      <selection activeCell="J40" sqref="J40"/>
    </sheetView>
  </sheetViews>
  <sheetFormatPr defaultColWidth="9.140625" defaultRowHeight="12.75" x14ac:dyDescent="0.2"/>
  <cols>
    <col min="1" max="1" width="32.7109375" bestFit="1" customWidth="1"/>
    <col min="2" max="2" width="21.5703125" bestFit="1" customWidth="1"/>
    <col min="3" max="3" width="13.140625" bestFit="1" customWidth="1"/>
    <col min="4" max="5" width="12.5703125" bestFit="1" customWidth="1"/>
    <col min="6" max="6" width="13.7109375" bestFit="1" customWidth="1"/>
    <col min="7" max="7" width="13.140625" bestFit="1" customWidth="1"/>
    <col min="8" max="8" width="18.7109375" bestFit="1" customWidth="1"/>
    <col min="11" max="11" width="12.5703125" bestFit="1" customWidth="1"/>
  </cols>
  <sheetData>
    <row r="3" spans="1:8" x14ac:dyDescent="0.2">
      <c r="A3" s="61" t="s">
        <v>67</v>
      </c>
      <c r="B3" s="61" t="s">
        <v>156</v>
      </c>
    </row>
    <row r="4" spans="1:8" x14ac:dyDescent="0.2">
      <c r="A4" s="61" t="s">
        <v>157</v>
      </c>
      <c r="B4" s="4">
        <v>2021</v>
      </c>
      <c r="C4" s="4">
        <v>2022</v>
      </c>
      <c r="D4" s="4">
        <v>2023</v>
      </c>
      <c r="E4" s="4">
        <v>2024</v>
      </c>
      <c r="F4" s="4">
        <v>2025</v>
      </c>
      <c r="G4" s="4">
        <v>2026</v>
      </c>
      <c r="H4" t="s">
        <v>158</v>
      </c>
    </row>
    <row r="5" spans="1:8" x14ac:dyDescent="0.2">
      <c r="A5" s="18" t="s">
        <v>71</v>
      </c>
      <c r="B5" s="64"/>
      <c r="C5" s="64"/>
      <c r="D5" s="64"/>
      <c r="E5" s="64"/>
      <c r="F5" s="64"/>
      <c r="G5" s="64"/>
      <c r="H5" s="64"/>
    </row>
    <row r="6" spans="1:8" x14ac:dyDescent="0.2">
      <c r="A6" s="62" t="s">
        <v>48</v>
      </c>
      <c r="B6" s="64"/>
      <c r="C6" s="64"/>
      <c r="D6" s="64"/>
      <c r="E6" s="64"/>
      <c r="F6" s="64"/>
      <c r="G6" s="64"/>
      <c r="H6" s="64"/>
    </row>
    <row r="7" spans="1:8" x14ac:dyDescent="0.2">
      <c r="A7" s="63" t="s">
        <v>49</v>
      </c>
      <c r="B7" s="64">
        <v>600000</v>
      </c>
      <c r="C7" s="64">
        <v>839056.88</v>
      </c>
      <c r="D7" s="64"/>
      <c r="E7" s="64"/>
      <c r="F7" s="64">
        <v>617509.26</v>
      </c>
      <c r="G7" s="64">
        <v>43156.04</v>
      </c>
      <c r="H7" s="64">
        <v>2099722.1799999997</v>
      </c>
    </row>
    <row r="8" spans="1:8" x14ac:dyDescent="0.2">
      <c r="A8" s="62" t="s">
        <v>159</v>
      </c>
      <c r="B8" s="64">
        <v>600000</v>
      </c>
      <c r="C8" s="64">
        <v>839056.88</v>
      </c>
      <c r="D8" s="64"/>
      <c r="E8" s="64"/>
      <c r="F8" s="64">
        <v>617509.26</v>
      </c>
      <c r="G8" s="64">
        <v>43156.04</v>
      </c>
      <c r="H8" s="64">
        <v>2099722.1799999997</v>
      </c>
    </row>
    <row r="9" spans="1:8" x14ac:dyDescent="0.2">
      <c r="A9" s="62" t="s">
        <v>68</v>
      </c>
      <c r="B9" s="64"/>
      <c r="C9" s="64"/>
      <c r="D9" s="64"/>
      <c r="E9" s="64"/>
      <c r="F9" s="64"/>
      <c r="G9" s="64"/>
      <c r="H9" s="64"/>
    </row>
    <row r="10" spans="1:8" x14ac:dyDescent="0.2">
      <c r="A10" s="63" t="s">
        <v>155</v>
      </c>
      <c r="B10" s="64">
        <v>536.34</v>
      </c>
      <c r="C10" s="64">
        <v>33780.47</v>
      </c>
      <c r="D10" s="64">
        <v>90650.189999999988</v>
      </c>
      <c r="E10" s="64">
        <v>80942.610000000015</v>
      </c>
      <c r="F10" s="64">
        <v>135991.31</v>
      </c>
      <c r="G10" s="64">
        <v>141245.49999999997</v>
      </c>
      <c r="H10" s="64">
        <v>483146.41999999993</v>
      </c>
    </row>
    <row r="11" spans="1:8" x14ac:dyDescent="0.2">
      <c r="A11" s="62" t="s">
        <v>160</v>
      </c>
      <c r="B11" s="64">
        <v>536.34</v>
      </c>
      <c r="C11" s="64">
        <v>33780.47</v>
      </c>
      <c r="D11" s="64">
        <v>90650.189999999988</v>
      </c>
      <c r="E11" s="64">
        <v>80942.610000000015</v>
      </c>
      <c r="F11" s="64">
        <v>135991.31</v>
      </c>
      <c r="G11" s="64">
        <v>141245.49999999997</v>
      </c>
      <c r="H11" s="64">
        <v>483146.41999999993</v>
      </c>
    </row>
    <row r="12" spans="1:8" x14ac:dyDescent="0.2">
      <c r="A12" s="18" t="s">
        <v>161</v>
      </c>
      <c r="B12" s="64">
        <v>600536.34</v>
      </c>
      <c r="C12" s="64">
        <v>872837.35</v>
      </c>
      <c r="D12" s="64">
        <v>90650.189999999988</v>
      </c>
      <c r="E12" s="64">
        <v>80942.610000000015</v>
      </c>
      <c r="F12" s="64">
        <v>753500.57000000007</v>
      </c>
      <c r="G12" s="64">
        <v>184401.53999999998</v>
      </c>
      <c r="H12" s="64">
        <v>2582868.5999999996</v>
      </c>
    </row>
    <row r="13" spans="1:8" x14ac:dyDescent="0.2">
      <c r="A13" s="18" t="s">
        <v>70</v>
      </c>
      <c r="B13" s="64"/>
      <c r="C13" s="64"/>
      <c r="D13" s="64"/>
      <c r="E13" s="64"/>
      <c r="F13" s="64"/>
      <c r="G13" s="64"/>
      <c r="H13" s="64"/>
    </row>
    <row r="14" spans="1:8" x14ac:dyDescent="0.2">
      <c r="A14" s="62" t="s">
        <v>72</v>
      </c>
      <c r="B14" s="64"/>
      <c r="C14" s="64"/>
      <c r="D14" s="64"/>
      <c r="E14" s="64"/>
      <c r="F14" s="64"/>
      <c r="G14" s="64"/>
      <c r="H14" s="64"/>
    </row>
    <row r="15" spans="1:8" x14ac:dyDescent="0.2">
      <c r="A15" s="63" t="s">
        <v>39</v>
      </c>
      <c r="B15" s="64">
        <v>-600000</v>
      </c>
      <c r="C15" s="64"/>
      <c r="D15" s="64"/>
      <c r="E15" s="64"/>
      <c r="F15" s="64"/>
      <c r="G15" s="64"/>
      <c r="H15" s="64">
        <v>-600000</v>
      </c>
    </row>
    <row r="16" spans="1:8" x14ac:dyDescent="0.2">
      <c r="A16" s="62" t="s">
        <v>162</v>
      </c>
      <c r="B16" s="64">
        <v>-600000</v>
      </c>
      <c r="C16" s="64"/>
      <c r="D16" s="64"/>
      <c r="E16" s="64"/>
      <c r="F16" s="64"/>
      <c r="G16" s="64"/>
      <c r="H16" s="64">
        <v>-600000</v>
      </c>
    </row>
    <row r="17" spans="1:11" x14ac:dyDescent="0.2">
      <c r="A17" s="62" t="s">
        <v>92</v>
      </c>
      <c r="B17" s="64"/>
      <c r="C17" s="64"/>
      <c r="D17" s="64"/>
      <c r="E17" s="64"/>
      <c r="F17" s="64"/>
      <c r="G17" s="64"/>
      <c r="H17" s="64"/>
    </row>
    <row r="18" spans="1:11" x14ac:dyDescent="0.2">
      <c r="A18" s="63" t="s">
        <v>77</v>
      </c>
      <c r="B18" s="64"/>
      <c r="C18" s="64">
        <v>-786</v>
      </c>
      <c r="D18" s="64">
        <v>-831</v>
      </c>
      <c r="E18" s="64">
        <v>-728.99999999999989</v>
      </c>
      <c r="F18" s="64">
        <v>-925.5999999999998</v>
      </c>
      <c r="G18" s="64">
        <v>-791.10000000000014</v>
      </c>
      <c r="H18" s="64">
        <v>-4062.7</v>
      </c>
    </row>
    <row r="19" spans="1:11" x14ac:dyDescent="0.2">
      <c r="A19" s="62" t="s">
        <v>163</v>
      </c>
      <c r="B19" s="64"/>
      <c r="C19" s="64">
        <v>-786</v>
      </c>
      <c r="D19" s="64">
        <v>-831</v>
      </c>
      <c r="E19" s="64">
        <v>-728.99999999999989</v>
      </c>
      <c r="F19" s="64">
        <v>-925.5999999999998</v>
      </c>
      <c r="G19" s="64">
        <v>-791.10000000000014</v>
      </c>
      <c r="H19" s="64">
        <v>-4062.7</v>
      </c>
    </row>
    <row r="20" spans="1:11" x14ac:dyDescent="0.2">
      <c r="A20" s="62" t="s">
        <v>79</v>
      </c>
      <c r="B20" s="64"/>
      <c r="C20" s="64"/>
      <c r="D20" s="64"/>
      <c r="E20" s="64"/>
      <c r="F20" s="64"/>
      <c r="G20" s="64"/>
      <c r="H20" s="64"/>
    </row>
    <row r="21" spans="1:11" x14ac:dyDescent="0.2">
      <c r="A21" s="63" t="s">
        <v>65</v>
      </c>
      <c r="B21" s="64"/>
      <c r="C21" s="64">
        <v>-23.37</v>
      </c>
      <c r="D21" s="64"/>
      <c r="E21" s="64"/>
      <c r="F21" s="64"/>
      <c r="G21" s="64"/>
      <c r="H21" s="64">
        <v>-23.37</v>
      </c>
    </row>
    <row r="22" spans="1:11" x14ac:dyDescent="0.2">
      <c r="A22" s="63" t="s">
        <v>147</v>
      </c>
      <c r="B22" s="64"/>
      <c r="C22" s="64">
        <v>-72.87</v>
      </c>
      <c r="D22" s="64"/>
      <c r="E22" s="64"/>
      <c r="F22" s="64"/>
      <c r="G22" s="64"/>
      <c r="H22" s="64">
        <v>-72.87</v>
      </c>
    </row>
    <row r="23" spans="1:11" x14ac:dyDescent="0.2">
      <c r="A23" s="63" t="s">
        <v>148</v>
      </c>
      <c r="B23" s="64"/>
      <c r="C23" s="64">
        <v>-320.77999999999997</v>
      </c>
      <c r="D23" s="64"/>
      <c r="E23" s="64"/>
      <c r="F23" s="64"/>
      <c r="G23" s="64"/>
      <c r="H23" s="64">
        <v>-320.77999999999997</v>
      </c>
    </row>
    <row r="24" spans="1:11" x14ac:dyDescent="0.2">
      <c r="A24" s="63" t="s">
        <v>95</v>
      </c>
      <c r="B24" s="64"/>
      <c r="C24" s="64"/>
      <c r="D24" s="64"/>
      <c r="E24" s="64">
        <v>-408.82</v>
      </c>
      <c r="F24" s="64"/>
      <c r="G24" s="64"/>
      <c r="H24" s="64">
        <v>-408.82</v>
      </c>
    </row>
    <row r="25" spans="1:11" x14ac:dyDescent="0.2">
      <c r="A25" s="63" t="s">
        <v>94</v>
      </c>
      <c r="B25" s="64"/>
      <c r="C25" s="64"/>
      <c r="D25" s="64"/>
      <c r="E25" s="64">
        <v>-408.78</v>
      </c>
      <c r="F25" s="64"/>
      <c r="G25" s="64"/>
      <c r="H25" s="64">
        <v>-408.78</v>
      </c>
    </row>
    <row r="26" spans="1:11" x14ac:dyDescent="0.2">
      <c r="A26" s="63" t="s">
        <v>145</v>
      </c>
      <c r="B26" s="64"/>
      <c r="C26" s="64"/>
      <c r="D26" s="64"/>
      <c r="E26" s="64"/>
      <c r="F26" s="64">
        <v>-378.61</v>
      </c>
      <c r="G26" s="64"/>
      <c r="H26" s="64">
        <v>-378.61</v>
      </c>
    </row>
    <row r="27" spans="1:11" x14ac:dyDescent="0.2">
      <c r="A27" s="63" t="s">
        <v>146</v>
      </c>
      <c r="B27" s="64"/>
      <c r="C27" s="64"/>
      <c r="D27" s="64"/>
      <c r="E27" s="64"/>
      <c r="F27" s="64"/>
      <c r="G27" s="64">
        <v>-398.75</v>
      </c>
      <c r="H27" s="64">
        <v>-398.75</v>
      </c>
    </row>
    <row r="28" spans="1:11" x14ac:dyDescent="0.2">
      <c r="A28" s="63" t="s">
        <v>78</v>
      </c>
      <c r="B28" s="64">
        <v>-445.05</v>
      </c>
      <c r="C28" s="64">
        <v>-0.21000000000000002</v>
      </c>
      <c r="D28" s="64"/>
      <c r="E28" s="64"/>
      <c r="F28" s="64"/>
      <c r="G28" s="64"/>
      <c r="H28" s="64">
        <v>-445.26</v>
      </c>
    </row>
    <row r="29" spans="1:11" x14ac:dyDescent="0.2">
      <c r="A29" s="63" t="s">
        <v>93</v>
      </c>
      <c r="B29" s="64">
        <v>-20.5</v>
      </c>
      <c r="C29" s="64">
        <v>-5609.93</v>
      </c>
      <c r="D29" s="64">
        <v>-17894.580000000002</v>
      </c>
      <c r="E29" s="64">
        <v>-16073.35</v>
      </c>
      <c r="F29" s="64">
        <v>-25469.15</v>
      </c>
      <c r="G29" s="64">
        <v>-18588.529999999995</v>
      </c>
      <c r="H29" s="64">
        <v>-83656.039999999994</v>
      </c>
      <c r="K29" s="64"/>
    </row>
    <row r="30" spans="1:11" x14ac:dyDescent="0.2">
      <c r="A30" s="62" t="s">
        <v>164</v>
      </c>
      <c r="B30" s="64">
        <v>-465.55</v>
      </c>
      <c r="C30" s="64">
        <v>-6027.16</v>
      </c>
      <c r="D30" s="64">
        <v>-17894.580000000002</v>
      </c>
      <c r="E30" s="64">
        <v>-16890.95</v>
      </c>
      <c r="F30" s="64">
        <v>-25847.760000000002</v>
      </c>
      <c r="G30" s="64">
        <v>-18987.279999999995</v>
      </c>
      <c r="H30" s="64">
        <v>-86113.279999999999</v>
      </c>
    </row>
    <row r="31" spans="1:11" x14ac:dyDescent="0.2">
      <c r="A31" s="62" t="s">
        <v>91</v>
      </c>
      <c r="B31" s="64"/>
      <c r="C31" s="64"/>
      <c r="D31" s="64"/>
      <c r="E31" s="64"/>
      <c r="F31" s="64"/>
      <c r="G31" s="64"/>
      <c r="H31" s="64"/>
    </row>
    <row r="32" spans="1:11" x14ac:dyDescent="0.2">
      <c r="A32" s="63" t="s">
        <v>47</v>
      </c>
      <c r="B32" s="64"/>
      <c r="C32" s="64">
        <v>-1050</v>
      </c>
      <c r="D32" s="64">
        <v>-2050</v>
      </c>
      <c r="E32" s="64">
        <v>-21475.47</v>
      </c>
      <c r="F32" s="64">
        <v>-17822.03</v>
      </c>
      <c r="G32" s="64">
        <v>-935.39</v>
      </c>
      <c r="H32" s="64">
        <v>-43332.89</v>
      </c>
      <c r="K32" s="64"/>
    </row>
    <row r="33" spans="1:11" x14ac:dyDescent="0.2">
      <c r="A33" s="63" t="s">
        <v>118</v>
      </c>
      <c r="B33" s="64"/>
      <c r="C33" s="64"/>
      <c r="D33" s="64"/>
      <c r="E33" s="64"/>
      <c r="F33" s="64">
        <v>-15610</v>
      </c>
      <c r="G33" s="64">
        <v>-21208.31</v>
      </c>
      <c r="H33" s="64">
        <v>-36818.31</v>
      </c>
      <c r="K33" s="64"/>
    </row>
    <row r="34" spans="1:11" x14ac:dyDescent="0.2">
      <c r="A34" s="63" t="s">
        <v>127</v>
      </c>
      <c r="B34" s="64"/>
      <c r="C34" s="64"/>
      <c r="D34" s="64"/>
      <c r="E34" s="64"/>
      <c r="F34" s="64">
        <v>-7482.84</v>
      </c>
      <c r="G34" s="64"/>
      <c r="H34" s="64">
        <v>-7482.84</v>
      </c>
      <c r="K34" s="64"/>
    </row>
    <row r="35" spans="1:11" x14ac:dyDescent="0.2">
      <c r="A35" s="62" t="s">
        <v>165</v>
      </c>
      <c r="B35" s="64"/>
      <c r="C35" s="64">
        <v>-1050</v>
      </c>
      <c r="D35" s="64">
        <v>-2050</v>
      </c>
      <c r="E35" s="64">
        <v>-21475.47</v>
      </c>
      <c r="F35" s="64">
        <v>-40914.869999999995</v>
      </c>
      <c r="G35" s="64">
        <v>-22143.7</v>
      </c>
      <c r="H35" s="64">
        <v>-87634.04</v>
      </c>
    </row>
    <row r="36" spans="1:11" x14ac:dyDescent="0.2">
      <c r="A36" s="62" t="s">
        <v>135</v>
      </c>
      <c r="B36" s="64"/>
      <c r="C36" s="64"/>
      <c r="D36" s="64"/>
      <c r="E36" s="64"/>
      <c r="F36" s="64"/>
      <c r="G36" s="64"/>
      <c r="H36" s="64"/>
    </row>
    <row r="37" spans="1:11" x14ac:dyDescent="0.2">
      <c r="A37" s="63" t="s">
        <v>137</v>
      </c>
      <c r="B37" s="64"/>
      <c r="C37" s="64"/>
      <c r="D37" s="64"/>
      <c r="E37" s="64"/>
      <c r="F37" s="64">
        <v>-62000</v>
      </c>
      <c r="G37" s="64"/>
      <c r="H37" s="64">
        <v>-62000</v>
      </c>
    </row>
    <row r="38" spans="1:11" x14ac:dyDescent="0.2">
      <c r="A38" s="62" t="s">
        <v>166</v>
      </c>
      <c r="B38" s="64"/>
      <c r="C38" s="64"/>
      <c r="D38" s="64"/>
      <c r="E38" s="64"/>
      <c r="F38" s="64">
        <v>-62000</v>
      </c>
      <c r="G38" s="64"/>
      <c r="H38" s="64">
        <v>-62000</v>
      </c>
      <c r="K38" s="64"/>
    </row>
    <row r="39" spans="1:11" x14ac:dyDescent="0.2">
      <c r="A39" s="18" t="s">
        <v>167</v>
      </c>
      <c r="B39" s="64">
        <v>-600465.55000000005</v>
      </c>
      <c r="C39" s="64">
        <v>-7863.16</v>
      </c>
      <c r="D39" s="64">
        <v>-20775.580000000002</v>
      </c>
      <c r="E39" s="64">
        <v>-39095.42</v>
      </c>
      <c r="F39" s="64">
        <v>-129688.23</v>
      </c>
      <c r="G39" s="64">
        <v>-41922.079999999994</v>
      </c>
      <c r="H39" s="64">
        <v>-839810.0199999999</v>
      </c>
    </row>
    <row r="40" spans="1:11" x14ac:dyDescent="0.2">
      <c r="A40" s="18" t="s">
        <v>158</v>
      </c>
      <c r="B40" s="64">
        <v>70.789999999967392</v>
      </c>
      <c r="C40" s="64">
        <v>864974.19</v>
      </c>
      <c r="D40" s="64">
        <v>69874.609999999986</v>
      </c>
      <c r="E40" s="64">
        <v>41847.19000000001</v>
      </c>
      <c r="F40" s="64">
        <v>623812.34000000008</v>
      </c>
      <c r="G40" s="64">
        <v>142479.45999999996</v>
      </c>
      <c r="H40" s="64">
        <v>1743058.5799999991</v>
      </c>
      <c r="J40" s="37"/>
    </row>
  </sheetData>
  <pageMargins left="0.25" right="0.25" top="0.75" bottom="0.75" header="0.3" footer="0.3"/>
  <pageSetup paperSize="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E32"/>
  <sheetViews>
    <sheetView topLeftCell="A6" workbookViewId="0">
      <selection activeCell="C30" sqref="C30"/>
    </sheetView>
  </sheetViews>
  <sheetFormatPr defaultColWidth="9.140625" defaultRowHeight="12.75" x14ac:dyDescent="0.2"/>
  <cols>
    <col min="1" max="1" width="12.7109375" customWidth="1"/>
    <col min="2" max="2" width="12" customWidth="1"/>
    <col min="3" max="3" width="21.7109375" customWidth="1"/>
    <col min="4" max="4" width="21.28515625" customWidth="1"/>
    <col min="5" max="5" width="19.85546875" customWidth="1"/>
    <col min="6" max="6" width="16.140625" customWidth="1"/>
  </cols>
  <sheetData>
    <row r="3" spans="1:5" ht="15" x14ac:dyDescent="0.25">
      <c r="A3" s="55" t="s">
        <v>54</v>
      </c>
      <c r="B3" s="56" t="s">
        <v>53</v>
      </c>
    </row>
    <row r="4" spans="1:5" ht="15" x14ac:dyDescent="0.25">
      <c r="A4" s="55" t="s">
        <v>26</v>
      </c>
      <c r="B4" s="56" t="s">
        <v>19</v>
      </c>
    </row>
    <row r="5" spans="1:5" ht="15" x14ac:dyDescent="0.25">
      <c r="A5" s="55" t="s">
        <v>58</v>
      </c>
      <c r="B5" s="58" t="s">
        <v>59</v>
      </c>
      <c r="C5" s="57">
        <v>44469</v>
      </c>
      <c r="D5" s="57"/>
    </row>
    <row r="6" spans="1:5" ht="15" x14ac:dyDescent="0.25">
      <c r="A6" s="55"/>
    </row>
    <row r="7" spans="1:5" s="10" customFormat="1" ht="15" x14ac:dyDescent="0.25">
      <c r="A7" s="126" t="s">
        <v>55</v>
      </c>
      <c r="B7" s="56" t="s">
        <v>11</v>
      </c>
    </row>
    <row r="8" spans="1:5" ht="15" x14ac:dyDescent="0.25">
      <c r="A8" s="126" t="s">
        <v>56</v>
      </c>
      <c r="B8" s="58" t="s">
        <v>4</v>
      </c>
    </row>
    <row r="9" spans="1:5" ht="15" x14ac:dyDescent="0.25">
      <c r="A9" s="126" t="s">
        <v>57</v>
      </c>
      <c r="B9" s="58" t="s">
        <v>21</v>
      </c>
    </row>
    <row r="10" spans="1:5" ht="15" x14ac:dyDescent="0.25">
      <c r="A10" s="55"/>
    </row>
    <row r="11" spans="1:5" ht="15" x14ac:dyDescent="0.25">
      <c r="A11" s="55"/>
      <c r="B11" s="101" t="s">
        <v>76</v>
      </c>
      <c r="C11" s="102" t="s">
        <v>60</v>
      </c>
      <c r="D11" s="102" t="s">
        <v>61</v>
      </c>
      <c r="E11" s="102" t="s">
        <v>16</v>
      </c>
    </row>
    <row r="12" spans="1:5" ht="15" x14ac:dyDescent="0.25">
      <c r="A12" s="55"/>
      <c r="B12" s="88"/>
      <c r="C12" s="89"/>
      <c r="D12" s="89"/>
      <c r="E12" s="90"/>
    </row>
    <row r="13" spans="1:5" ht="15" x14ac:dyDescent="0.25">
      <c r="A13" s="55"/>
      <c r="B13" s="91">
        <v>44561</v>
      </c>
      <c r="C13" s="92">
        <v>0</v>
      </c>
      <c r="D13" s="92">
        <v>70.790000000000006</v>
      </c>
      <c r="E13" s="93">
        <f>C13+D13</f>
        <v>70.790000000000006</v>
      </c>
    </row>
    <row r="14" spans="1:5" ht="15" x14ac:dyDescent="0.25">
      <c r="A14" s="55"/>
      <c r="B14" s="94"/>
      <c r="C14" s="95"/>
      <c r="D14" s="95"/>
      <c r="E14" s="96"/>
    </row>
    <row r="15" spans="1:5" ht="15" x14ac:dyDescent="0.25">
      <c r="A15" s="55"/>
      <c r="B15" s="91">
        <v>44926</v>
      </c>
      <c r="C15" s="92">
        <v>255109.77</v>
      </c>
      <c r="D15" s="92">
        <v>609935.21</v>
      </c>
      <c r="E15" s="93">
        <f>C15+D15</f>
        <v>865044.98</v>
      </c>
    </row>
    <row r="16" spans="1:5" ht="15" x14ac:dyDescent="0.25">
      <c r="A16" s="55"/>
      <c r="B16" s="97"/>
      <c r="C16" s="95"/>
      <c r="D16" s="95"/>
      <c r="E16" s="96"/>
    </row>
    <row r="17" spans="1:5" ht="15" x14ac:dyDescent="0.25">
      <c r="A17" s="55"/>
      <c r="B17" s="91">
        <v>45291</v>
      </c>
      <c r="C17" s="92">
        <v>0</v>
      </c>
      <c r="D17" s="92">
        <v>934919.59</v>
      </c>
      <c r="E17" s="93">
        <f>C17+D17</f>
        <v>934919.59</v>
      </c>
    </row>
    <row r="18" spans="1:5" ht="15" x14ac:dyDescent="0.25">
      <c r="A18" s="55"/>
      <c r="B18" s="97"/>
      <c r="C18" s="95"/>
      <c r="D18" s="95"/>
      <c r="E18" s="96"/>
    </row>
    <row r="19" spans="1:5" ht="15" x14ac:dyDescent="0.25">
      <c r="A19" s="55"/>
      <c r="B19" s="91">
        <v>45657</v>
      </c>
      <c r="C19" s="92">
        <v>0</v>
      </c>
      <c r="D19" s="92">
        <v>976766.77999999956</v>
      </c>
      <c r="E19" s="93">
        <f>C19+D19</f>
        <v>976766.77999999956</v>
      </c>
    </row>
    <row r="20" spans="1:5" ht="15" x14ac:dyDescent="0.25">
      <c r="A20" s="55"/>
      <c r="B20" s="97"/>
      <c r="C20" s="95"/>
      <c r="D20" s="95"/>
      <c r="E20" s="96"/>
    </row>
    <row r="21" spans="1:5" ht="15" x14ac:dyDescent="0.25">
      <c r="A21" s="55"/>
      <c r="B21" s="91">
        <v>46022</v>
      </c>
      <c r="C21" s="92">
        <v>8856.39</v>
      </c>
      <c r="D21" s="92">
        <v>1591722.73</v>
      </c>
      <c r="E21" s="93">
        <f>C21+D21</f>
        <v>1600579.1199999999</v>
      </c>
    </row>
    <row r="22" spans="1:5" ht="15" x14ac:dyDescent="0.25">
      <c r="A22" s="55"/>
      <c r="B22" s="97"/>
      <c r="C22" s="95"/>
      <c r="D22" s="95"/>
      <c r="E22" s="96"/>
    </row>
    <row r="23" spans="1:5" ht="15" x14ac:dyDescent="0.25">
      <c r="A23" s="55"/>
      <c r="B23" s="91">
        <v>46387</v>
      </c>
      <c r="C23" s="92">
        <v>0</v>
      </c>
      <c r="D23" s="92">
        <v>0</v>
      </c>
      <c r="E23" s="93">
        <f>C23+D23</f>
        <v>0</v>
      </c>
    </row>
    <row r="24" spans="1:5" ht="15" x14ac:dyDescent="0.25">
      <c r="A24" s="55"/>
      <c r="B24" s="98"/>
      <c r="C24" s="99"/>
      <c r="D24" s="99"/>
      <c r="E24" s="100"/>
    </row>
    <row r="25" spans="1:5" ht="15" x14ac:dyDescent="0.25">
      <c r="A25" s="55"/>
    </row>
    <row r="26" spans="1:5" ht="15" x14ac:dyDescent="0.25">
      <c r="A26" s="55"/>
    </row>
    <row r="27" spans="1:5" ht="15" x14ac:dyDescent="0.25">
      <c r="A27" s="55"/>
    </row>
    <row r="28" spans="1:5" ht="15" x14ac:dyDescent="0.25">
      <c r="A28" s="55"/>
    </row>
    <row r="29" spans="1:5" ht="15" x14ac:dyDescent="0.25">
      <c r="A29" s="55"/>
    </row>
    <row r="30" spans="1:5" ht="15" x14ac:dyDescent="0.25">
      <c r="A30" s="55"/>
    </row>
    <row r="31" spans="1:5" ht="15" x14ac:dyDescent="0.25">
      <c r="A31" s="55"/>
    </row>
    <row r="32" spans="1:5" ht="15" x14ac:dyDescent="0.25">
      <c r="A32" s="55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D21"/>
  <sheetViews>
    <sheetView workbookViewId="0">
      <selection activeCell="M33" sqref="M33"/>
    </sheetView>
  </sheetViews>
  <sheetFormatPr defaultColWidth="9.140625" defaultRowHeight="12.75" x14ac:dyDescent="0.2"/>
  <cols>
    <col min="2" max="2" width="31.28515625" customWidth="1"/>
    <col min="3" max="3" width="22.5703125" customWidth="1"/>
    <col min="4" max="4" width="12.7109375" bestFit="1" customWidth="1"/>
  </cols>
  <sheetData>
    <row r="3" spans="2:4" s="1" customFormat="1" ht="15.75" x14ac:dyDescent="0.25">
      <c r="B3" s="1" t="s">
        <v>18</v>
      </c>
    </row>
    <row r="4" spans="2:4" s="1" customFormat="1" ht="15.75" x14ac:dyDescent="0.25">
      <c r="B4" s="1" t="s">
        <v>0</v>
      </c>
    </row>
    <row r="5" spans="2:4" s="1" customFormat="1" ht="15.75" x14ac:dyDescent="0.25"/>
    <row r="6" spans="2:4" s="1" customFormat="1" ht="15.75" x14ac:dyDescent="0.25">
      <c r="B6" s="1" t="s">
        <v>1</v>
      </c>
      <c r="C6" s="1" t="s">
        <v>19</v>
      </c>
      <c r="D6" s="51">
        <v>44469</v>
      </c>
    </row>
    <row r="7" spans="2:4" s="1" customFormat="1" ht="15.75" x14ac:dyDescent="0.25"/>
    <row r="8" spans="2:4" s="1" customFormat="1" ht="15.75" x14ac:dyDescent="0.25">
      <c r="B8" s="1" t="s">
        <v>25</v>
      </c>
    </row>
    <row r="9" spans="2:4" s="1" customFormat="1" ht="15.75" x14ac:dyDescent="0.25"/>
    <row r="10" spans="2:4" s="1" customFormat="1" ht="15.75" x14ac:dyDescent="0.25">
      <c r="B10" s="1" t="s">
        <v>2</v>
      </c>
    </row>
    <row r="11" spans="2:4" s="1" customFormat="1" ht="15.75" x14ac:dyDescent="0.25">
      <c r="B11" s="1" t="s">
        <v>3</v>
      </c>
      <c r="C11" s="2" t="s">
        <v>4</v>
      </c>
    </row>
    <row r="12" spans="2:4" s="1" customFormat="1" ht="15.75" x14ac:dyDescent="0.25">
      <c r="B12" s="1" t="s">
        <v>5</v>
      </c>
    </row>
    <row r="13" spans="2:4" s="1" customFormat="1" ht="15.75" x14ac:dyDescent="0.25"/>
    <row r="14" spans="2:4" s="1" customFormat="1" ht="15.75" x14ac:dyDescent="0.25">
      <c r="B14" s="1" t="s">
        <v>18</v>
      </c>
    </row>
    <row r="15" spans="2:4" s="1" customFormat="1" ht="15.75" x14ac:dyDescent="0.25">
      <c r="B15" s="1" t="s">
        <v>6</v>
      </c>
      <c r="C15" s="36" t="s">
        <v>21</v>
      </c>
    </row>
    <row r="16" spans="2:4" ht="15.75" x14ac:dyDescent="0.25">
      <c r="B16" s="1" t="s">
        <v>7</v>
      </c>
      <c r="C16" s="2"/>
    </row>
    <row r="17" spans="2:3" ht="15.75" x14ac:dyDescent="0.25">
      <c r="B17" s="1" t="s">
        <v>8</v>
      </c>
      <c r="C17" s="1" t="s">
        <v>20</v>
      </c>
    </row>
    <row r="21" spans="2:3" x14ac:dyDescent="0.2">
      <c r="B21" s="3"/>
    </row>
  </sheetData>
  <pageMargins left="0.78740157499999996" right="0.78740157499999996" top="0.984251969" bottom="0.984251969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5</vt:i4>
      </vt:variant>
    </vt:vector>
  </HeadingPairs>
  <TitlesOfParts>
    <vt:vector size="13" baseType="lpstr">
      <vt:lpstr>Conta corrente</vt:lpstr>
      <vt:lpstr>Resumo BB ORD</vt:lpstr>
      <vt:lpstr>Conto Investimento</vt:lpstr>
      <vt:lpstr>Resumo BB INV</vt:lpstr>
      <vt:lpstr>Consolidato</vt:lpstr>
      <vt:lpstr>Pivot cons</vt:lpstr>
      <vt:lpstr>Bilancio</vt:lpstr>
      <vt:lpstr>Dati conto Brasile</vt:lpstr>
      <vt:lpstr>'Conta corrente'!Area_stampa</vt:lpstr>
      <vt:lpstr>'Conto Investimento'!Area_stampa</vt:lpstr>
      <vt:lpstr>'Pivot cons'!Area_stampa</vt:lpstr>
      <vt:lpstr>'Resumo BB INV'!Area_stampa</vt:lpstr>
      <vt:lpstr>'Resumo BB ORD'!Area_stampa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</dc:creator>
  <cp:lastModifiedBy>Edoardo</cp:lastModifiedBy>
  <cp:lastPrinted>2025-10-17T15:15:23Z</cp:lastPrinted>
  <dcterms:created xsi:type="dcterms:W3CDTF">2021-12-09T15:53:12Z</dcterms:created>
  <dcterms:modified xsi:type="dcterms:W3CDTF">2026-10-13T15:52:18Z</dcterms:modified>
</cp:coreProperties>
</file>