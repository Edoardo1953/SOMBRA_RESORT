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SILE - SOMBRA RESORT\SOMBRA RESORT SARL - LUXEMBOURG\"/>
    </mc:Choice>
  </mc:AlternateContent>
  <xr:revisionPtr revIDLastSave="0" documentId="13_ncr:1_{4CDFA997-5F18-497B-8031-771D0F604D6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OLKYPAY" sheetId="3" r:id="rId1"/>
    <sheet name="Pivot Olkypay" sheetId="2" r:id="rId2"/>
    <sheet name="Conto REVOLUT" sheetId="16" r:id="rId3"/>
    <sheet name="Pivot Revolut" sheetId="17" r:id="rId4"/>
    <sheet name="COMPTAB" sheetId="1" r:id="rId5"/>
    <sheet name="BILAN Passif" sheetId="15" r:id="rId6"/>
    <sheet name="BILAN Actif" sheetId="8" r:id="rId7"/>
    <sheet name="IMPOTS" sheetId="11" r:id="rId8"/>
    <sheet name="Dettes" sheetId="6" r:id="rId9"/>
    <sheet name="Pivot Azioni" sheetId="13" r:id="rId10"/>
    <sheet name="Cession 06.2026" sheetId="18" r:id="rId11"/>
    <sheet name="Cession 11.2024" sheetId="12" r:id="rId12"/>
    <sheet name="CS e FIN" sheetId="5" r:id="rId13"/>
    <sheet name="2023 Sistemazione" sheetId="9" r:id="rId14"/>
    <sheet name="Spese antic" sheetId="7" r:id="rId15"/>
  </sheets>
  <externalReferences>
    <externalReference r:id="rId16"/>
  </externalReferences>
  <definedNames>
    <definedName name="_xlnm._FilterDatabase" localSheetId="4" hidden="1">COMPTAB!$A$1:$Z$317</definedName>
    <definedName name="_xlnm._FilterDatabase" localSheetId="2" hidden="1">'Conto REVOLUT'!$B$5:$J$69</definedName>
    <definedName name="_xlnm._FilterDatabase" localSheetId="0" hidden="1">OLKYPAY!$B$5:$J$173</definedName>
    <definedName name="aaa" localSheetId="6">#REF!</definedName>
    <definedName name="aaa" localSheetId="5">#REF!</definedName>
    <definedName name="aaa" localSheetId="4">#REF!</definedName>
    <definedName name="aaa" localSheetId="8">#REF!</definedName>
    <definedName name="aaa" localSheetId="9">#REF!</definedName>
    <definedName name="aaa">#REF!</definedName>
    <definedName name="Anniversaire" localSheetId="6">#REF!,#REF!,#REF!,#REF!</definedName>
    <definedName name="Anniversaire" localSheetId="5">#REF!,#REF!,#REF!,#REF!</definedName>
    <definedName name="Anniversaire" localSheetId="4">#REF!,#REF!,#REF!,#REF!</definedName>
    <definedName name="Anniversaire" localSheetId="8">#REF!,#REF!,#REF!,#REF!</definedName>
    <definedName name="Anniversaire" localSheetId="9">#REF!,#REF!,#REF!,#REF!</definedName>
    <definedName name="Anniversaire">#REF!,#REF!,#REF!,#REF!</definedName>
    <definedName name="_xlnm.Print_Area" localSheetId="10">'Cession 06.2026'!$B$1:$K$23</definedName>
    <definedName name="_xlnm.Print_Area" localSheetId="11">'Cession 11.2024'!$B$2:$I$23</definedName>
    <definedName name="_xlnm.Print_Area" localSheetId="4">COMPTAB!$B$153:$L$195</definedName>
    <definedName name="_xlnm.Print_Area" localSheetId="2">'Conto REVOLUT'!$A$1:$J$70</definedName>
    <definedName name="_xlnm.Print_Area" localSheetId="12">'CS e FIN'!$L$39:$R$67</definedName>
    <definedName name="_xlnm.Print_Area" localSheetId="8">Dettes!$A$1:$F$22</definedName>
    <definedName name="_xlnm.Print_Area" localSheetId="0">OLKYPAY!$A$1:$J$174</definedName>
    <definedName name="_xlnm.Print_Area" localSheetId="14">'Spese antic'!$A$2:$M$11</definedName>
    <definedName name="CAP1E" localSheetId="6">#REF!</definedName>
    <definedName name="CAP1E" localSheetId="5">#REF!</definedName>
    <definedName name="CAP1E" localSheetId="4">#REF!</definedName>
    <definedName name="CAP1E" localSheetId="8">#REF!</definedName>
    <definedName name="CAP1E" localSheetId="9">#REF!</definedName>
    <definedName name="CAP1E">#REF!</definedName>
    <definedName name="CapitFIXE" localSheetId="6">#REF!</definedName>
    <definedName name="CapitFIXE" localSheetId="5">#REF!</definedName>
    <definedName name="CapitFIXE" localSheetId="4">#REF!</definedName>
    <definedName name="CapitFIXE" localSheetId="2">#REF!</definedName>
    <definedName name="CapitFIXE" localSheetId="8">#REF!</definedName>
    <definedName name="CapitFIXE" localSheetId="0">#REF!</definedName>
    <definedName name="CapitFIXE" localSheetId="9">#REF!</definedName>
    <definedName name="CapitFIXE">#REF!</definedName>
    <definedName name="Changement_de_taux" localSheetId="6">#REF!</definedName>
    <definedName name="Changement_de_taux" localSheetId="5">#REF!</definedName>
    <definedName name="Changement_de_taux" localSheetId="4">#REF!</definedName>
    <definedName name="Changement_de_taux" localSheetId="8">#REF!</definedName>
    <definedName name="Changement_de_taux" localSheetId="9">#REF!</definedName>
    <definedName name="Changement_de_taux">#REF!</definedName>
    <definedName name="Cout_Total" localSheetId="6">#REF!</definedName>
    <definedName name="Cout_Total" localSheetId="5">#REF!</definedName>
    <definedName name="Cout_Total" localSheetId="4">#REF!</definedName>
    <definedName name="Cout_Total" localSheetId="8">#REF!</definedName>
    <definedName name="Cout_Total" localSheetId="9">#REF!</definedName>
    <definedName name="Cout_Total">#REF!</definedName>
    <definedName name="DATDB" localSheetId="6">#REF!</definedName>
    <definedName name="DATDB" localSheetId="5">#REF!</definedName>
    <definedName name="DATDB" localSheetId="4">#REF!</definedName>
    <definedName name="DATDB" localSheetId="8">#REF!</definedName>
    <definedName name="DATDB" localSheetId="9">#REF!</definedName>
    <definedName name="DATDB">#REF!</definedName>
    <definedName name="DebAmort" localSheetId="6">#REF!</definedName>
    <definedName name="DebAmort" localSheetId="5">#REF!</definedName>
    <definedName name="DebAmort" localSheetId="4">#REF!</definedName>
    <definedName name="DebAmort" localSheetId="8">#REF!</definedName>
    <definedName name="DebAmort" localSheetId="9">#REF!</definedName>
    <definedName name="DebAmort">#REF!</definedName>
    <definedName name="Différé" localSheetId="6">#REF!</definedName>
    <definedName name="Différé" localSheetId="5">#REF!</definedName>
    <definedName name="Différé" localSheetId="4">#REF!</definedName>
    <definedName name="Différé" localSheetId="8">#REF!</definedName>
    <definedName name="Différé" localSheetId="9">#REF!</definedName>
    <definedName name="Différé">#REF!</definedName>
    <definedName name="DiffSimple" localSheetId="6">#REF!</definedName>
    <definedName name="DiffSimple" localSheetId="5">#REF!</definedName>
    <definedName name="DiffSimple" localSheetId="4">#REF!</definedName>
    <definedName name="DiffSimple" localSheetId="8">#REF!</definedName>
    <definedName name="DiffSimple" localSheetId="9">#REF!</definedName>
    <definedName name="DiffSimple">#REF!</definedName>
    <definedName name="DiffTotal" localSheetId="6">#REF!</definedName>
    <definedName name="DiffTotal" localSheetId="5">#REF!</definedName>
    <definedName name="DiffTotal" localSheetId="4">#REF!</definedName>
    <definedName name="DiffTotal" localSheetId="8">#REF!</definedName>
    <definedName name="DiffTotal" localSheetId="9">#REF!</definedName>
    <definedName name="DiffTotal">#REF!</definedName>
    <definedName name="EchFIXE" localSheetId="6">#REF!</definedName>
    <definedName name="EchFIXE" localSheetId="5">#REF!</definedName>
    <definedName name="EchFIXE" localSheetId="4">#REF!</definedName>
    <definedName name="EchFIXE" localSheetId="8">#REF!</definedName>
    <definedName name="EchFIXE" localSheetId="9">#REF!</definedName>
    <definedName name="EchFIXE">#REF!</definedName>
    <definedName name="FraisF" localSheetId="6">#REF!</definedName>
    <definedName name="FraisF" localSheetId="5">#REF!</definedName>
    <definedName name="FraisF" localSheetId="4">#REF!</definedName>
    <definedName name="FraisF" localSheetId="8">#REF!</definedName>
    <definedName name="FraisF" localSheetId="9">#REF!</definedName>
    <definedName name="FraisF">#REF!</definedName>
    <definedName name="FraisV" localSheetId="6">#REF!</definedName>
    <definedName name="FraisV" localSheetId="5">#REF!</definedName>
    <definedName name="FraisV" localSheetId="4">#REF!</definedName>
    <definedName name="FraisV" localSheetId="8">#REF!</definedName>
    <definedName name="FraisV" localSheetId="9">#REF!</definedName>
    <definedName name="FraisV">#REF!</definedName>
    <definedName name="Ijour" localSheetId="6">#REF!</definedName>
    <definedName name="Ijour" localSheetId="5">#REF!</definedName>
    <definedName name="Ijour" localSheetId="4">#REF!</definedName>
    <definedName name="Ijour" localSheetId="8">#REF!</definedName>
    <definedName name="Ijour" localSheetId="9">#REF!</definedName>
    <definedName name="Ijour">#REF!</definedName>
    <definedName name="Imois" localSheetId="6">#REF!</definedName>
    <definedName name="Imois" localSheetId="5">#REF!</definedName>
    <definedName name="Imois" localSheetId="4">#REF!</definedName>
    <definedName name="Imois" localSheetId="8">#REF!</definedName>
    <definedName name="Imois" localSheetId="9">#REF!</definedName>
    <definedName name="Imois">#REF!</definedName>
    <definedName name="INT1E" localSheetId="6">#REF!</definedName>
    <definedName name="INT1E" localSheetId="5">#REF!</definedName>
    <definedName name="INT1E" localSheetId="4">#REF!</definedName>
    <definedName name="INT1E" localSheetId="8">#REF!</definedName>
    <definedName name="INT1E" localSheetId="9">#REF!</definedName>
    <definedName name="INT1E">#REF!</definedName>
    <definedName name="Jour1" localSheetId="6">#REF!</definedName>
    <definedName name="Jour1" localSheetId="5">#REF!</definedName>
    <definedName name="Jour1" localSheetId="4">#REF!</definedName>
    <definedName name="Jour1" localSheetId="8">#REF!</definedName>
    <definedName name="Jour1" localSheetId="9">#REF!</definedName>
    <definedName name="Jour1">#REF!</definedName>
    <definedName name="Jour2" localSheetId="6">#REF!</definedName>
    <definedName name="Jour2" localSheetId="5">#REF!</definedName>
    <definedName name="Jour2" localSheetId="4">#REF!</definedName>
    <definedName name="Jour2" localSheetId="8">#REF!</definedName>
    <definedName name="Jour2" localSheetId="9">#REF!</definedName>
    <definedName name="Jour2">#REF!</definedName>
    <definedName name="MoisD" localSheetId="6">#REF!</definedName>
    <definedName name="MoisD" localSheetId="5">#REF!</definedName>
    <definedName name="MoisD" localSheetId="4">#REF!</definedName>
    <definedName name="MoisD" localSheetId="8">#REF!</definedName>
    <definedName name="MoisD" localSheetId="9">#REF!</definedName>
    <definedName name="MoisD">#REF!</definedName>
    <definedName name="MtEch" localSheetId="6">#REF!</definedName>
    <definedName name="MtEch" localSheetId="5">#REF!</definedName>
    <definedName name="MtEch" localSheetId="4">#REF!</definedName>
    <definedName name="MtEch" localSheetId="8">#REF!</definedName>
    <definedName name="MtEch" localSheetId="9">#REF!</definedName>
    <definedName name="MtEch">#REF!</definedName>
    <definedName name="MtEmprunt" localSheetId="6">#REF!</definedName>
    <definedName name="MtEmprunt" localSheetId="5">#REF!</definedName>
    <definedName name="MtEmprunt" localSheetId="4">#REF!</definedName>
    <definedName name="MtEmprunt" localSheetId="8">#REF!</definedName>
    <definedName name="MtEmprunt" localSheetId="9">#REF!</definedName>
    <definedName name="MtEmprunt">#REF!</definedName>
    <definedName name="NbDeci" localSheetId="6">#REF!</definedName>
    <definedName name="NbDeci" localSheetId="5">#REF!</definedName>
    <definedName name="NbDeci" localSheetId="4">#REF!</definedName>
    <definedName name="NbDeci" localSheetId="8">#REF!</definedName>
    <definedName name="NbDeci" localSheetId="9">#REF!</definedName>
    <definedName name="NbDeci">#REF!</definedName>
    <definedName name="NbEch" localSheetId="6">#REF!</definedName>
    <definedName name="NbEch" localSheetId="5">#REF!</definedName>
    <definedName name="NbEch" localSheetId="4">#REF!</definedName>
    <definedName name="NbEch" localSheetId="8">#REF!</definedName>
    <definedName name="NbEch" localSheetId="9">#REF!</definedName>
    <definedName name="NbEch">#REF!</definedName>
    <definedName name="NbEchAn" localSheetId="6">#REF!</definedName>
    <definedName name="NbEchAn" localSheetId="5">#REF!</definedName>
    <definedName name="NbEchAn" localSheetId="4">#REF!</definedName>
    <definedName name="NbEchAn" localSheetId="8">#REF!</definedName>
    <definedName name="NbEchAn" localSheetId="9">#REF!</definedName>
    <definedName name="NbEchAn">#REF!</definedName>
    <definedName name="NoEchMaxi" localSheetId="6">#REF!</definedName>
    <definedName name="NoEchMaxi" localSheetId="5">#REF!</definedName>
    <definedName name="NoEchMaxi" localSheetId="4">#REF!</definedName>
    <definedName name="NoEchMaxi" localSheetId="8">#REF!</definedName>
    <definedName name="NoEchMaxi" localSheetId="9">#REF!</definedName>
    <definedName name="NoEchMaxi">#REF!</definedName>
    <definedName name="NoEchRemb" localSheetId="6">#REF!</definedName>
    <definedName name="NoEchRemb" localSheetId="5">#REF!</definedName>
    <definedName name="NoEchRemb" localSheetId="4">#REF!</definedName>
    <definedName name="NoEchRemb" localSheetId="8">#REF!</definedName>
    <definedName name="NoEchRemb" localSheetId="9">#REF!</definedName>
    <definedName name="NoEchRemb">#REF!</definedName>
    <definedName name="Nombre_échéances" localSheetId="6">#REF!</definedName>
    <definedName name="Nombre_échéances" localSheetId="5">#REF!</definedName>
    <definedName name="Nombre_échéances" localSheetId="4">#REF!</definedName>
    <definedName name="Nombre_échéances" localSheetId="8">#REF!</definedName>
    <definedName name="Nombre_échéances" localSheetId="9">#REF!</definedName>
    <definedName name="Nombre_échéances">#REF!</definedName>
    <definedName name="Periodicite" localSheetId="6">#REF!</definedName>
    <definedName name="Periodicite" localSheetId="5">#REF!</definedName>
    <definedName name="Periodicite" localSheetId="4">#REF!</definedName>
    <definedName name="Periodicite" localSheetId="8">#REF!</definedName>
    <definedName name="Periodicite" localSheetId="9">#REF!</definedName>
    <definedName name="Periodicite">#REF!</definedName>
    <definedName name="RVDebit" localSheetId="6">#REF!</definedName>
    <definedName name="RVDebit" localSheetId="5">#REF!</definedName>
    <definedName name="RVDebit" localSheetId="4">#REF!</definedName>
    <definedName name="RVDebit" localSheetId="2">#REF!</definedName>
    <definedName name="RVDebit" localSheetId="8">#REF!</definedName>
    <definedName name="RVDebit" localSheetId="0">#REF!</definedName>
    <definedName name="RVDebit" localSheetId="9">#REF!</definedName>
    <definedName name="RVDebit">#REF!</definedName>
    <definedName name="TauxActuariel" localSheetId="6">#REF!</definedName>
    <definedName name="TauxActuariel" localSheetId="5">#REF!</definedName>
    <definedName name="TauxActuariel" localSheetId="4">#REF!</definedName>
    <definedName name="TauxActuariel" localSheetId="8">#REF!</definedName>
    <definedName name="TauxActuariel" localSheetId="9">#REF!</definedName>
    <definedName name="TauxActuariel">#REF!</definedName>
    <definedName name="Total_Capital" localSheetId="6">#REF!</definedName>
    <definedName name="Total_Capital" localSheetId="5">#REF!</definedName>
    <definedName name="Total_Capital" localSheetId="4">#REF!</definedName>
    <definedName name="Total_Capital" localSheetId="8">#REF!</definedName>
    <definedName name="Total_Capital" localSheetId="9">#REF!</definedName>
    <definedName name="Total_Capital">#REF!</definedName>
    <definedName name="Total_Frais" localSheetId="6">#REF!</definedName>
    <definedName name="Total_Frais" localSheetId="5">#REF!</definedName>
    <definedName name="Total_Frais" localSheetId="4">#REF!</definedName>
    <definedName name="Total_Frais" localSheetId="8">#REF!</definedName>
    <definedName name="Total_Frais" localSheetId="9">#REF!</definedName>
    <definedName name="Total_Frais">#REF!</definedName>
    <definedName name="Total_Intérêts" localSheetId="6">#REF!</definedName>
    <definedName name="Total_Intérêts" localSheetId="5">#REF!</definedName>
    <definedName name="Total_Intérêts" localSheetId="4">#REF!</definedName>
    <definedName name="Total_Intérêts" localSheetId="8">#REF!</definedName>
    <definedName name="Total_Intérêts" localSheetId="9">#REF!</definedName>
    <definedName name="Total_Intérêts">#REF!</definedName>
    <definedName name="TVDebit" localSheetId="6">#REF!</definedName>
    <definedName name="TVDebit" localSheetId="5">#REF!</definedName>
    <definedName name="TVDebit" localSheetId="4">#REF!</definedName>
    <definedName name="TVDebit" localSheetId="8">#REF!</definedName>
    <definedName name="TVDebit" localSheetId="9">#REF!</definedName>
    <definedName name="TVDebit">#REF!</definedName>
    <definedName name="TxPer" localSheetId="6">#REF!</definedName>
    <definedName name="TxPer" localSheetId="5">#REF!</definedName>
    <definedName name="TxPer" localSheetId="4">#REF!</definedName>
    <definedName name="TxPer" localSheetId="8">#REF!</definedName>
    <definedName name="TxPer" localSheetId="9">#REF!</definedName>
    <definedName name="TxPer">#REF!</definedName>
  </definedNames>
  <calcPr calcId="191029"/>
  <pivotCaches>
    <pivotCache cacheId="0" r:id="rId17"/>
    <pivotCache cacheId="1" r:id="rId18"/>
    <pivotCache cacheId="2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4" i="1" l="1"/>
  <c r="C324" i="1"/>
  <c r="D323" i="1"/>
  <c r="C323" i="1"/>
  <c r="J28" i="16" l="1"/>
  <c r="J29" i="16" s="1"/>
  <c r="B28" i="16"/>
  <c r="B29" i="16" s="1"/>
  <c r="B20" i="16"/>
  <c r="B21" i="16"/>
  <c r="B22" i="16"/>
  <c r="B23" i="16"/>
  <c r="B24" i="16" s="1"/>
  <c r="B25" i="16" s="1"/>
  <c r="B26" i="16" s="1"/>
  <c r="B27" i="16" s="1"/>
  <c r="D322" i="1"/>
  <c r="C322" i="1"/>
  <c r="D321" i="1"/>
  <c r="C321" i="1"/>
  <c r="D319" i="1"/>
  <c r="C319" i="1"/>
  <c r="D318" i="1"/>
  <c r="C318" i="1"/>
  <c r="J21" i="16"/>
  <c r="J22" i="16"/>
  <c r="J23" i="16"/>
  <c r="J24" i="16" s="1"/>
  <c r="J25" i="16" s="1"/>
  <c r="J26" i="16" s="1"/>
  <c r="J27" i="16" s="1"/>
  <c r="D312" i="1"/>
  <c r="C312" i="1"/>
  <c r="D311" i="1"/>
  <c r="C311" i="1"/>
  <c r="D313" i="1"/>
  <c r="C313" i="1"/>
  <c r="D314" i="1"/>
  <c r="C314" i="1"/>
  <c r="D310" i="1"/>
  <c r="C310" i="1"/>
  <c r="D309" i="1"/>
  <c r="C309" i="1"/>
  <c r="H18" i="18"/>
  <c r="H19" i="18" s="1"/>
  <c r="H17" i="18"/>
  <c r="F19" i="18"/>
  <c r="G18" i="18"/>
  <c r="G19" i="18" s="1"/>
  <c r="G12" i="18" l="1"/>
  <c r="F12" i="18"/>
  <c r="J11" i="18"/>
  <c r="H11" i="18"/>
  <c r="J10" i="18"/>
  <c r="H10" i="18"/>
  <c r="J5" i="18"/>
  <c r="J4" i="18"/>
  <c r="J6" i="18" s="1"/>
  <c r="H5" i="18"/>
  <c r="H4" i="18"/>
  <c r="H6" i="18" s="1"/>
  <c r="G6" i="18"/>
  <c r="F6" i="18"/>
  <c r="D317" i="1"/>
  <c r="C317" i="1"/>
  <c r="D316" i="1"/>
  <c r="C316" i="1"/>
  <c r="D315" i="1"/>
  <c r="C315" i="1"/>
  <c r="D308" i="1"/>
  <c r="C308" i="1"/>
  <c r="D307" i="1"/>
  <c r="C307" i="1"/>
  <c r="H12" i="18" l="1"/>
  <c r="J12" i="18"/>
  <c r="D305" i="1"/>
  <c r="C305" i="1"/>
  <c r="D306" i="1"/>
  <c r="C306" i="1"/>
  <c r="D303" i="1"/>
  <c r="C303" i="1"/>
  <c r="D302" i="1"/>
  <c r="C302" i="1"/>
  <c r="D304" i="1"/>
  <c r="C304" i="1"/>
  <c r="D301" i="1"/>
  <c r="C301" i="1"/>
  <c r="J171" i="3"/>
  <c r="D297" i="1"/>
  <c r="C297" i="1"/>
  <c r="D298" i="1"/>
  <c r="C298" i="1"/>
  <c r="D296" i="1"/>
  <c r="C296" i="1"/>
  <c r="D300" i="1"/>
  <c r="C300" i="1"/>
  <c r="D299" i="1"/>
  <c r="C299" i="1"/>
  <c r="D294" i="1"/>
  <c r="C294" i="1"/>
  <c r="D293" i="1"/>
  <c r="C293" i="1"/>
  <c r="C295" i="1"/>
  <c r="D295" i="1"/>
  <c r="D292" i="1"/>
  <c r="C292" i="1"/>
  <c r="D291" i="1"/>
  <c r="C291" i="1"/>
  <c r="D290" i="1"/>
  <c r="C290" i="1"/>
  <c r="D289" i="1"/>
  <c r="C289" i="1"/>
  <c r="D285" i="1"/>
  <c r="C285" i="1"/>
  <c r="D286" i="1"/>
  <c r="C286" i="1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D288" i="1"/>
  <c r="C288" i="1"/>
  <c r="D287" i="1"/>
  <c r="C287" i="1"/>
  <c r="J68" i="16"/>
  <c r="B7" i="16"/>
  <c r="J6" i="16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D331" i="1"/>
  <c r="C331" i="1"/>
  <c r="D320" i="1"/>
  <c r="C320" i="1"/>
  <c r="D284" i="1"/>
  <c r="C284" i="1"/>
  <c r="D283" i="1"/>
  <c r="C283" i="1"/>
  <c r="D282" i="1"/>
  <c r="C282" i="1"/>
  <c r="G277" i="1"/>
  <c r="E326" i="1"/>
  <c r="D281" i="1"/>
  <c r="C281" i="1"/>
  <c r="D280" i="1"/>
  <c r="C280" i="1"/>
  <c r="D279" i="1"/>
  <c r="C279" i="1"/>
  <c r="D278" i="1"/>
  <c r="C278" i="1"/>
  <c r="D170" i="1"/>
  <c r="C170" i="1"/>
  <c r="D169" i="1"/>
  <c r="C169" i="1"/>
  <c r="B8" i="16" l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J64" i="16"/>
  <c r="J65" i="16" s="1"/>
  <c r="J66" i="16" s="1"/>
  <c r="J67" i="16" s="1"/>
  <c r="I69" i="16"/>
  <c r="C277" i="1"/>
  <c r="D277" i="1"/>
  <c r="F100" i="1"/>
  <c r="F326" i="1" s="1"/>
  <c r="J69" i="16" l="1"/>
  <c r="D276" i="1"/>
  <c r="C276" i="1"/>
  <c r="B30" i="16" l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D273" i="1"/>
  <c r="C273" i="1"/>
  <c r="K274" i="1"/>
  <c r="D274" i="1"/>
  <c r="C274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 l="1"/>
  <c r="C264" i="1"/>
  <c r="D263" i="1"/>
  <c r="C263" i="1"/>
  <c r="D262" i="1"/>
  <c r="C262" i="1"/>
  <c r="L170" i="1"/>
  <c r="L245" i="1" l="1"/>
  <c r="L201" i="1"/>
  <c r="L209" i="1"/>
  <c r="L204" i="1"/>
  <c r="L205" i="1" s="1"/>
  <c r="L206" i="1" s="1"/>
  <c r="L207" i="1" s="1"/>
  <c r="C240" i="1"/>
  <c r="D240" i="1"/>
  <c r="C241" i="1"/>
  <c r="D241" i="1"/>
  <c r="L241" i="1"/>
  <c r="D260" i="1"/>
  <c r="C260" i="1"/>
  <c r="D259" i="1"/>
  <c r="C259" i="1"/>
  <c r="K261" i="1"/>
  <c r="D261" i="1"/>
  <c r="C261" i="1"/>
  <c r="F10" i="12"/>
  <c r="L233" i="1"/>
  <c r="D258" i="1"/>
  <c r="C258" i="1"/>
  <c r="I8" i="12"/>
  <c r="D256" i="1"/>
  <c r="C256" i="1"/>
  <c r="J172" i="3" l="1"/>
  <c r="G10" i="12"/>
  <c r="H8" i="12"/>
  <c r="I9" i="12"/>
  <c r="G6" i="12"/>
  <c r="F6" i="12"/>
  <c r="H5" i="12" s="1"/>
  <c r="I5" i="12"/>
  <c r="I4" i="12"/>
  <c r="H9" i="12" l="1"/>
  <c r="G12" i="12" s="1"/>
  <c r="H4" i="12"/>
  <c r="H6" i="12" s="1"/>
  <c r="H10" i="12" l="1"/>
  <c r="G13" i="12"/>
  <c r="G18" i="12"/>
  <c r="I18" i="12" s="1"/>
  <c r="G17" i="12"/>
  <c r="I17" i="12" s="1"/>
  <c r="D231" i="1" l="1"/>
  <c r="C231" i="1"/>
  <c r="D230" i="1"/>
  <c r="C230" i="1"/>
  <c r="D233" i="1"/>
  <c r="C233" i="1"/>
  <c r="D232" i="1"/>
  <c r="C232" i="1"/>
  <c r="K255" i="1"/>
  <c r="D255" i="1"/>
  <c r="C255" i="1"/>
  <c r="L253" i="1"/>
  <c r="L251" i="1"/>
  <c r="L249" i="1"/>
  <c r="L247" i="1"/>
  <c r="L243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54" i="1"/>
  <c r="C254" i="1"/>
  <c r="D239" i="1"/>
  <c r="C239" i="1"/>
  <c r="D238" i="1"/>
  <c r="C238" i="1"/>
  <c r="D237" i="1"/>
  <c r="C237" i="1"/>
  <c r="D236" i="1" l="1"/>
  <c r="C236" i="1"/>
  <c r="K236" i="1"/>
  <c r="L236" i="1" s="1"/>
  <c r="D235" i="1"/>
  <c r="C235" i="1"/>
  <c r="D234" i="1" l="1"/>
  <c r="C234" i="1"/>
  <c r="D229" i="1" l="1"/>
  <c r="C229" i="1"/>
  <c r="D228" i="1"/>
  <c r="C228" i="1"/>
  <c r="D227" i="1"/>
  <c r="C227" i="1"/>
  <c r="D226" i="1"/>
  <c r="C226" i="1"/>
  <c r="D224" i="1"/>
  <c r="C224" i="1"/>
  <c r="D225" i="1"/>
  <c r="C225" i="1"/>
  <c r="D223" i="1" l="1"/>
  <c r="C223" i="1"/>
  <c r="D222" i="1"/>
  <c r="C222" i="1"/>
  <c r="D221" i="1" l="1"/>
  <c r="C221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219" i="1"/>
  <c r="C219" i="1"/>
  <c r="D216" i="1"/>
  <c r="C216" i="1"/>
  <c r="D197" i="1"/>
  <c r="C197" i="1"/>
  <c r="D196" i="1"/>
  <c r="C196" i="1"/>
  <c r="I113" i="3"/>
  <c r="D220" i="1"/>
  <c r="C220" i="1"/>
  <c r="D257" i="1"/>
  <c r="C257" i="1"/>
  <c r="D218" i="1"/>
  <c r="C218" i="1"/>
  <c r="D217" i="1"/>
  <c r="C217" i="1"/>
  <c r="D215" i="1"/>
  <c r="C215" i="1"/>
  <c r="D209" i="1" l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214" i="1"/>
  <c r="C214" i="1"/>
  <c r="D213" i="1"/>
  <c r="C213" i="1"/>
  <c r="D212" i="1"/>
  <c r="C212" i="1"/>
  <c r="D211" i="1"/>
  <c r="C211" i="1"/>
  <c r="D210" i="1"/>
  <c r="C210" i="1"/>
  <c r="D195" i="1"/>
  <c r="C195" i="1"/>
  <c r="D182" i="1"/>
  <c r="C182" i="1"/>
  <c r="D181" i="1"/>
  <c r="C181" i="1"/>
  <c r="D180" i="1"/>
  <c r="C180" i="1"/>
  <c r="D179" i="1"/>
  <c r="C179" i="1"/>
  <c r="D178" i="1" l="1"/>
  <c r="C178" i="1"/>
  <c r="D177" i="1"/>
  <c r="C177" i="1"/>
  <c r="D176" i="1" l="1"/>
  <c r="C176" i="1"/>
  <c r="D175" i="1" l="1"/>
  <c r="C175" i="1"/>
  <c r="D174" i="1" l="1"/>
  <c r="C174" i="1"/>
  <c r="D173" i="1" l="1"/>
  <c r="C173" i="1"/>
  <c r="D172" i="1"/>
  <c r="C172" i="1"/>
  <c r="D171" i="1"/>
  <c r="C171" i="1"/>
  <c r="D120" i="1"/>
  <c r="C120" i="1"/>
  <c r="D119" i="1"/>
  <c r="C119" i="1"/>
  <c r="D122" i="1"/>
  <c r="C122" i="1"/>
  <c r="D121" i="1"/>
  <c r="C121" i="1"/>
  <c r="D118" i="1"/>
  <c r="C118" i="1"/>
  <c r="D117" i="1"/>
  <c r="C117" i="1"/>
  <c r="D124" i="1" l="1"/>
  <c r="C124" i="1"/>
  <c r="D123" i="1"/>
  <c r="C123" i="1"/>
  <c r="D128" i="1"/>
  <c r="C128" i="1"/>
  <c r="D127" i="1"/>
  <c r="C127" i="1"/>
  <c r="D126" i="1"/>
  <c r="C126" i="1"/>
  <c r="D125" i="1"/>
  <c r="C125" i="1"/>
  <c r="D116" i="1"/>
  <c r="C116" i="1"/>
  <c r="D115" i="1"/>
  <c r="C115" i="1"/>
  <c r="D5" i="1"/>
  <c r="C5" i="1"/>
  <c r="D4" i="1"/>
  <c r="C4" i="1"/>
  <c r="M2" i="1"/>
  <c r="M3" i="1" s="1"/>
  <c r="M4" i="1" s="1"/>
  <c r="M5" i="1" s="1"/>
  <c r="M6" i="1" s="1"/>
  <c r="M7" i="1" s="1"/>
  <c r="D3" i="1"/>
  <c r="C3" i="1"/>
  <c r="D2" i="1"/>
  <c r="C2" i="1"/>
  <c r="C164" i="1"/>
  <c r="D164" i="1"/>
  <c r="K164" i="1"/>
  <c r="L164" i="1" s="1"/>
  <c r="D23" i="1"/>
  <c r="C23" i="1"/>
  <c r="D22" i="1"/>
  <c r="C22" i="1"/>
  <c r="D21" i="1"/>
  <c r="C21" i="1"/>
  <c r="D20" i="1"/>
  <c r="C20" i="1"/>
  <c r="D19" i="1"/>
  <c r="C19" i="1"/>
  <c r="D18" i="1"/>
  <c r="C18" i="1"/>
  <c r="D27" i="1"/>
  <c r="C27" i="1"/>
  <c r="D26" i="1"/>
  <c r="C26" i="1"/>
  <c r="D25" i="1"/>
  <c r="C25" i="1"/>
  <c r="D24" i="1"/>
  <c r="C24" i="1"/>
  <c r="M8" i="1" l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D138" i="1" l="1"/>
  <c r="C138" i="1"/>
  <c r="D137" i="1"/>
  <c r="C137" i="1"/>
  <c r="D136" i="1"/>
  <c r="C136" i="1"/>
  <c r="D135" i="1"/>
  <c r="C135" i="1"/>
  <c r="F38" i="9" l="1"/>
  <c r="B38" i="9"/>
  <c r="D29" i="1"/>
  <c r="C29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28" i="1"/>
  <c r="D28" i="1"/>
  <c r="D6" i="1"/>
  <c r="C6" i="1"/>
  <c r="K10" i="7" l="1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168" i="1" l="1"/>
  <c r="C168" i="1"/>
  <c r="D167" i="1"/>
  <c r="C167" i="1"/>
  <c r="D166" i="1"/>
  <c r="C166" i="1"/>
  <c r="D160" i="1" l="1"/>
  <c r="C160" i="1"/>
  <c r="D162" i="1"/>
  <c r="C162" i="1"/>
  <c r="D161" i="1"/>
  <c r="C161" i="1"/>
  <c r="D159" i="1" l="1"/>
  <c r="C159" i="1"/>
  <c r="I100" i="1" l="1"/>
  <c r="P63" i="5" l="1"/>
  <c r="Q63" i="5" s="1"/>
  <c r="Q43" i="5"/>
  <c r="Q44" i="5"/>
  <c r="Q45" i="5"/>
  <c r="Q46" i="5"/>
  <c r="Q42" i="5"/>
  <c r="Q47" i="5"/>
  <c r="Q48" i="5"/>
  <c r="Q49" i="5"/>
  <c r="Q50" i="5"/>
  <c r="Q51" i="5"/>
  <c r="Q52" i="5"/>
  <c r="Q53" i="5"/>
  <c r="Q54" i="5"/>
  <c r="Q41" i="5"/>
  <c r="P55" i="5"/>
  <c r="O55" i="5"/>
  <c r="Q55" i="5" l="1"/>
  <c r="K165" i="1"/>
  <c r="L165" i="1" s="1"/>
  <c r="D165" i="1"/>
  <c r="C165" i="1"/>
  <c r="C275" i="1" l="1"/>
  <c r="D275" i="1"/>
  <c r="D163" i="1"/>
  <c r="C163" i="1"/>
  <c r="D158" i="1" l="1"/>
  <c r="C158" i="1"/>
  <c r="D157" i="1" l="1"/>
  <c r="C157" i="1"/>
  <c r="D156" i="1"/>
  <c r="C156" i="1"/>
  <c r="D155" i="1" l="1"/>
  <c r="C155" i="1"/>
  <c r="D154" i="1" l="1"/>
  <c r="C154" i="1"/>
  <c r="D153" i="1" l="1"/>
  <c r="C153" i="1"/>
  <c r="D114" i="1"/>
  <c r="C114" i="1"/>
  <c r="D113" i="1" l="1"/>
  <c r="C113" i="1"/>
  <c r="D112" i="1" l="1"/>
  <c r="C112" i="1"/>
  <c r="K100" i="1" l="1"/>
  <c r="D100" i="1"/>
  <c r="C100" i="1"/>
  <c r="D111" i="1" l="1"/>
  <c r="C111" i="1"/>
  <c r="D110" i="1" l="1"/>
  <c r="C110" i="1"/>
  <c r="D109" i="1"/>
  <c r="C109" i="1"/>
  <c r="D108" i="1"/>
  <c r="C108" i="1"/>
  <c r="D107" i="1"/>
  <c r="C107" i="1"/>
  <c r="D106" i="1" l="1"/>
  <c r="C106" i="1"/>
  <c r="D105" i="1" l="1"/>
  <c r="C105" i="1"/>
  <c r="D103" i="1" l="1"/>
  <c r="C103" i="1"/>
  <c r="D102" i="1"/>
  <c r="C102" i="1"/>
  <c r="D104" i="1"/>
  <c r="C104" i="1"/>
  <c r="K82" i="1" l="1"/>
  <c r="L82" i="1" s="1"/>
  <c r="D82" i="1"/>
  <c r="C82" i="1"/>
  <c r="K101" i="1"/>
  <c r="L101" i="1" s="1"/>
  <c r="D101" i="1"/>
  <c r="C101" i="1"/>
  <c r="K69" i="1" l="1"/>
  <c r="K81" i="1"/>
  <c r="D99" i="1" l="1"/>
  <c r="C99" i="1"/>
  <c r="D98" i="1" l="1"/>
  <c r="C98" i="1"/>
  <c r="K97" i="1" l="1"/>
  <c r="L97" i="1" s="1"/>
  <c r="D97" i="1"/>
  <c r="C97" i="1"/>
  <c r="D95" i="1" l="1"/>
  <c r="C95" i="1"/>
  <c r="K94" i="1" l="1"/>
  <c r="L94" i="1" s="1"/>
  <c r="D94" i="1"/>
  <c r="C94" i="1"/>
  <c r="D93" i="1" l="1"/>
  <c r="C93" i="1"/>
  <c r="D92" i="1" l="1"/>
  <c r="C92" i="1"/>
  <c r="D91" i="1"/>
  <c r="C91" i="1"/>
  <c r="K90" i="1" l="1"/>
  <c r="L90" i="1" s="1"/>
  <c r="D90" i="1"/>
  <c r="C90" i="1"/>
  <c r="I173" i="3" l="1"/>
  <c r="D89" i="1" l="1"/>
  <c r="C89" i="1"/>
  <c r="D88" i="1"/>
  <c r="C88" i="1"/>
  <c r="D87" i="1"/>
  <c r="C87" i="1"/>
  <c r="D86" i="1" l="1"/>
  <c r="C86" i="1"/>
  <c r="D85" i="1" l="1"/>
  <c r="C85" i="1"/>
  <c r="D84" i="1" l="1"/>
  <c r="C84" i="1"/>
  <c r="L69" i="1"/>
  <c r="L81" i="1"/>
  <c r="K76" i="1"/>
  <c r="K96" i="1"/>
  <c r="L96" i="1" s="1"/>
  <c r="K83" i="1"/>
  <c r="L83" i="1" s="1"/>
  <c r="D83" i="1"/>
  <c r="C83" i="1"/>
  <c r="D96" i="1"/>
  <c r="C96" i="1"/>
  <c r="D81" i="1"/>
  <c r="C81" i="1"/>
  <c r="M69" i="1" l="1"/>
  <c r="M70" i="1" s="1"/>
  <c r="M71" i="1" s="1"/>
  <c r="M72" i="1" s="1"/>
  <c r="M73" i="1" s="1"/>
  <c r="M74" i="1" s="1"/>
  <c r="D80" i="1"/>
  <c r="C80" i="1"/>
  <c r="D79" i="1" l="1"/>
  <c r="C79" i="1"/>
  <c r="D78" i="1" l="1"/>
  <c r="C78" i="1"/>
  <c r="D77" i="1" l="1"/>
  <c r="C77" i="1"/>
  <c r="K75" i="1" l="1"/>
  <c r="L75" i="1" s="1"/>
  <c r="L76" i="1"/>
  <c r="D76" i="1"/>
  <c r="C76" i="1"/>
  <c r="D75" i="1"/>
  <c r="C75" i="1"/>
  <c r="D74" i="1"/>
  <c r="C74" i="1"/>
  <c r="L326" i="1" l="1"/>
  <c r="M75" i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D152" i="1"/>
  <c r="C152" i="1"/>
  <c r="D151" i="1"/>
  <c r="C151" i="1"/>
  <c r="D73" i="1"/>
  <c r="C73" i="1"/>
  <c r="M200" i="1" l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N37" i="5"/>
  <c r="E37" i="5"/>
  <c r="G36" i="5"/>
  <c r="J36" i="5" s="1"/>
  <c r="G35" i="5"/>
  <c r="J35" i="5" s="1"/>
  <c r="G34" i="5"/>
  <c r="J34" i="5" s="1"/>
  <c r="G32" i="5"/>
  <c r="J32" i="5" s="1"/>
  <c r="G33" i="5"/>
  <c r="J33" i="5" s="1"/>
  <c r="G31" i="5"/>
  <c r="J31" i="5" s="1"/>
  <c r="G30" i="5"/>
  <c r="J30" i="5" s="1"/>
  <c r="G29" i="5"/>
  <c r="J29" i="5" s="1"/>
  <c r="G28" i="5"/>
  <c r="J28" i="5" s="1"/>
  <c r="G25" i="5"/>
  <c r="J25" i="5" s="1"/>
  <c r="G27" i="5"/>
  <c r="H27" i="5" s="1"/>
  <c r="J27" i="5" s="1"/>
  <c r="G26" i="5"/>
  <c r="H26" i="5" s="1"/>
  <c r="G24" i="5"/>
  <c r="J24" i="5" s="1"/>
  <c r="G23" i="5"/>
  <c r="J23" i="5" s="1"/>
  <c r="G20" i="5"/>
  <c r="E20" i="5"/>
  <c r="D35" i="5" s="1"/>
  <c r="L35" i="5" s="1"/>
  <c r="J19" i="5"/>
  <c r="J18" i="5"/>
  <c r="J17" i="5"/>
  <c r="J16" i="5"/>
  <c r="J15" i="5"/>
  <c r="J14" i="5"/>
  <c r="J13" i="5"/>
  <c r="J12" i="5"/>
  <c r="J8" i="5"/>
  <c r="J11" i="5"/>
  <c r="H10" i="5"/>
  <c r="J10" i="5" s="1"/>
  <c r="J9" i="5"/>
  <c r="J7" i="5"/>
  <c r="J6" i="5"/>
  <c r="M243" i="1" l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5" i="5"/>
  <c r="P35" i="5" s="1"/>
  <c r="D8" i="5"/>
  <c r="H20" i="5"/>
  <c r="D10" i="5"/>
  <c r="D27" i="5"/>
  <c r="M27" i="5" s="1"/>
  <c r="P27" i="5" s="1"/>
  <c r="D26" i="5"/>
  <c r="D17" i="5"/>
  <c r="D19" i="5"/>
  <c r="D12" i="5"/>
  <c r="D16" i="5"/>
  <c r="D23" i="5"/>
  <c r="L23" i="5" s="1"/>
  <c r="M23" i="5" s="1"/>
  <c r="D6" i="5"/>
  <c r="D9" i="5"/>
  <c r="D13" i="5"/>
  <c r="D15" i="5"/>
  <c r="D28" i="5"/>
  <c r="L28" i="5" s="1"/>
  <c r="M28" i="5" s="1"/>
  <c r="P28" i="5" s="1"/>
  <c r="D30" i="5"/>
  <c r="L30" i="5" s="1"/>
  <c r="M30" i="5" s="1"/>
  <c r="P30" i="5" s="1"/>
  <c r="D33" i="5"/>
  <c r="L33" i="5" s="1"/>
  <c r="M33" i="5" s="1"/>
  <c r="P33" i="5" s="1"/>
  <c r="D34" i="5"/>
  <c r="L34" i="5" s="1"/>
  <c r="M34" i="5" s="1"/>
  <c r="P34" i="5" s="1"/>
  <c r="D36" i="5"/>
  <c r="L36" i="5" s="1"/>
  <c r="M36" i="5" s="1"/>
  <c r="P36" i="5" s="1"/>
  <c r="J20" i="5"/>
  <c r="J26" i="5"/>
  <c r="J37" i="5" s="1"/>
  <c r="H37" i="5"/>
  <c r="G37" i="5"/>
  <c r="D7" i="5"/>
  <c r="D11" i="5"/>
  <c r="D14" i="5"/>
  <c r="D18" i="5"/>
  <c r="D24" i="5"/>
  <c r="L24" i="5" s="1"/>
  <c r="M24" i="5" s="1"/>
  <c r="P24" i="5" s="1"/>
  <c r="D25" i="5"/>
  <c r="M25" i="5" s="1"/>
  <c r="P25" i="5" s="1"/>
  <c r="D29" i="5"/>
  <c r="L29" i="5" s="1"/>
  <c r="M29" i="5" s="1"/>
  <c r="P29" i="5" s="1"/>
  <c r="D31" i="5"/>
  <c r="L31" i="5" s="1"/>
  <c r="M31" i="5" s="1"/>
  <c r="P31" i="5" s="1"/>
  <c r="D32" i="5"/>
  <c r="L32" i="5" s="1"/>
  <c r="M32" i="5" s="1"/>
  <c r="P32" i="5" s="1"/>
  <c r="D134" i="1"/>
  <c r="C134" i="1"/>
  <c r="D133" i="1"/>
  <c r="C133" i="1"/>
  <c r="D72" i="1"/>
  <c r="C72" i="1"/>
  <c r="M321" i="1" l="1"/>
  <c r="M322" i="1" s="1"/>
  <c r="M323" i="1" s="1"/>
  <c r="M324" i="1" s="1"/>
  <c r="M331" i="1"/>
  <c r="XFD305" i="1"/>
  <c r="XFD301" i="1"/>
  <c r="XFD297" i="1"/>
  <c r="XFD298" i="1"/>
  <c r="M26" i="5"/>
  <c r="P26" i="5" s="1"/>
  <c r="P23" i="5"/>
  <c r="D37" i="5"/>
  <c r="D20" i="5"/>
  <c r="D146" i="1"/>
  <c r="C146" i="1"/>
  <c r="D145" i="1"/>
  <c r="C145" i="1"/>
  <c r="D70" i="1"/>
  <c r="C70" i="1"/>
  <c r="D71" i="1"/>
  <c r="C71" i="1"/>
  <c r="XFD304" i="1" l="1"/>
  <c r="P37" i="5"/>
  <c r="M37" i="5"/>
  <c r="D69" i="1" l="1"/>
  <c r="C69" i="1"/>
  <c r="D68" i="1"/>
  <c r="C68" i="1"/>
  <c r="D67" i="1" l="1"/>
  <c r="C67" i="1"/>
  <c r="D59" i="1" l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132" i="1" l="1"/>
  <c r="C132" i="1"/>
  <c r="D131" i="1"/>
  <c r="C131" i="1"/>
  <c r="D66" i="1"/>
  <c r="C66" i="1"/>
  <c r="D130" i="1" l="1"/>
  <c r="C130" i="1"/>
  <c r="D129" i="1"/>
  <c r="C129" i="1"/>
  <c r="D65" i="1"/>
  <c r="C65" i="1"/>
  <c r="D140" i="1" l="1"/>
  <c r="C140" i="1"/>
  <c r="D139" i="1"/>
  <c r="C139" i="1"/>
  <c r="D64" i="1"/>
  <c r="C64" i="1"/>
  <c r="D141" i="1" l="1"/>
  <c r="C141" i="1"/>
  <c r="D142" i="1"/>
  <c r="C142" i="1"/>
  <c r="D143" i="1"/>
  <c r="C143" i="1"/>
  <c r="D144" i="1"/>
  <c r="C144" i="1"/>
  <c r="D147" i="1"/>
  <c r="C147" i="1"/>
  <c r="D60" i="1"/>
  <c r="C60" i="1"/>
  <c r="D150" i="1"/>
  <c r="C150" i="1"/>
  <c r="D149" i="1"/>
  <c r="C149" i="1"/>
  <c r="D63" i="1" l="1"/>
  <c r="C63" i="1"/>
  <c r="D62" i="1"/>
  <c r="C62" i="1"/>
  <c r="D148" i="1"/>
  <c r="C148" i="1"/>
  <c r="D61" i="1"/>
  <c r="C61" i="1"/>
  <c r="D39" i="1" l="1"/>
  <c r="C39" i="1"/>
  <c r="D47" i="1" l="1"/>
  <c r="C47" i="1"/>
  <c r="D48" i="1"/>
  <c r="C48" i="1"/>
  <c r="D46" i="1" l="1"/>
  <c r="C46" i="1"/>
  <c r="D45" i="1"/>
  <c r="C45" i="1"/>
  <c r="B7" i="3" l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J6" i="3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l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B21" i="3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D44" i="1"/>
  <c r="C44" i="1"/>
  <c r="D43" i="1"/>
  <c r="C43" i="1"/>
  <c r="D42" i="1"/>
  <c r="C42" i="1"/>
  <c r="D41" i="1"/>
  <c r="C41" i="1"/>
  <c r="D40" i="1"/>
  <c r="C40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J77" i="3" l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B33" i="3"/>
  <c r="B34" i="3" s="1"/>
  <c r="B35" i="3" s="1"/>
  <c r="B36" i="3" s="1"/>
  <c r="B37" i="3" s="1"/>
  <c r="D31" i="1"/>
  <c r="C31" i="1"/>
  <c r="D30" i="1"/>
  <c r="C30" i="1"/>
  <c r="J103" i="3" l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B38" i="3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J133" i="3" l="1"/>
  <c r="B50" i="3"/>
  <c r="B49" i="3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2" i="3" s="1"/>
  <c r="J134" i="3" l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B61" i="3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J158" i="3" l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B105" i="3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J73" i="16" l="1"/>
  <c r="J74" i="16" s="1"/>
  <c r="J75" i="16" s="1"/>
  <c r="B73" i="16"/>
  <c r="B74" i="16" s="1"/>
  <c r="B75" i="16" s="1"/>
  <c r="J173" i="3"/>
</calcChain>
</file>

<file path=xl/sharedStrings.xml><?xml version="1.0" encoding="utf-8"?>
<sst xmlns="http://schemas.openxmlformats.org/spreadsheetml/2006/main" count="3764" uniqueCount="297">
  <si>
    <t>data</t>
  </si>
  <si>
    <t xml:space="preserve">valuta </t>
  </si>
  <si>
    <t>Mese</t>
  </si>
  <si>
    <t>anno</t>
  </si>
  <si>
    <t>Importo</t>
  </si>
  <si>
    <t>Az</t>
  </si>
  <si>
    <t>descrizione</t>
  </si>
  <si>
    <t>TIPOLOGIA</t>
  </si>
  <si>
    <t>B/P</t>
  </si>
  <si>
    <t>A/P C/R</t>
  </si>
  <si>
    <t>BANK</t>
  </si>
  <si>
    <t>Progressivo</t>
  </si>
  <si>
    <t>Casa</t>
  </si>
  <si>
    <t>SHAREHOLDERS LOANS</t>
  </si>
  <si>
    <t>BIL</t>
  </si>
  <si>
    <t>LIABILITIES</t>
  </si>
  <si>
    <t>Giorgio Vignolle</t>
  </si>
  <si>
    <t>Edoardo Tubia</t>
  </si>
  <si>
    <t>Ordinante</t>
  </si>
  <si>
    <t>Origine</t>
  </si>
  <si>
    <t>Silvia Tubia</t>
  </si>
  <si>
    <t>Giancarlo Raggi</t>
  </si>
  <si>
    <t>New Life Sàrl</t>
  </si>
  <si>
    <t>Susik Hemawiti</t>
  </si>
  <si>
    <t>Enrico Tubia</t>
  </si>
  <si>
    <t>Christine Oliveira</t>
  </si>
  <si>
    <t>Jens Liesen</t>
  </si>
  <si>
    <t>Matteo Vignolle</t>
  </si>
  <si>
    <t>Gabriel Vignolle</t>
  </si>
  <si>
    <t>Michel Barbancey</t>
  </si>
  <si>
    <t>Ingrid Lambert</t>
  </si>
  <si>
    <t>Sum of Importo</t>
  </si>
  <si>
    <t>Commissions</t>
  </si>
  <si>
    <t>PP</t>
  </si>
  <si>
    <t>COSTS</t>
  </si>
  <si>
    <t>Olkypay</t>
  </si>
  <si>
    <t>Sombra e Agua Fresca Resort Sàrl - Luxembourg</t>
  </si>
  <si>
    <t>Iban:</t>
  </si>
  <si>
    <t xml:space="preserve">LU66 6060 0020 0000 3953 </t>
  </si>
  <si>
    <t>OLKYPAY</t>
  </si>
  <si>
    <t>Luxembourg</t>
  </si>
  <si>
    <t>Bic:</t>
  </si>
  <si>
    <t>OLKI LUL1 XXX</t>
  </si>
  <si>
    <t>C/C Ordinario in EUR</t>
  </si>
  <si>
    <t>Banque on line</t>
  </si>
  <si>
    <t>CASH</t>
  </si>
  <si>
    <t>Nr</t>
  </si>
  <si>
    <t>Description</t>
  </si>
  <si>
    <t>Socio</t>
  </si>
  <si>
    <t>Date Comptable</t>
  </si>
  <si>
    <t>Date Valeur</t>
  </si>
  <si>
    <t>Total</t>
  </si>
  <si>
    <t>Solde</t>
  </si>
  <si>
    <t>Saldo iniziale</t>
  </si>
  <si>
    <t>Tubia Edoardo</t>
  </si>
  <si>
    <t>Tubia Silvia</t>
  </si>
  <si>
    <t>Raggi Giancarlo</t>
  </si>
  <si>
    <t>Hemawiti Susik</t>
  </si>
  <si>
    <t>Tubia Enrico</t>
  </si>
  <si>
    <t>Oliveira Christine</t>
  </si>
  <si>
    <t>Liesen Jens</t>
  </si>
  <si>
    <t>Vignolle Gabriel</t>
  </si>
  <si>
    <t>Vignolle Matteo</t>
  </si>
  <si>
    <t>Vignolle Giorgio</t>
  </si>
  <si>
    <t>Barbancey Michel</t>
  </si>
  <si>
    <t>Lambert Ingrid</t>
  </si>
  <si>
    <t>Spese bancarie</t>
  </si>
  <si>
    <t>F</t>
  </si>
  <si>
    <t>D</t>
  </si>
  <si>
    <t>H</t>
  </si>
  <si>
    <t>G</t>
  </si>
  <si>
    <t>E</t>
  </si>
  <si>
    <t>A</t>
  </si>
  <si>
    <t>B</t>
  </si>
  <si>
    <t>C</t>
  </si>
  <si>
    <t>I</t>
  </si>
  <si>
    <t>Finanziamento Soci</t>
  </si>
  <si>
    <t>Cofre Luxembourg Wind SA</t>
  </si>
  <si>
    <t>Sum of Az</t>
  </si>
  <si>
    <t>Sombra e Agua Fresca Resort Sàrl</t>
  </si>
  <si>
    <t>Spese Amministrative</t>
  </si>
  <si>
    <t>Beneficiario</t>
  </si>
  <si>
    <t>Notaire Martine Schaeffer</t>
  </si>
  <si>
    <t>Olkypay Bank</t>
  </si>
  <si>
    <t>SOMBRA E AGUA FRESCA RESORT Sàrl</t>
  </si>
  <si>
    <t>Versement du Capital Social</t>
  </si>
  <si>
    <t>Total per Shareholder</t>
  </si>
  <si>
    <t>CASA</t>
  </si>
  <si>
    <t>%</t>
  </si>
  <si>
    <t>Shares</t>
  </si>
  <si>
    <t>Capital</t>
  </si>
  <si>
    <t>Paid</t>
  </si>
  <si>
    <t>Date</t>
  </si>
  <si>
    <t>To pay</t>
  </si>
  <si>
    <t>Financement</t>
  </si>
  <si>
    <t>A payer</t>
  </si>
  <si>
    <t>Oliveira Da Costa Christine</t>
  </si>
  <si>
    <t>All</t>
  </si>
  <si>
    <t>Cofre Luxembourg Wind S.A.</t>
  </si>
  <si>
    <t>Imp</t>
  </si>
  <si>
    <t>TVA</t>
  </si>
  <si>
    <t>% TVA</t>
  </si>
  <si>
    <t>Administration des Contributions</t>
  </si>
  <si>
    <t>Administration des Contributions Directes</t>
  </si>
  <si>
    <t>X</t>
  </si>
  <si>
    <t>TVA V</t>
  </si>
  <si>
    <t>Invoice Notaire Martine Schaeffer</t>
  </si>
  <si>
    <t>USD</t>
  </si>
  <si>
    <t>Change</t>
  </si>
  <si>
    <t>Financement Associés</t>
  </si>
  <si>
    <t>Invoice Notaire Martine Schaeffer (via compte Custom SA)</t>
  </si>
  <si>
    <t>Vers. Capitale Sociale</t>
  </si>
  <si>
    <t>Invoice ABC Translations</t>
  </si>
  <si>
    <t>ABC Translations</t>
  </si>
  <si>
    <t>Impot Fortune Watergarden</t>
  </si>
  <si>
    <t>Ministère des Affaires Etrangeres et Européennes</t>
  </si>
  <si>
    <t>Apostille sur documentation Ministère des Affaires Etrangeres et Européennes</t>
  </si>
  <si>
    <t>Ministère des Affaires Etrangeres et Europèennes</t>
  </si>
  <si>
    <t>Invoice Arias &amp; Fabrega (via compte BDL de Tubia Edoardo)</t>
  </si>
  <si>
    <t>Arias, Fabrega &amp; Fabrega Trust Co. BVI Ltd</t>
  </si>
  <si>
    <t>INTR</t>
  </si>
  <si>
    <t>LUX</t>
  </si>
  <si>
    <t>Invoice UPS</t>
  </si>
  <si>
    <t>UPS Luxembourg (payé Tubia edoardo)</t>
  </si>
  <si>
    <t>UPS - (Payé Tubia Edoardo)</t>
  </si>
  <si>
    <t>Cotisations</t>
  </si>
  <si>
    <t>Chambre de Commerce - Luxembourg</t>
  </si>
  <si>
    <t>Cotisation 2022</t>
  </si>
  <si>
    <t>Remboursé 28/01/2022</t>
  </si>
  <si>
    <t>Remboursé 07/03/2022</t>
  </si>
  <si>
    <t>Remboursé 11/03/2022</t>
  </si>
  <si>
    <t>Remboursé 25/03/2022</t>
  </si>
  <si>
    <t>Invoice CUSTOM (Assistance Transfert du Siège)</t>
  </si>
  <si>
    <t>Invoice CUSTOM (Comptabilité 2022)</t>
  </si>
  <si>
    <t>Autres dettes diverses - Tubia Edoardo</t>
  </si>
  <si>
    <t>DETTES ENVERS ASSOCIES</t>
  </si>
  <si>
    <t>OK</t>
  </si>
  <si>
    <t>6135000 - FRAIS D'ACTES NOTARIES ET ASSIMILES</t>
  </si>
  <si>
    <t>6134200 - HONORAIRES COMPTABLES, FISCAUX, D'AUDIT ET ASSIMILES</t>
  </si>
  <si>
    <t>6134800 - AUTRES HONORAIRES</t>
  </si>
  <si>
    <t>6153100 - FRAIS POSTAUX</t>
  </si>
  <si>
    <t>1010000 - CAPITAL SOUSCRIT</t>
  </si>
  <si>
    <t>6134100 - HONORAIRES JURIDIQUES, DE CONTENTIEUX ET ASSIMILES</t>
  </si>
  <si>
    <t>6187000 - COTISATIONS AUX ASSOCIATIONS PROFESSIONNELLES</t>
  </si>
  <si>
    <t>6811000 - IF - EXERCICE COURANT</t>
  </si>
  <si>
    <t>6133300 - FRAIS DE COMPTES ET COMMISSIONS BANCAIRES</t>
  </si>
  <si>
    <t>4411100 - FOURNISSEURS</t>
  </si>
  <si>
    <t>CAPITAUX PROPRES ET PASSIF</t>
  </si>
  <si>
    <t>C. DETTES</t>
  </si>
  <si>
    <t>A. CAPITAUX PROPRES</t>
  </si>
  <si>
    <t>CLASSE</t>
  </si>
  <si>
    <t>Impôt Fortune 2022</t>
  </si>
  <si>
    <t>Impôt Fortune 2023</t>
  </si>
  <si>
    <t>Competence</t>
  </si>
  <si>
    <t>CUSTOM SA</t>
  </si>
  <si>
    <t>CUSTOM S.A.</t>
  </si>
  <si>
    <t>Remboursé 14/06/2023</t>
  </si>
  <si>
    <t>4712101 - Oliveira Da Costa Christine</t>
  </si>
  <si>
    <t>4712102 - Liesen Jens</t>
  </si>
  <si>
    <t>4712103 - Vignolle Giorgio</t>
  </si>
  <si>
    <t>4712104 - Vignolle Gabriel</t>
  </si>
  <si>
    <t>4712105 - Vignolle Matteo</t>
  </si>
  <si>
    <t>4712106 - Raggi Giancarlo</t>
  </si>
  <si>
    <t>4712107 - Lambert Ingrid</t>
  </si>
  <si>
    <t>4712108 - Tubia Enrico</t>
  </si>
  <si>
    <t>4712109 - Tubia Edoardo</t>
  </si>
  <si>
    <t>4712110 - Tubia Silvia</t>
  </si>
  <si>
    <t>4712111 - Hemawiti Susik</t>
  </si>
  <si>
    <t>4712112 - New Life Sàrl</t>
  </si>
  <si>
    <t>4712113 - Barbancey Michel</t>
  </si>
  <si>
    <t>4718001 - Autres dettes diverses - Tubia Edoardo</t>
  </si>
  <si>
    <t>4712114 - Cofre Luxembourg Wind SA</t>
  </si>
  <si>
    <t>Baguenier Henri</t>
  </si>
  <si>
    <t>Autres Réserves disponibles</t>
  </si>
  <si>
    <t>1381000 - Autres Réserves disponibles</t>
  </si>
  <si>
    <t>Résultats reportés</t>
  </si>
  <si>
    <t>1412000 - Résultats reportés (affectés)</t>
  </si>
  <si>
    <t>Résultats de l'exercise</t>
  </si>
  <si>
    <t>Perte de l'exercise</t>
  </si>
  <si>
    <t>Dettes</t>
  </si>
  <si>
    <t>4411100 - Fournisseurs</t>
  </si>
  <si>
    <t>Divers</t>
  </si>
  <si>
    <t>4411200 - Fournisseurs - Factures non parvenues</t>
  </si>
  <si>
    <t>Fournisseurs</t>
  </si>
  <si>
    <t>Actif Immobilisé</t>
  </si>
  <si>
    <t>2330010 - Participations - Sombra</t>
  </si>
  <si>
    <t>C. ACTIF IMMOBILISE'</t>
  </si>
  <si>
    <t>III. Immobilisations Financières</t>
  </si>
  <si>
    <t>ACTIF</t>
  </si>
  <si>
    <t>D. ACTIF CIRCULANT</t>
  </si>
  <si>
    <t>5131000 - Banques et CCP: Olky</t>
  </si>
  <si>
    <t>Actif circulant</t>
  </si>
  <si>
    <t>IV. Avoirs en Banques et CCP: Olky</t>
  </si>
  <si>
    <t>V. Résultats reportés</t>
  </si>
  <si>
    <t>VI. Résultats de l'exercise</t>
  </si>
  <si>
    <t>IV. RESERVES</t>
  </si>
  <si>
    <t>I. CAPITAL SOUSCRIT</t>
  </si>
  <si>
    <t>1010000 - Capital Souscrit</t>
  </si>
  <si>
    <t>4612320 - IF - dette fiscale à payer</t>
  </si>
  <si>
    <t>Impôt Fortune 2024</t>
  </si>
  <si>
    <t>Errato pagamento</t>
  </si>
  <si>
    <t>Storno pagamento</t>
  </si>
  <si>
    <t>Rimborso</t>
  </si>
  <si>
    <t>Regularisation Impôt Fortune 2023</t>
  </si>
  <si>
    <t>Type</t>
  </si>
  <si>
    <t>IMPOT FORTUNE</t>
  </si>
  <si>
    <t>DETTES</t>
  </si>
  <si>
    <t>Impôt Fortune 2025</t>
  </si>
  <si>
    <t>II. Créances</t>
  </si>
  <si>
    <t>4214300 - Impôt sur la Fortune (IF)</t>
  </si>
  <si>
    <t>Invoice CUSTOM (Comptabilité 2023)</t>
  </si>
  <si>
    <t>Regularisation Impôt Fortune 2024</t>
  </si>
  <si>
    <t>Frais d'extrait RCS</t>
  </si>
  <si>
    <t>R.C.S. Luxembourg</t>
  </si>
  <si>
    <t>RCS Luxembourg Frais d'extrait</t>
  </si>
  <si>
    <t>Prix neutre</t>
  </si>
  <si>
    <t>PLUS VALUE</t>
  </si>
  <si>
    <t>Céssion 520 actions (3.4667%) de New Life Sàrl à Tubia Edoardo</t>
  </si>
  <si>
    <t>01 Oliveira Da Costa Christine</t>
  </si>
  <si>
    <t>02 Liesen Jens</t>
  </si>
  <si>
    <t>03 Vignolle Gabriel</t>
  </si>
  <si>
    <t>04 Vignolle Matteo</t>
  </si>
  <si>
    <t>05 Vignolle Giorgio</t>
  </si>
  <si>
    <t>06 Cofre Luxembourg Wind SA</t>
  </si>
  <si>
    <t>07 Raggi Giancarlo</t>
  </si>
  <si>
    <t>08 Lambert Ingrid</t>
  </si>
  <si>
    <t>09 Tubia Enrico</t>
  </si>
  <si>
    <t>10 Tubia Silvia</t>
  </si>
  <si>
    <t>11 Tubia Edoardo</t>
  </si>
  <si>
    <t>12 Hemawiti Susik</t>
  </si>
  <si>
    <t>13 New Life Sàrl</t>
  </si>
  <si>
    <t>14 Barbancey Michel</t>
  </si>
  <si>
    <t>Céssion Financement Associés de New Life Sàrl à Tubia Edoardo</t>
  </si>
  <si>
    <t>NEW LIFE Sàrl</t>
  </si>
  <si>
    <t>TUBIA Edoardo</t>
  </si>
  <si>
    <t>Fiscal number</t>
  </si>
  <si>
    <t>2021 2400 671</t>
  </si>
  <si>
    <t>Invoice CUSTOM (Comptabilité 2024)</t>
  </si>
  <si>
    <t>Cessione di Credito</t>
  </si>
  <si>
    <t>Toscano Franco</t>
  </si>
  <si>
    <t>Franco Toscano</t>
  </si>
  <si>
    <t>R$</t>
  </si>
  <si>
    <t>Da BIL</t>
  </si>
  <si>
    <t>A BDL</t>
  </si>
  <si>
    <t>Da BDL</t>
  </si>
  <si>
    <t>Impôt Fortune 2026</t>
  </si>
  <si>
    <t>REVOLUT</t>
  </si>
  <si>
    <t>LT34 3250 0953 8055 9528</t>
  </si>
  <si>
    <t>REVO LT21</t>
  </si>
  <si>
    <t>Revolut</t>
  </si>
  <si>
    <t>Avances Impôt Fortune 2026</t>
  </si>
  <si>
    <t>Spese bancarie (Frais d'abbonement)</t>
  </si>
  <si>
    <t>Spese bancarie (Frais Appl. Depenses)</t>
  </si>
  <si>
    <t>CONTO CHIUSO 21.05.2026</t>
  </si>
  <si>
    <t>Watergarden (su Revolut)</t>
  </si>
  <si>
    <t>Transfert de Olky Pay</t>
  </si>
  <si>
    <t>Etichette di colonna</t>
  </si>
  <si>
    <t>Etichette di riga</t>
  </si>
  <si>
    <t>Totale complessivo</t>
  </si>
  <si>
    <t>(più elementi)</t>
  </si>
  <si>
    <t>Céssion 520 actions (3.4667%) de Tubia Edoardo à New Life Sàrl</t>
  </si>
  <si>
    <t>Avant</t>
  </si>
  <si>
    <t>Opération</t>
  </si>
  <si>
    <t>Après</t>
  </si>
  <si>
    <t>Prix</t>
  </si>
  <si>
    <t>Prix par action</t>
  </si>
  <si>
    <t>Céssion 135 actions (0.90%) de Tubia Edoardo à New Life Sàrl</t>
  </si>
  <si>
    <t>Céssion Financement Associés de Tubia Edoardo à New Life Sàrl</t>
  </si>
  <si>
    <t>A Totale</t>
  </si>
  <si>
    <t>B Totale</t>
  </si>
  <si>
    <t>C Totale</t>
  </si>
  <si>
    <t>D Totale</t>
  </si>
  <si>
    <t>E Totale</t>
  </si>
  <si>
    <t>F Totale</t>
  </si>
  <si>
    <t>G Totale</t>
  </si>
  <si>
    <t>H Totale</t>
  </si>
  <si>
    <t>I Totale</t>
  </si>
  <si>
    <t>(Tutto)</t>
  </si>
  <si>
    <t>(vuoto)</t>
  </si>
  <si>
    <t>1010000 - Capital Souscrit Totale</t>
  </si>
  <si>
    <t>I. CAPITAL SOUSCRIT Totale</t>
  </si>
  <si>
    <t>1381000 - Autres Réserves disponibles Totale</t>
  </si>
  <si>
    <t>IV. RESERVES Totale</t>
  </si>
  <si>
    <t>Résultats reportés Totale</t>
  </si>
  <si>
    <t>V. Résultats reportés Totale</t>
  </si>
  <si>
    <t>Résultats de l'exercise Totale</t>
  </si>
  <si>
    <t>VI. Résultats de l'exercise Totale</t>
  </si>
  <si>
    <t>A. CAPITAUX PROPRES Totale</t>
  </si>
  <si>
    <t>Financement Associés Totale</t>
  </si>
  <si>
    <t>SHAREHOLDERS LOANS Totale</t>
  </si>
  <si>
    <t>4718001 - Autres dettes diverses - Tubia Edoardo Totale</t>
  </si>
  <si>
    <t>C. DETTES Totale</t>
  </si>
  <si>
    <t>III. Immobilisations Financières Totale</t>
  </si>
  <si>
    <t>C. ACTIF IMMOBILISE' Totale</t>
  </si>
  <si>
    <t>II. Créances Totale</t>
  </si>
  <si>
    <t>IV. Avoirs en Banques et CCP: Olky Totale</t>
  </si>
  <si>
    <t>D. ACTIF CIRCULANT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</si>
</sst>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;\-#,##0.00;&quot;&quot;"/>
    <numFmt numFmtId="166" formatCode="#,##0.00;\-#,##0.00;\-"/>
    <numFmt numFmtId="167" formatCode="_-* #,##0.00_-;_-* #,##0.00\-;_-* &quot;-&quot;??_-;_-@_-"/>
    <numFmt numFmtId="168" formatCode="_(&quot;R$ &quot;* #,##0.00_);_(&quot;R$ &quot;* \(#,##0.00\);_(&quot;R$ &quot;* &quot;-&quot;??_);_(@_)"/>
    <numFmt numFmtId="169" formatCode="_-&quot;€&quot;\ * #,##0.00_-;\-&quot;€&quot;\ * #,##0.00_-;_-&quot;€&quot;\ * &quot;-&quot;??_-;_-@_-"/>
    <numFmt numFmtId="170" formatCode="&quot;€&quot;\ #,##0.00;[Red]\-&quot;€&quot;\ #,##0.00"/>
    <numFmt numFmtId="171" formatCode="#,##0_ ;[Red]\-#,##0\ "/>
    <numFmt numFmtId="172" formatCode="#,##0.00\ [$€-1];[Red]\-#,##0.00\ [$€-1]"/>
    <numFmt numFmtId="173" formatCode="0.000%"/>
    <numFmt numFmtId="174" formatCode="#,##0.00\ &quot;€&quot;"/>
    <numFmt numFmtId="175" formatCode="[$$-409]#,##0.00_ ;[Red]\-[$$-409]#,##0.00\ "/>
    <numFmt numFmtId="176" formatCode="#,##0.0000_ ;[Red]\-#,##0.0000\ "/>
    <numFmt numFmtId="177" formatCode="0.0000"/>
    <numFmt numFmtId="178" formatCode="#,##0.00_ ;[Red]\-#,##0.00\ "/>
    <numFmt numFmtId="179" formatCode="[$R$ -416]#,##0.00_ ;[Red]\-[$R$ -416]#,##0.00\ 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2"/>
      <name val="Gatineau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24"/>
      </top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5">
    <xf numFmtId="0" fontId="0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6" fillId="18" borderId="2" applyNumberFormat="0" applyAlignment="0" applyProtection="0"/>
    <xf numFmtId="0" fontId="6" fillId="18" borderId="2" applyNumberFormat="0" applyAlignment="0" applyProtection="0"/>
    <xf numFmtId="0" fontId="6" fillId="18" borderId="2" applyNumberFormat="0" applyAlignment="0" applyProtection="0"/>
    <xf numFmtId="165" fontId="7" fillId="19" borderId="3" applyFont="0" applyFill="0" applyBorder="0" applyAlignment="0" applyProtection="0">
      <alignment wrapText="1"/>
    </xf>
    <xf numFmtId="166" fontId="7" fillId="19" borderId="3" applyFont="0" applyFill="0" applyBorder="0" applyAlignment="0" applyProtection="0">
      <alignment wrapText="1"/>
    </xf>
    <xf numFmtId="0" fontId="8" fillId="0" borderId="4" applyNumberFormat="0" applyFill="0" applyAlignment="0" applyProtection="0"/>
    <xf numFmtId="0" fontId="9" fillId="20" borderId="5" applyNumberFormat="0" applyAlignment="0" applyProtection="0"/>
    <xf numFmtId="0" fontId="9" fillId="20" borderId="5" applyNumberFormat="0" applyAlignment="0" applyProtection="0"/>
    <xf numFmtId="0" fontId="9" fillId="20" borderId="5" applyNumberFormat="0" applyAlignment="0" applyProtection="0"/>
    <xf numFmtId="0" fontId="8" fillId="0" borderId="4" applyNumberFormat="0" applyFill="0" applyAlignment="0" applyProtection="0"/>
    <xf numFmtId="0" fontId="8" fillId="0" borderId="4" applyNumberFormat="0" applyFill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24" borderId="0" applyNumberFormat="0" applyBorder="0" applyAlignment="0" applyProtection="0"/>
    <xf numFmtId="167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11" fillId="9" borderId="2" applyNumberFormat="0" applyAlignment="0" applyProtection="0"/>
    <xf numFmtId="0" fontId="11" fillId="9" borderId="2" applyNumberFormat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4" fillId="0" borderId="0"/>
    <xf numFmtId="0" fontId="10" fillId="26" borderId="6" applyNumberFormat="0" applyFont="0" applyAlignment="0" applyProtection="0"/>
    <xf numFmtId="0" fontId="10" fillId="26" borderId="6" applyNumberFormat="0" applyFont="0" applyAlignment="0" applyProtection="0"/>
    <xf numFmtId="0" fontId="10" fillId="26" borderId="6" applyNumberFormat="0" applyFont="0" applyAlignment="0" applyProtection="0"/>
    <xf numFmtId="9" fontId="10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18" borderId="7" applyNumberFormat="0" applyAlignment="0" applyProtection="0"/>
    <xf numFmtId="0" fontId="15" fillId="18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2" fillId="0" borderId="11" applyNumberFormat="0" applyFill="0" applyAlignment="0" applyProtection="0"/>
    <xf numFmtId="0" fontId="12" fillId="5" borderId="0" applyNumberFormat="0" applyBorder="0" applyAlignment="0" applyProtection="0"/>
    <xf numFmtId="0" fontId="5" fillId="6" borderId="0" applyNumberFormat="0" applyBorder="0" applyAlignment="0" applyProtection="0"/>
  </cellStyleXfs>
  <cellXfs count="200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8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0" fillId="0" borderId="0" xfId="102" applyAlignment="1">
      <alignment horizontal="center"/>
    </xf>
    <xf numFmtId="0" fontId="10" fillId="0" borderId="0" xfId="102"/>
    <xf numFmtId="8" fontId="10" fillId="0" borderId="0" xfId="102" applyNumberFormat="1"/>
    <xf numFmtId="8" fontId="24" fillId="0" borderId="0" xfId="102" applyNumberFormat="1" applyFont="1"/>
    <xf numFmtId="0" fontId="24" fillId="0" borderId="0" xfId="102" applyFont="1"/>
    <xf numFmtId="14" fontId="0" fillId="0" borderId="20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8" fontId="0" fillId="3" borderId="20" xfId="0" applyNumberFormat="1" applyFill="1" applyBorder="1"/>
    <xf numFmtId="8" fontId="0" fillId="0" borderId="20" xfId="0" applyNumberFormat="1" applyBorder="1" applyAlignment="1">
      <alignment horizontal="center"/>
    </xf>
    <xf numFmtId="0" fontId="0" fillId="0" borderId="20" xfId="0" applyBorder="1"/>
    <xf numFmtId="8" fontId="0" fillId="0" borderId="20" xfId="0" applyNumberFormat="1" applyBorder="1"/>
    <xf numFmtId="171" fontId="2" fillId="2" borderId="1" xfId="0" applyNumberFormat="1" applyFon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20" xfId="0" applyNumberFormat="1" applyBorder="1" applyAlignment="1">
      <alignment horizontal="center"/>
    </xf>
    <xf numFmtId="172" fontId="10" fillId="0" borderId="0" xfId="0" applyNumberFormat="1" applyFont="1"/>
    <xf numFmtId="0" fontId="26" fillId="0" borderId="0" xfId="0" applyFont="1"/>
    <xf numFmtId="0" fontId="27" fillId="0" borderId="0" xfId="0" applyFont="1"/>
    <xf numFmtId="0" fontId="27" fillId="2" borderId="12" xfId="0" applyFont="1" applyFill="1" applyBorder="1"/>
    <xf numFmtId="0" fontId="27" fillId="2" borderId="12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14" fontId="27" fillId="2" borderId="14" xfId="0" applyNumberFormat="1" applyFont="1" applyFill="1" applyBorder="1" applyAlignment="1">
      <alignment horizontal="center"/>
    </xf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171" fontId="27" fillId="0" borderId="17" xfId="0" applyNumberFormat="1" applyFont="1" applyBorder="1"/>
    <xf numFmtId="174" fontId="27" fillId="28" borderId="17" xfId="0" applyNumberFormat="1" applyFont="1" applyFill="1" applyBorder="1"/>
    <xf numFmtId="174" fontId="27" fillId="0" borderId="17" xfId="0" applyNumberFormat="1" applyFont="1" applyBorder="1"/>
    <xf numFmtId="14" fontId="27" fillId="0" borderId="0" xfId="0" applyNumberFormat="1" applyFont="1" applyAlignment="1">
      <alignment horizontal="center"/>
    </xf>
    <xf numFmtId="8" fontId="27" fillId="0" borderId="16" xfId="0" applyNumberFormat="1" applyFont="1" applyBorder="1"/>
    <xf numFmtId="8" fontId="27" fillId="0" borderId="17" xfId="0" applyNumberFormat="1" applyFont="1" applyBorder="1"/>
    <xf numFmtId="0" fontId="2" fillId="0" borderId="0" xfId="0" applyFont="1" applyAlignment="1">
      <alignment vertical="center"/>
    </xf>
    <xf numFmtId="0" fontId="27" fillId="0" borderId="19" xfId="0" applyFont="1" applyBorder="1"/>
    <xf numFmtId="0" fontId="27" fillId="0" borderId="19" xfId="0" applyFont="1" applyBorder="1" applyAlignment="1">
      <alignment horizontal="center"/>
    </xf>
    <xf numFmtId="171" fontId="27" fillId="0" borderId="18" xfId="0" applyNumberFormat="1" applyFont="1" applyBorder="1"/>
    <xf numFmtId="174" fontId="27" fillId="28" borderId="18" xfId="0" applyNumberFormat="1" applyFont="1" applyFill="1" applyBorder="1"/>
    <xf numFmtId="174" fontId="27" fillId="0" borderId="18" xfId="0" applyNumberFormat="1" applyFont="1" applyBorder="1"/>
    <xf numFmtId="14" fontId="27" fillId="0" borderId="20" xfId="0" applyNumberFormat="1" applyFont="1" applyBorder="1" applyAlignment="1">
      <alignment horizontal="center"/>
    </xf>
    <xf numFmtId="8" fontId="27" fillId="0" borderId="18" xfId="0" applyNumberFormat="1" applyFont="1" applyBorder="1"/>
    <xf numFmtId="14" fontId="27" fillId="0" borderId="18" xfId="0" applyNumberFormat="1" applyFont="1" applyBorder="1" applyAlignment="1">
      <alignment horizontal="center"/>
    </xf>
    <xf numFmtId="0" fontId="27" fillId="2" borderId="19" xfId="0" applyFont="1" applyFill="1" applyBorder="1"/>
    <xf numFmtId="171" fontId="27" fillId="2" borderId="18" xfId="0" applyNumberFormat="1" applyFont="1" applyFill="1" applyBorder="1"/>
    <xf numFmtId="174" fontId="27" fillId="2" borderId="18" xfId="0" applyNumberFormat="1" applyFont="1" applyFill="1" applyBorder="1"/>
    <xf numFmtId="14" fontId="27" fillId="2" borderId="20" xfId="0" applyNumberFormat="1" applyFont="1" applyFill="1" applyBorder="1" applyAlignment="1">
      <alignment horizontal="center"/>
    </xf>
    <xf numFmtId="8" fontId="27" fillId="2" borderId="18" xfId="0" applyNumberFormat="1" applyFont="1" applyFill="1" applyBorder="1"/>
    <xf numFmtId="10" fontId="2" fillId="2" borderId="1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20" xfId="0" applyNumberForma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72" fontId="10" fillId="2" borderId="0" xfId="0" applyNumberFormat="1" applyFont="1" applyFill="1"/>
    <xf numFmtId="0" fontId="0" fillId="0" borderId="20" xfId="0" applyBorder="1" applyAlignment="1">
      <alignment horizontal="center"/>
    </xf>
    <xf numFmtId="14" fontId="10" fillId="0" borderId="0" xfId="108" applyNumberFormat="1" applyAlignment="1">
      <alignment horizontal="center" vertical="center"/>
    </xf>
    <xf numFmtId="175" fontId="2" fillId="2" borderId="1" xfId="0" applyNumberFormat="1" applyFont="1" applyFill="1" applyBorder="1" applyAlignment="1">
      <alignment horizontal="left"/>
    </xf>
    <xf numFmtId="175" fontId="0" fillId="0" borderId="0" xfId="0" applyNumberFormat="1" applyAlignment="1">
      <alignment horizontal="center"/>
    </xf>
    <xf numFmtId="175" fontId="0" fillId="0" borderId="20" xfId="0" applyNumberFormat="1" applyBorder="1" applyAlignment="1">
      <alignment horizontal="center"/>
    </xf>
    <xf numFmtId="175" fontId="10" fillId="0" borderId="0" xfId="108" applyNumberFormat="1" applyAlignment="1">
      <alignment vertical="center"/>
    </xf>
    <xf numFmtId="176" fontId="0" fillId="0" borderId="0" xfId="0" applyNumberFormat="1" applyAlignment="1">
      <alignment horizontal="center"/>
    </xf>
    <xf numFmtId="8" fontId="2" fillId="2" borderId="1" xfId="0" applyNumberFormat="1" applyFont="1" applyFill="1" applyBorder="1" applyAlignment="1">
      <alignment horizontal="left"/>
    </xf>
    <xf numFmtId="8" fontId="0" fillId="2" borderId="0" xfId="0" applyNumberFormat="1" applyFill="1"/>
    <xf numFmtId="0" fontId="10" fillId="0" borderId="0" xfId="102" applyAlignment="1">
      <alignment horizontal="center" vertical="center"/>
    </xf>
    <xf numFmtId="0" fontId="10" fillId="0" borderId="0" xfId="102" applyAlignment="1">
      <alignment vertical="center"/>
    </xf>
    <xf numFmtId="0" fontId="23" fillId="0" borderId="0" xfId="102" applyFont="1" applyAlignment="1">
      <alignment horizontal="center" vertical="center"/>
    </xf>
    <xf numFmtId="0" fontId="24" fillId="0" borderId="0" xfId="102" applyFont="1" applyAlignment="1">
      <alignment horizontal="center" vertical="center"/>
    </xf>
    <xf numFmtId="8" fontId="10" fillId="0" borderId="0" xfId="102" applyNumberFormat="1" applyAlignment="1">
      <alignment vertical="center"/>
    </xf>
    <xf numFmtId="8" fontId="24" fillId="0" borderId="0" xfId="102" applyNumberFormat="1" applyFont="1" applyAlignment="1">
      <alignment vertical="center"/>
    </xf>
    <xf numFmtId="0" fontId="24" fillId="0" borderId="0" xfId="102" applyFont="1" applyAlignment="1">
      <alignment vertical="center"/>
    </xf>
    <xf numFmtId="0" fontId="24" fillId="0" borderId="0" xfId="102" applyFont="1" applyAlignment="1">
      <alignment horizontal="right" vertical="center"/>
    </xf>
    <xf numFmtId="0" fontId="25" fillId="0" borderId="0" xfId="102" applyFont="1" applyAlignment="1">
      <alignment horizontal="center" vertical="center"/>
    </xf>
    <xf numFmtId="0" fontId="24" fillId="0" borderId="12" xfId="102" applyFont="1" applyBorder="1" applyAlignment="1">
      <alignment horizontal="center" vertical="center"/>
    </xf>
    <xf numFmtId="0" fontId="24" fillId="0" borderId="14" xfId="102" applyFont="1" applyBorder="1" applyAlignment="1">
      <alignment horizontal="center" vertical="center"/>
    </xf>
    <xf numFmtId="8" fontId="24" fillId="0" borderId="14" xfId="102" applyNumberFormat="1" applyFont="1" applyBorder="1" applyAlignment="1">
      <alignment horizontal="center" vertical="center"/>
    </xf>
    <xf numFmtId="8" fontId="24" fillId="0" borderId="13" xfId="102" applyNumberFormat="1" applyFont="1" applyBorder="1" applyAlignment="1">
      <alignment horizontal="center" vertical="center"/>
    </xf>
    <xf numFmtId="0" fontId="10" fillId="0" borderId="15" xfId="102" applyBorder="1" applyAlignment="1">
      <alignment horizontal="center" vertical="center"/>
    </xf>
    <xf numFmtId="14" fontId="10" fillId="0" borderId="0" xfId="102" applyNumberFormat="1" applyAlignment="1">
      <alignment horizontal="center" vertical="center"/>
    </xf>
    <xf numFmtId="8" fontId="24" fillId="27" borderId="16" xfId="102" applyNumberFormat="1" applyFont="1" applyFill="1" applyBorder="1" applyAlignment="1">
      <alignment vertical="center"/>
    </xf>
    <xf numFmtId="0" fontId="24" fillId="0" borderId="0" xfId="102" applyFont="1" applyAlignment="1">
      <alignment horizontal="left" vertical="center"/>
    </xf>
    <xf numFmtId="8" fontId="24" fillId="27" borderId="17" xfId="0" applyNumberFormat="1" applyFont="1" applyFill="1" applyBorder="1" applyAlignment="1">
      <alignment vertical="center"/>
    </xf>
    <xf numFmtId="0" fontId="10" fillId="0" borderId="19" xfId="102" applyBorder="1" applyAlignment="1">
      <alignment horizontal="center" vertical="center"/>
    </xf>
    <xf numFmtId="0" fontId="10" fillId="0" borderId="20" xfId="102" applyBorder="1" applyAlignment="1">
      <alignment vertical="center"/>
    </xf>
    <xf numFmtId="0" fontId="24" fillId="0" borderId="20" xfId="102" applyFont="1" applyBorder="1" applyAlignment="1">
      <alignment horizontal="left" vertical="center"/>
    </xf>
    <xf numFmtId="14" fontId="10" fillId="0" borderId="20" xfId="102" applyNumberFormat="1" applyBorder="1" applyAlignment="1">
      <alignment horizontal="center" vertical="center"/>
    </xf>
    <xf numFmtId="8" fontId="10" fillId="0" borderId="20" xfId="102" applyNumberFormat="1" applyBorder="1" applyAlignment="1">
      <alignment vertical="center"/>
    </xf>
    <xf numFmtId="8" fontId="24" fillId="27" borderId="18" xfId="0" applyNumberFormat="1" applyFont="1" applyFill="1" applyBorder="1" applyAlignment="1">
      <alignment vertical="center"/>
    </xf>
    <xf numFmtId="8" fontId="0" fillId="0" borderId="0" xfId="0" applyNumberFormat="1" applyAlignment="1">
      <alignment vertical="center"/>
    </xf>
    <xf numFmtId="0" fontId="24" fillId="27" borderId="12" xfId="102" applyFont="1" applyFill="1" applyBorder="1" applyAlignment="1">
      <alignment horizontal="center" vertical="center"/>
    </xf>
    <xf numFmtId="0" fontId="24" fillId="27" borderId="14" xfId="102" applyFont="1" applyFill="1" applyBorder="1" applyAlignment="1">
      <alignment vertical="center"/>
    </xf>
    <xf numFmtId="0" fontId="24" fillId="27" borderId="14" xfId="102" applyFont="1" applyFill="1" applyBorder="1" applyAlignment="1">
      <alignment horizontal="center" vertical="center"/>
    </xf>
    <xf numFmtId="8" fontId="24" fillId="27" borderId="14" xfId="102" applyNumberFormat="1" applyFont="1" applyFill="1" applyBorder="1" applyAlignment="1">
      <alignment vertical="center"/>
    </xf>
    <xf numFmtId="170" fontId="24" fillId="27" borderId="1" xfId="102" applyNumberFormat="1" applyFont="1" applyFill="1" applyBorder="1" applyAlignment="1">
      <alignment vertical="center"/>
    </xf>
    <xf numFmtId="173" fontId="27" fillId="0" borderId="17" xfId="0" applyNumberFormat="1" applyFont="1" applyBorder="1" applyAlignment="1">
      <alignment horizontal="center"/>
    </xf>
    <xf numFmtId="173" fontId="27" fillId="0" borderId="18" xfId="0" applyNumberFormat="1" applyFont="1" applyBorder="1" applyAlignment="1">
      <alignment horizontal="center"/>
    </xf>
    <xf numFmtId="10" fontId="27" fillId="2" borderId="18" xfId="0" applyNumberFormat="1" applyFont="1" applyFill="1" applyBorder="1" applyAlignment="1">
      <alignment horizontal="center"/>
    </xf>
    <xf numFmtId="8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8" fontId="2" fillId="0" borderId="0" xfId="0" applyNumberFormat="1" applyFont="1" applyAlignment="1">
      <alignment horizontal="center"/>
    </xf>
    <xf numFmtId="8" fontId="2" fillId="0" borderId="20" xfId="0" applyNumberFormat="1" applyFont="1" applyBorder="1" applyAlignment="1">
      <alignment horizontal="center"/>
    </xf>
    <xf numFmtId="0" fontId="27" fillId="2" borderId="15" xfId="0" applyFont="1" applyFill="1" applyBorder="1"/>
    <xf numFmtId="0" fontId="2" fillId="0" borderId="0" xfId="0" applyFont="1"/>
    <xf numFmtId="14" fontId="2" fillId="0" borderId="0" xfId="0" applyNumberFormat="1" applyFont="1" applyAlignment="1">
      <alignment horizontal="center"/>
    </xf>
    <xf numFmtId="8" fontId="2" fillId="0" borderId="0" xfId="0" applyNumberFormat="1" applyFont="1"/>
    <xf numFmtId="0" fontId="0" fillId="0" borderId="22" xfId="0" applyBorder="1"/>
    <xf numFmtId="0" fontId="0" fillId="0" borderId="23" xfId="0" applyBorder="1"/>
    <xf numFmtId="0" fontId="2" fillId="0" borderId="23" xfId="0" applyFont="1" applyBorder="1"/>
    <xf numFmtId="0" fontId="2" fillId="0" borderId="24" xfId="0" applyFont="1" applyBorder="1"/>
    <xf numFmtId="0" fontId="0" fillId="0" borderId="15" xfId="0" applyBorder="1"/>
    <xf numFmtId="0" fontId="2" fillId="0" borderId="25" xfId="0" applyFont="1" applyBorder="1"/>
    <xf numFmtId="0" fontId="0" fillId="0" borderId="25" xfId="0" applyBorder="1"/>
    <xf numFmtId="8" fontId="0" fillId="3" borderId="15" xfId="0" applyNumberFormat="1" applyFill="1" applyBorder="1"/>
    <xf numFmtId="8" fontId="0" fillId="3" borderId="0" xfId="0" applyNumberFormat="1" applyFill="1"/>
    <xf numFmtId="8" fontId="0" fillId="3" borderId="19" xfId="0" applyNumberFormat="1" applyFill="1" applyBorder="1"/>
    <xf numFmtId="0" fontId="0" fillId="0" borderId="26" xfId="0" applyBorder="1"/>
    <xf numFmtId="8" fontId="0" fillId="0" borderId="15" xfId="0" applyNumberFormat="1" applyBorder="1"/>
    <xf numFmtId="0" fontId="0" fillId="0" borderId="19" xfId="0" applyBorder="1"/>
    <xf numFmtId="8" fontId="2" fillId="0" borderId="15" xfId="0" applyNumberFormat="1" applyFont="1" applyBorder="1"/>
    <xf numFmtId="8" fontId="10" fillId="29" borderId="0" xfId="102" applyNumberFormat="1" applyFill="1" applyAlignment="1">
      <alignment vertical="center"/>
    </xf>
    <xf numFmtId="8" fontId="2" fillId="29" borderId="21" xfId="0" applyNumberFormat="1" applyFont="1" applyFill="1" applyBorder="1"/>
    <xf numFmtId="14" fontId="10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 indent="3"/>
    </xf>
    <xf numFmtId="14" fontId="0" fillId="2" borderId="0" xfId="0" applyNumberFormat="1" applyFill="1" applyAlignment="1">
      <alignment horizontal="center"/>
    </xf>
    <xf numFmtId="0" fontId="0" fillId="0" borderId="0" xfId="0" applyAlignment="1">
      <alignment horizontal="left" indent="4"/>
    </xf>
    <xf numFmtId="1" fontId="0" fillId="2" borderId="0" xfId="0" applyNumberFormat="1" applyFill="1" applyAlignment="1">
      <alignment horizontal="center"/>
    </xf>
    <xf numFmtId="175" fontId="0" fillId="2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4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75" fontId="0" fillId="2" borderId="20" xfId="0" applyNumberFormat="1" applyFill="1" applyBorder="1" applyAlignment="1">
      <alignment horizontal="center"/>
    </xf>
    <xf numFmtId="8" fontId="0" fillId="2" borderId="20" xfId="0" applyNumberFormat="1" applyFill="1" applyBorder="1"/>
    <xf numFmtId="10" fontId="0" fillId="2" borderId="20" xfId="0" applyNumberFormat="1" applyFill="1" applyBorder="1" applyAlignment="1">
      <alignment horizontal="center"/>
    </xf>
    <xf numFmtId="0" fontId="0" fillId="0" borderId="0" xfId="0" pivotButton="1" applyAlignment="1">
      <alignment horizontal="center"/>
    </xf>
    <xf numFmtId="14" fontId="10" fillId="0" borderId="0" xfId="102" applyNumberFormat="1" applyAlignment="1">
      <alignment horizontal="center"/>
    </xf>
    <xf numFmtId="0" fontId="0" fillId="2" borderId="0" xfId="0" applyFill="1"/>
    <xf numFmtId="14" fontId="0" fillId="0" borderId="15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78" fontId="0" fillId="0" borderId="20" xfId="0" applyNumberFormat="1" applyBorder="1"/>
    <xf numFmtId="174" fontId="0" fillId="0" borderId="20" xfId="0" applyNumberFormat="1" applyBorder="1"/>
    <xf numFmtId="10" fontId="0" fillId="0" borderId="20" xfId="0" applyNumberFormat="1" applyBorder="1"/>
    <xf numFmtId="0" fontId="0" fillId="0" borderId="15" xfId="0" applyBorder="1" applyAlignment="1">
      <alignment horizontal="center"/>
    </xf>
    <xf numFmtId="178" fontId="0" fillId="0" borderId="19" xfId="0" applyNumberFormat="1" applyBorder="1"/>
    <xf numFmtId="174" fontId="2" fillId="0" borderId="20" xfId="0" applyNumberFormat="1" applyFont="1" applyBorder="1"/>
    <xf numFmtId="178" fontId="0" fillId="0" borderId="0" xfId="0" applyNumberFormat="1"/>
    <xf numFmtId="174" fontId="2" fillId="0" borderId="0" xfId="0" applyNumberFormat="1" applyFont="1"/>
    <xf numFmtId="10" fontId="0" fillId="0" borderId="0" xfId="0" applyNumberFormat="1"/>
    <xf numFmtId="174" fontId="0" fillId="0" borderId="0" xfId="0" applyNumberFormat="1"/>
    <xf numFmtId="174" fontId="0" fillId="0" borderId="25" xfId="0" applyNumberFormat="1" applyBorder="1"/>
    <xf numFmtId="174" fontId="0" fillId="0" borderId="26" xfId="0" applyNumberForma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8" fontId="0" fillId="0" borderId="25" xfId="0" applyNumberFormat="1" applyBorder="1"/>
    <xf numFmtId="2" fontId="28" fillId="0" borderId="0" xfId="0" applyNumberFormat="1" applyFont="1"/>
    <xf numFmtId="2" fontId="0" fillId="0" borderId="0" xfId="0" applyNumberFormat="1"/>
    <xf numFmtId="174" fontId="24" fillId="2" borderId="21" xfId="0" applyNumberFormat="1" applyFont="1" applyFill="1" applyBorder="1" applyAlignment="1">
      <alignment horizontal="right"/>
    </xf>
    <xf numFmtId="8" fontId="0" fillId="30" borderId="0" xfId="0" applyNumberFormat="1" applyFill="1"/>
    <xf numFmtId="14" fontId="2" fillId="2" borderId="12" xfId="0" applyNumberFormat="1" applyFont="1" applyFill="1" applyBorder="1" applyAlignment="1">
      <alignment horizontal="center"/>
    </xf>
    <xf numFmtId="14" fontId="2" fillId="2" borderId="14" xfId="0" applyNumberFormat="1" applyFont="1" applyFill="1" applyBorder="1" applyAlignment="1">
      <alignment horizontal="center"/>
    </xf>
    <xf numFmtId="0" fontId="2" fillId="2" borderId="14" xfId="0" applyFont="1" applyFill="1" applyBorder="1"/>
    <xf numFmtId="10" fontId="2" fillId="2" borderId="14" xfId="0" applyNumberFormat="1" applyFont="1" applyFill="1" applyBorder="1"/>
    <xf numFmtId="0" fontId="2" fillId="2" borderId="13" xfId="0" applyFont="1" applyFill="1" applyBorder="1"/>
    <xf numFmtId="175" fontId="0" fillId="2" borderId="0" xfId="0" applyNumberFormat="1" applyFill="1" applyAlignment="1">
      <alignment horizontal="right"/>
    </xf>
    <xf numFmtId="177" fontId="0" fillId="2" borderId="0" xfId="0" applyNumberFormat="1" applyFill="1" applyAlignment="1">
      <alignment horizontal="center"/>
    </xf>
    <xf numFmtId="8" fontId="0" fillId="2" borderId="0" xfId="0" applyNumberFormat="1" applyFill="1" applyAlignment="1">
      <alignment horizontal="center"/>
    </xf>
    <xf numFmtId="17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102" applyFill="1" applyAlignment="1">
      <alignment vertical="center"/>
    </xf>
    <xf numFmtId="0" fontId="10" fillId="2" borderId="15" xfId="102" applyFill="1" applyBorder="1" applyAlignment="1">
      <alignment horizontal="center" vertical="center"/>
    </xf>
    <xf numFmtId="0" fontId="24" fillId="2" borderId="0" xfId="102" applyFont="1" applyFill="1" applyAlignment="1">
      <alignment horizontal="left" vertical="center"/>
    </xf>
    <xf numFmtId="0" fontId="24" fillId="2" borderId="0" xfId="102" applyFont="1" applyFill="1" applyAlignment="1">
      <alignment vertical="center"/>
    </xf>
    <xf numFmtId="14" fontId="10" fillId="2" borderId="0" xfId="102" applyNumberFormat="1" applyFill="1" applyAlignment="1">
      <alignment horizontal="center" vertical="center"/>
    </xf>
    <xf numFmtId="8" fontId="10" fillId="2" borderId="0" xfId="102" applyNumberFormat="1" applyFill="1" applyAlignment="1">
      <alignment vertical="center"/>
    </xf>
    <xf numFmtId="8" fontId="24" fillId="2" borderId="17" xfId="0" applyNumberFormat="1" applyFont="1" applyFill="1" applyBorder="1" applyAlignment="1">
      <alignment vertical="center"/>
    </xf>
    <xf numFmtId="8" fontId="0" fillId="2" borderId="0" xfId="0" applyNumberFormat="1" applyFill="1" applyAlignment="1">
      <alignment vertical="center"/>
    </xf>
    <xf numFmtId="1" fontId="2" fillId="2" borderId="1" xfId="0" applyNumberFormat="1" applyFont="1" applyFill="1" applyBorder="1" applyAlignment="1">
      <alignment horizontal="center"/>
    </xf>
    <xf numFmtId="179" fontId="0" fillId="0" borderId="0" xfId="0" applyNumberFormat="1"/>
    <xf numFmtId="179" fontId="2" fillId="0" borderId="1" xfId="0" applyNumberFormat="1" applyFont="1" applyBorder="1"/>
    <xf numFmtId="177" fontId="0" fillId="0" borderId="0" xfId="0" applyNumberFormat="1" applyAlignment="1">
      <alignment horizontal="center"/>
    </xf>
    <xf numFmtId="179" fontId="0" fillId="0" borderId="20" xfId="0" applyNumberFormat="1" applyBorder="1"/>
    <xf numFmtId="179" fontId="0" fillId="2" borderId="0" xfId="0" applyNumberFormat="1" applyFill="1"/>
    <xf numFmtId="179" fontId="0" fillId="2" borderId="20" xfId="0" applyNumberFormat="1" applyFill="1" applyBorder="1"/>
    <xf numFmtId="175" fontId="2" fillId="0" borderId="1" xfId="0" applyNumberFormat="1" applyFont="1" applyBorder="1" applyAlignment="1">
      <alignment horizontal="center"/>
    </xf>
    <xf numFmtId="1" fontId="0" fillId="0" borderId="0" xfId="0" applyNumberFormat="1"/>
    <xf numFmtId="0" fontId="29" fillId="0" borderId="0" xfId="102" applyFont="1" applyAlignment="1">
      <alignment horizontal="center" vertical="center"/>
    </xf>
    <xf numFmtId="178" fontId="0" fillId="0" borderId="0" xfId="0" applyNumberFormat="1" applyAlignment="1">
      <alignment horizontal="center"/>
    </xf>
    <xf numFmtId="8" fontId="0" fillId="0" borderId="26" xfId="0" applyNumberFormat="1" applyBorder="1"/>
    <xf numFmtId="8" fontId="24" fillId="0" borderId="12" xfId="102" applyNumberFormat="1" applyFont="1" applyBorder="1" applyAlignment="1">
      <alignment horizontal="center" vertical="center"/>
    </xf>
    <xf numFmtId="0" fontId="24" fillId="0" borderId="13" xfId="102" applyFont="1" applyBorder="1" applyAlignment="1">
      <alignment horizontal="center" vertical="center"/>
    </xf>
  </cellXfs>
  <cellStyles count="145">
    <cellStyle name="20% - Colore 1" xfId="1" xr:uid="{00000000-0005-0000-0000-000000000000}"/>
    <cellStyle name="20% - Colore 2" xfId="2" xr:uid="{00000000-0005-0000-0000-000001000000}"/>
    <cellStyle name="20% - Colore 3" xfId="3" xr:uid="{00000000-0005-0000-0000-000002000000}"/>
    <cellStyle name="20% - Colore 4" xfId="4" xr:uid="{00000000-0005-0000-0000-000003000000}"/>
    <cellStyle name="20% - Colore 5" xfId="5" xr:uid="{00000000-0005-0000-0000-000004000000}"/>
    <cellStyle name="20% - Colore 6" xfId="6" xr:uid="{00000000-0005-0000-0000-000005000000}"/>
    <cellStyle name="20% - Ênfase1" xfId="7" xr:uid="{00000000-0005-0000-0000-000006000000}"/>
    <cellStyle name="20% - Ênfase1 2" xfId="8" xr:uid="{00000000-0005-0000-0000-000007000000}"/>
    <cellStyle name="20% - Ênfase2" xfId="9" xr:uid="{00000000-0005-0000-0000-000008000000}"/>
    <cellStyle name="20% - Ênfase2 2" xfId="10" xr:uid="{00000000-0005-0000-0000-000009000000}"/>
    <cellStyle name="20% - Ênfase3" xfId="11" xr:uid="{00000000-0005-0000-0000-00000A000000}"/>
    <cellStyle name="20% - Ênfase3 2" xfId="12" xr:uid="{00000000-0005-0000-0000-00000B000000}"/>
    <cellStyle name="20% - Ênfase4" xfId="13" xr:uid="{00000000-0005-0000-0000-00000C000000}"/>
    <cellStyle name="20% - Ênfase4 2" xfId="14" xr:uid="{00000000-0005-0000-0000-00000D000000}"/>
    <cellStyle name="20% - Ênfase5" xfId="15" xr:uid="{00000000-0005-0000-0000-00000E000000}"/>
    <cellStyle name="20% - Ênfase5 2" xfId="16" xr:uid="{00000000-0005-0000-0000-00000F000000}"/>
    <cellStyle name="20% - Ênfase6" xfId="17" xr:uid="{00000000-0005-0000-0000-000010000000}"/>
    <cellStyle name="20% - Ênfase6 2" xfId="18" xr:uid="{00000000-0005-0000-0000-000011000000}"/>
    <cellStyle name="40% - Colore 1" xfId="19" xr:uid="{00000000-0005-0000-0000-000012000000}"/>
    <cellStyle name="40% - Colore 2" xfId="20" xr:uid="{00000000-0005-0000-0000-000013000000}"/>
    <cellStyle name="40% - Colore 3" xfId="21" xr:uid="{00000000-0005-0000-0000-000014000000}"/>
    <cellStyle name="40% - Colore 4" xfId="22" xr:uid="{00000000-0005-0000-0000-000015000000}"/>
    <cellStyle name="40% - Colore 5" xfId="23" xr:uid="{00000000-0005-0000-0000-000016000000}"/>
    <cellStyle name="40% - Colore 6" xfId="24" xr:uid="{00000000-0005-0000-0000-000017000000}"/>
    <cellStyle name="40% - Ênfase1" xfId="25" xr:uid="{00000000-0005-0000-0000-000018000000}"/>
    <cellStyle name="40% - Ênfase1 2" xfId="26" xr:uid="{00000000-0005-0000-0000-000019000000}"/>
    <cellStyle name="40% - Ênfase2" xfId="27" xr:uid="{00000000-0005-0000-0000-00001A000000}"/>
    <cellStyle name="40% - Ênfase2 2" xfId="28" xr:uid="{00000000-0005-0000-0000-00001B000000}"/>
    <cellStyle name="40% - Ênfase3" xfId="29" xr:uid="{00000000-0005-0000-0000-00001C000000}"/>
    <cellStyle name="40% - Ênfase3 2" xfId="30" xr:uid="{00000000-0005-0000-0000-00001D000000}"/>
    <cellStyle name="40% - Ênfase4" xfId="31" xr:uid="{00000000-0005-0000-0000-00001E000000}"/>
    <cellStyle name="40% - Ênfase4 2" xfId="32" xr:uid="{00000000-0005-0000-0000-00001F000000}"/>
    <cellStyle name="40% - Ênfase5" xfId="33" xr:uid="{00000000-0005-0000-0000-000020000000}"/>
    <cellStyle name="40% - Ênfase5 2" xfId="34" xr:uid="{00000000-0005-0000-0000-000021000000}"/>
    <cellStyle name="40% - Ênfase6" xfId="35" xr:uid="{00000000-0005-0000-0000-000022000000}"/>
    <cellStyle name="40% - Ênfase6 2" xfId="36" xr:uid="{00000000-0005-0000-0000-000023000000}"/>
    <cellStyle name="60% - Colore 1" xfId="37" xr:uid="{00000000-0005-0000-0000-000024000000}"/>
    <cellStyle name="60% - Colore 2" xfId="38" xr:uid="{00000000-0005-0000-0000-000025000000}"/>
    <cellStyle name="60% - Colore 3" xfId="39" xr:uid="{00000000-0005-0000-0000-000026000000}"/>
    <cellStyle name="60% - Colore 4" xfId="40" xr:uid="{00000000-0005-0000-0000-000027000000}"/>
    <cellStyle name="60% - Colore 5" xfId="41" xr:uid="{00000000-0005-0000-0000-000028000000}"/>
    <cellStyle name="60% - Colore 6" xfId="42" xr:uid="{00000000-0005-0000-0000-000029000000}"/>
    <cellStyle name="60% - Ênfase1" xfId="43" xr:uid="{00000000-0005-0000-0000-00002A000000}"/>
    <cellStyle name="60% - Ênfase1 2" xfId="44" xr:uid="{00000000-0005-0000-0000-00002B000000}"/>
    <cellStyle name="60% - Ênfase2" xfId="45" xr:uid="{00000000-0005-0000-0000-00002C000000}"/>
    <cellStyle name="60% - Ênfase2 2" xfId="46" xr:uid="{00000000-0005-0000-0000-00002D000000}"/>
    <cellStyle name="60% - Ênfase3" xfId="47" xr:uid="{00000000-0005-0000-0000-00002E000000}"/>
    <cellStyle name="60% - Ênfase3 2" xfId="48" xr:uid="{00000000-0005-0000-0000-00002F000000}"/>
    <cellStyle name="60% - Ênfase4" xfId="49" xr:uid="{00000000-0005-0000-0000-000030000000}"/>
    <cellStyle name="60% - Ênfase4 2" xfId="50" xr:uid="{00000000-0005-0000-0000-000031000000}"/>
    <cellStyle name="60% - Ênfase5" xfId="51" xr:uid="{00000000-0005-0000-0000-000032000000}"/>
    <cellStyle name="60% - Ênfase5 2" xfId="52" xr:uid="{00000000-0005-0000-0000-000033000000}"/>
    <cellStyle name="60% - Ênfase6" xfId="53" xr:uid="{00000000-0005-0000-0000-000034000000}"/>
    <cellStyle name="60% - Ênfase6 2" xfId="54" xr:uid="{00000000-0005-0000-0000-000035000000}"/>
    <cellStyle name="Bom" xfId="55" xr:uid="{00000000-0005-0000-0000-000036000000}"/>
    <cellStyle name="Bom 2" xfId="56" xr:uid="{00000000-0005-0000-0000-000037000000}"/>
    <cellStyle name="Calcolo" xfId="57" xr:uid="{00000000-0005-0000-0000-000038000000}"/>
    <cellStyle name="Cálculo" xfId="58" xr:uid="{00000000-0005-0000-0000-000039000000}"/>
    <cellStyle name="Cálculo 2" xfId="59" xr:uid="{00000000-0005-0000-0000-00003A000000}"/>
    <cellStyle name="cBMilliers" xfId="60" xr:uid="{00000000-0005-0000-0000-00003B000000}"/>
    <cellStyle name="cBMilliers-" xfId="61" xr:uid="{00000000-0005-0000-0000-00003C000000}"/>
    <cellStyle name="Cella collegata" xfId="62" xr:uid="{00000000-0005-0000-0000-00003D000000}"/>
    <cellStyle name="Cella da controllare" xfId="63" xr:uid="{00000000-0005-0000-0000-00003E000000}"/>
    <cellStyle name="Célula de Verificação" xfId="64" xr:uid="{00000000-0005-0000-0000-00003F000000}"/>
    <cellStyle name="Célula de Verificação 2" xfId="65" xr:uid="{00000000-0005-0000-0000-000040000000}"/>
    <cellStyle name="Célula Vinculada" xfId="66" xr:uid="{00000000-0005-0000-0000-000041000000}"/>
    <cellStyle name="Célula Vinculada 2" xfId="67" xr:uid="{00000000-0005-0000-0000-000042000000}"/>
    <cellStyle name="Colore 1" xfId="68" xr:uid="{00000000-0005-0000-0000-000043000000}"/>
    <cellStyle name="Colore 2" xfId="69" xr:uid="{00000000-0005-0000-0000-000044000000}"/>
    <cellStyle name="Colore 3" xfId="70" xr:uid="{00000000-0005-0000-0000-000045000000}"/>
    <cellStyle name="Colore 4" xfId="71" xr:uid="{00000000-0005-0000-0000-000046000000}"/>
    <cellStyle name="Colore 5" xfId="72" xr:uid="{00000000-0005-0000-0000-000047000000}"/>
    <cellStyle name="Colore 6" xfId="73" xr:uid="{00000000-0005-0000-0000-000048000000}"/>
    <cellStyle name="Comma 2" xfId="74" xr:uid="{00000000-0005-0000-0000-000049000000}"/>
    <cellStyle name="Comma 3" xfId="75" xr:uid="{00000000-0005-0000-0000-00004A000000}"/>
    <cellStyle name="Comma 4" xfId="76" xr:uid="{00000000-0005-0000-0000-00004B000000}"/>
    <cellStyle name="Currency 2" xfId="77" xr:uid="{00000000-0005-0000-0000-00004C000000}"/>
    <cellStyle name="Currency 3" xfId="78" xr:uid="{00000000-0005-0000-0000-00004D000000}"/>
    <cellStyle name="Currency 4" xfId="79" xr:uid="{00000000-0005-0000-0000-00004E000000}"/>
    <cellStyle name="Currency 5" xfId="80" xr:uid="{00000000-0005-0000-0000-00004F000000}"/>
    <cellStyle name="Ênfase1" xfId="81" xr:uid="{00000000-0005-0000-0000-000050000000}"/>
    <cellStyle name="Ênfase1 2" xfId="82" xr:uid="{00000000-0005-0000-0000-000051000000}"/>
    <cellStyle name="Ênfase2" xfId="83" xr:uid="{00000000-0005-0000-0000-000052000000}"/>
    <cellStyle name="Ênfase2 2" xfId="84" xr:uid="{00000000-0005-0000-0000-000053000000}"/>
    <cellStyle name="Ênfase3" xfId="85" xr:uid="{00000000-0005-0000-0000-000054000000}"/>
    <cellStyle name="Ênfase3 2" xfId="86" xr:uid="{00000000-0005-0000-0000-000055000000}"/>
    <cellStyle name="Ênfase4" xfId="87" xr:uid="{00000000-0005-0000-0000-000056000000}"/>
    <cellStyle name="Ênfase4 2" xfId="88" xr:uid="{00000000-0005-0000-0000-000057000000}"/>
    <cellStyle name="Ênfase5" xfId="89" xr:uid="{00000000-0005-0000-0000-000058000000}"/>
    <cellStyle name="Ênfase5 2" xfId="90" xr:uid="{00000000-0005-0000-0000-000059000000}"/>
    <cellStyle name="Ênfase6" xfId="91" xr:uid="{00000000-0005-0000-0000-00005A000000}"/>
    <cellStyle name="Ênfase6 2" xfId="92" xr:uid="{00000000-0005-0000-0000-00005B000000}"/>
    <cellStyle name="Entrada" xfId="93" xr:uid="{00000000-0005-0000-0000-00005C000000}"/>
    <cellStyle name="Entrada 2" xfId="94" xr:uid="{00000000-0005-0000-0000-00005D000000}"/>
    <cellStyle name="Euro" xfId="95" xr:uid="{00000000-0005-0000-0000-00005E000000}"/>
    <cellStyle name="Euro 2" xfId="96" xr:uid="{00000000-0005-0000-0000-00005F000000}"/>
    <cellStyle name="Incorreto" xfId="97" xr:uid="{00000000-0005-0000-0000-000060000000}"/>
    <cellStyle name="Incorreto 2" xfId="98" xr:uid="{00000000-0005-0000-0000-000061000000}"/>
    <cellStyle name="Neutra" xfId="99" xr:uid="{00000000-0005-0000-0000-000062000000}"/>
    <cellStyle name="Neutra 2" xfId="100" xr:uid="{00000000-0005-0000-0000-000063000000}"/>
    <cellStyle name="Neutrale" xfId="101" xr:uid="{00000000-0005-0000-0000-000064000000}"/>
    <cellStyle name="Normal 2" xfId="102" xr:uid="{00000000-0005-0000-0000-000066000000}"/>
    <cellStyle name="Normal 2 2" xfId="103" xr:uid="{00000000-0005-0000-0000-000067000000}"/>
    <cellStyle name="Normal 2 2 2" xfId="104" xr:uid="{00000000-0005-0000-0000-000068000000}"/>
    <cellStyle name="Normal 2 3" xfId="105" xr:uid="{00000000-0005-0000-0000-000069000000}"/>
    <cellStyle name="Normal 3" xfId="106" xr:uid="{00000000-0005-0000-0000-00006A000000}"/>
    <cellStyle name="Normal 3 2" xfId="107" xr:uid="{00000000-0005-0000-0000-00006B000000}"/>
    <cellStyle name="Normal 4" xfId="108" xr:uid="{00000000-0005-0000-0000-00006C000000}"/>
    <cellStyle name="Normal 5" xfId="109" xr:uid="{00000000-0005-0000-0000-00006D000000}"/>
    <cellStyle name="Normal 6" xfId="110" xr:uid="{00000000-0005-0000-0000-00006E000000}"/>
    <cellStyle name="Normal 6 2" xfId="111" xr:uid="{00000000-0005-0000-0000-00006F000000}"/>
    <cellStyle name="Normale" xfId="0" builtinId="0"/>
    <cellStyle name="Normale 2" xfId="112" xr:uid="{00000000-0005-0000-0000-000070000000}"/>
    <cellStyle name="Normale 3" xfId="113" xr:uid="{00000000-0005-0000-0000-000071000000}"/>
    <cellStyle name="Nota" xfId="114" xr:uid="{00000000-0005-0000-0000-000072000000}"/>
    <cellStyle name="Nota 2" xfId="115" xr:uid="{00000000-0005-0000-0000-000073000000}"/>
    <cellStyle name="Nota 2 2" xfId="116" xr:uid="{00000000-0005-0000-0000-000074000000}"/>
    <cellStyle name="Percent 2" xfId="117" xr:uid="{00000000-0005-0000-0000-000075000000}"/>
    <cellStyle name="Percentuale 2" xfId="118" xr:uid="{00000000-0005-0000-0000-000076000000}"/>
    <cellStyle name="Saída" xfId="119" xr:uid="{00000000-0005-0000-0000-000077000000}"/>
    <cellStyle name="Saída 2" xfId="120" xr:uid="{00000000-0005-0000-0000-000078000000}"/>
    <cellStyle name="Testo avviso" xfId="121" xr:uid="{00000000-0005-0000-0000-000079000000}"/>
    <cellStyle name="Testo descrittivo" xfId="122" xr:uid="{00000000-0005-0000-0000-00007A000000}"/>
    <cellStyle name="Texto de Aviso" xfId="123" xr:uid="{00000000-0005-0000-0000-00007B000000}"/>
    <cellStyle name="Texto de Aviso 2" xfId="124" xr:uid="{00000000-0005-0000-0000-00007C000000}"/>
    <cellStyle name="Texto Explicativo" xfId="125" xr:uid="{00000000-0005-0000-0000-00007D000000}"/>
    <cellStyle name="Texto Explicativo 2" xfId="126" xr:uid="{00000000-0005-0000-0000-00007E000000}"/>
    <cellStyle name="Titolo" xfId="127" xr:uid="{00000000-0005-0000-0000-00007F000000}"/>
    <cellStyle name="Titolo 1" xfId="128" xr:uid="{00000000-0005-0000-0000-000080000000}"/>
    <cellStyle name="Titolo 2" xfId="129" xr:uid="{00000000-0005-0000-0000-000081000000}"/>
    <cellStyle name="Titolo 3" xfId="130" xr:uid="{00000000-0005-0000-0000-000082000000}"/>
    <cellStyle name="Titolo 4" xfId="131" xr:uid="{00000000-0005-0000-0000-000083000000}"/>
    <cellStyle name="Título" xfId="132" xr:uid="{00000000-0005-0000-0000-000084000000}"/>
    <cellStyle name="Título 1" xfId="133" xr:uid="{00000000-0005-0000-0000-000085000000}"/>
    <cellStyle name="Título 1 2" xfId="134" xr:uid="{00000000-0005-0000-0000-000086000000}"/>
    <cellStyle name="Título 2" xfId="135" xr:uid="{00000000-0005-0000-0000-000087000000}"/>
    <cellStyle name="Título 2 2" xfId="136" xr:uid="{00000000-0005-0000-0000-000088000000}"/>
    <cellStyle name="Título 3" xfId="137" xr:uid="{00000000-0005-0000-0000-000089000000}"/>
    <cellStyle name="Título 3 2" xfId="138" xr:uid="{00000000-0005-0000-0000-00008A000000}"/>
    <cellStyle name="Título 4" xfId="139" xr:uid="{00000000-0005-0000-0000-00008B000000}"/>
    <cellStyle name="Título 4 2" xfId="140" xr:uid="{00000000-0005-0000-0000-00008C000000}"/>
    <cellStyle name="Título 5" xfId="141" xr:uid="{00000000-0005-0000-0000-00008D000000}"/>
    <cellStyle name="Total 2" xfId="142" xr:uid="{00000000-0005-0000-0000-00008E000000}"/>
    <cellStyle name="Valore non valido" xfId="143" xr:uid="{00000000-0005-0000-0000-00008F000000}"/>
    <cellStyle name="Valore valido" xfId="144" xr:uid="{00000000-0005-0000-0000-000090000000}"/>
  </cellStyles>
  <dxfs count="7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right"/>
    </dxf>
    <dxf>
      <numFmt numFmtId="171" formatCode="#,##0_ ;[Red]\-#,##0\ 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border>
        <horizontal/>
      </border>
    </dxf>
    <dxf>
      <alignment horizontal="center"/>
    </dxf>
    <dxf>
      <alignment horizontal="center"/>
    </dxf>
    <dxf>
      <border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RASILE%20-%20SOMBRA%20RESORT\SOMBRA%20RESORT%20SARL%20-%20LUXEMBOURG\Advanced%20Expenses%20-%20Tubia%20Edoardo.xlsx" TargetMode="External"/><Relationship Id="rId1" Type="http://schemas.openxmlformats.org/officeDocument/2006/relationships/externalLinkPath" Target="Advanced%20Expenses%20-%20Tubia%20Edoar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 Advanced Expenses"/>
      <sheetName val="NEW Advanced Expenses"/>
    </sheetNames>
    <sheetDataSet>
      <sheetData sheetId="0">
        <row r="99">
          <cell r="J99">
            <v>-3081.75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oardo" refreshedDate="46217.822867592593" createdVersion="4" refreshedVersion="8" minRefreshableVersion="3" recordCount="318" xr:uid="{00000000-000A-0000-FFFF-FFFF00000000}">
  <cacheSource type="worksheet">
    <worksheetSource ref="A1:Z326" sheet="COMPTAB"/>
  </cacheSource>
  <cacheFields count="26">
    <cacheField name="data" numFmtId="14">
      <sharedItems containsNonDate="0" containsDate="1" containsString="0" containsBlank="1" minDate="2021-10-11T00:00:00" maxDate="2026-07-10T00:00:00"/>
    </cacheField>
    <cacheField name="valuta " numFmtId="14">
      <sharedItems containsNonDate="0" containsDate="1" containsString="0" containsBlank="1" minDate="2021-10-11T00:00:00" maxDate="2026-07-10T00:00:00"/>
    </cacheField>
    <cacheField name="Mese" numFmtId="1">
      <sharedItems containsString="0" containsBlank="1" containsNumber="1" containsInteger="1" minValue="1" maxValue="12"/>
    </cacheField>
    <cacheField name="anno" numFmtId="1">
      <sharedItems containsString="0" containsBlank="1" containsNumber="1" containsInteger="1" minValue="2021" maxValue="2026" count="7">
        <n v="2021"/>
        <n v="2022"/>
        <n v="2023"/>
        <n v="2024"/>
        <n v="2025"/>
        <n v="2026"/>
        <m/>
      </sharedItems>
    </cacheField>
    <cacheField name="R$" numFmtId="0">
      <sharedItems containsString="0" containsBlank="1" containsNumber="1" containsInteger="1" minValue="-62000" maxValue="-62000"/>
    </cacheField>
    <cacheField name="USD" numFmtId="175">
      <sharedItems containsString="0" containsBlank="1" containsNumber="1" minValue="-3081.75" maxValue="-3081.75"/>
    </cacheField>
    <cacheField name="Change" numFmtId="0">
      <sharedItems containsString="0" containsBlank="1" containsNumber="1" minValue="1.0762" maxValue="6.2"/>
    </cacheField>
    <cacheField name="INTR" numFmtId="0">
      <sharedItems containsBlank="1"/>
    </cacheField>
    <cacheField name="Imp" numFmtId="8">
      <sharedItems containsString="0" containsBlank="1" containsNumber="1" minValue="-4000" maxValue="2500"/>
    </cacheField>
    <cacheField name="% TVA" numFmtId="10">
      <sharedItems containsString="0" containsBlank="1" containsNumber="1" minValue="0" maxValue="0.17"/>
    </cacheField>
    <cacheField name="TVA" numFmtId="8">
      <sharedItems containsString="0" containsBlank="1" containsNumber="1" minValue="-680" maxValue="0"/>
    </cacheField>
    <cacheField name="Importo" numFmtId="0">
      <sharedItems containsString="0" containsBlank="1" containsNumber="1" minValue="-1004968.24" maxValue="1004968.24"/>
    </cacheField>
    <cacheField name="Progressivo" numFmtId="8">
      <sharedItems containsString="0" containsBlank="1" containsNumber="1" minValue="-127711.50260000001" maxValue="1004968.24"/>
    </cacheField>
    <cacheField name="Casa" numFmtId="8">
      <sharedItems containsBlank="1" count="10">
        <m/>
        <s v="A"/>
        <s v="B"/>
        <s v="D"/>
        <s v="E"/>
        <s v="F"/>
        <s v="G"/>
        <s v="H"/>
        <s v="I"/>
        <s v="C"/>
      </sharedItems>
    </cacheField>
    <cacheField name="Az" numFmtId="171">
      <sharedItems containsString="0" containsBlank="1" containsNumber="1" containsInteger="1" minValue="-2036" maxValue="2245"/>
    </cacheField>
    <cacheField name="B/P" numFmtId="0">
      <sharedItems containsBlank="1" count="3">
        <s v="BIL"/>
        <s v="PP"/>
        <m/>
      </sharedItems>
    </cacheField>
    <cacheField name="A/P C/R" numFmtId="0">
      <sharedItems containsBlank="1"/>
    </cacheField>
    <cacheField name="CLASSE" numFmtId="0">
      <sharedItems containsBlank="1"/>
    </cacheField>
    <cacheField name="TIPOLOGIA" numFmtId="0">
      <sharedItems containsBlank="1"/>
    </cacheField>
    <cacheField name="Type" numFmtId="0">
      <sharedItems containsBlank="1"/>
    </cacheField>
    <cacheField name="descrizione" numFmtId="0">
      <sharedItems containsBlank="1"/>
    </cacheField>
    <cacheField name="Ordinante" numFmtId="0">
      <sharedItems containsBlank="1" count="78">
        <s v="2330010 - Participations - Sombra"/>
        <s v="Sombra e Agua Fresca Resort Sàrl"/>
        <s v="5131000 - Banques et CCP: Olky"/>
        <s v="4712101 - Oliveira Da Costa Christine"/>
        <s v="4712102 - Liesen Jens"/>
        <s v="4712103 - Vignolle Giorgio"/>
        <s v="4712104 - Vignolle Gabriel"/>
        <s v="4712105 - Vignolle Matteo"/>
        <s v="4712106 - Raggi Giancarlo"/>
        <s v="4712107 - Lambert Ingrid"/>
        <s v="4712108 - Tubia Enrico"/>
        <s v="4712109 - Tubia Edoardo"/>
        <s v="4712110 - Tubia Silvia"/>
        <s v="4712111 - Hemawiti Susik"/>
        <s v="4712112 - New Life Sàrl"/>
        <s v="4712113 - Barbancey Michel"/>
        <s v="Fournisseurs"/>
        <s v="4718001 - Autres dettes diverses - Tubia Edoardo"/>
        <s v="Autres Réserves disponibles"/>
        <s v="Perte de l'exercise"/>
        <s v="10 Tubia Silvia"/>
        <s v="07 Raggi Giancarlo"/>
        <s v="13 New Life Sàrl"/>
        <s v="11 Tubia Edoardo"/>
        <s v="12 Hemawiti Susik"/>
        <s v="09 Tubia Enrico"/>
        <s v="01 Oliveira Da Costa Christine"/>
        <s v="02 Liesen Jens"/>
        <s v="05 Vignolle Giorgio"/>
        <s v="04 Vignolle Matteo"/>
        <s v="03 Vignolle Gabriel"/>
        <s v="14 Barbancey Michel"/>
        <s v="08 Lambert Ingrid"/>
        <s v="Olkypay Bank"/>
        <s v="Baguenier Henri"/>
        <s v="06 Cofre Luxembourg Wind SA"/>
        <s v="Notaire Martine Schaeffer"/>
        <s v="4712114 - Cofre Luxembourg Wind SA"/>
        <s v="Administration des Contributions"/>
        <s v="ABC Translations"/>
        <s v="Ministère des Affaires Etrangeres et Européennes"/>
        <s v="Arias, Fabrega &amp; Fabrega Trust Co. BVI Ltd"/>
        <s v="UPS Luxembourg (payé Tubia edoardo)"/>
        <s v="Chambre de Commerce - Luxembourg"/>
        <s v="1412000 - Résultats reportés (affectés)"/>
        <s v="CUSTOM SA"/>
        <s v="4214300 - Impôt sur la Fortune (IF)"/>
        <s v="R.C.S. Luxembourg"/>
        <s v="Franco Toscano"/>
        <s v="Revolut"/>
        <m/>
        <s v="Tubia Edoardo" u="1"/>
        <s v="Barbancey Michel" u="1"/>
        <s v="Tubia Silvia" u="1"/>
        <s v="Michel Barbancey" u="1"/>
        <s v="Liesen Jens" u="1"/>
        <s v="Hemawiti Susik" u="1"/>
        <s v="Oliveira Da Costa Christine" u="1"/>
        <s v="Matteo Vignolle" u="1"/>
        <s v="Ingrid Lambert" u="1"/>
        <s v="Cofre Luxembourg Wind SA" u="1"/>
        <s v="Vignolle Giorgio" u="1"/>
        <s v="Susik Hemawiti" u="1"/>
        <s v="Jens Liesen" u="1"/>
        <s v="Silvia Tubia" u="1"/>
        <s v="Henri Baguenier" u="1"/>
        <s v="Vignolle Gabriel" u="1"/>
        <s v="New Life Sàrl" u="1"/>
        <s v="Giorgio Vignolle" u="1"/>
        <s v="Tubia Enrico" u="1"/>
        <s v="Giancarlo Raggi" u="1"/>
        <s v="Edoardo Tubia" u="1"/>
        <s v="Christine Oliveira" u="1"/>
        <s v="Gabriel Vignolle" u="1"/>
        <s v="Vignolle Matteo" u="1"/>
        <s v="Lambert Ingrid" u="1"/>
        <s v="Enrico Tubia" u="1"/>
        <s v="Raggi Giancarlo" u="1"/>
      </sharedItems>
    </cacheField>
    <cacheField name="BANK" numFmtId="0">
      <sharedItems containsBlank="1"/>
    </cacheField>
    <cacheField name="Origine" numFmtId="0">
      <sharedItems containsBlank="1"/>
    </cacheField>
    <cacheField name="Competence" numFmtId="0">
      <sharedItems containsString="0" containsBlank="1" containsNumber="1" containsInteger="1" minValue="2022" maxValue="2026"/>
    </cacheField>
    <cacheField name="TVA V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sateur" refreshedDate="46242.337745949073" createdVersion="6" refreshedVersion="8" minRefreshableVersion="3" recordCount="318" xr:uid="{00000000-000A-0000-FFFF-FFFF0D000000}">
  <cacheSource type="worksheet">
    <worksheetSource ref="A1:Z325" sheet="COMPTAB"/>
  </cacheSource>
  <cacheFields count="26">
    <cacheField name="data" numFmtId="14">
      <sharedItems containsNonDate="0" containsDate="1" containsString="0" containsBlank="1" minDate="2021-10-11T00:00:00" maxDate="2026-08-10T00:00:00"/>
    </cacheField>
    <cacheField name="valuta " numFmtId="14">
      <sharedItems containsNonDate="0" containsDate="1" containsString="0" containsBlank="1" minDate="2021-10-11T00:00:00" maxDate="2026-08-10T00:00:00"/>
    </cacheField>
    <cacheField name="Mese" numFmtId="1">
      <sharedItems containsString="0" containsBlank="1" containsNumber="1" containsInteger="1" minValue="1" maxValue="12"/>
    </cacheField>
    <cacheField name="anno" numFmtId="1">
      <sharedItems containsString="0" containsBlank="1" containsNumber="1" containsInteger="1" minValue="2021" maxValue="2026" count="7">
        <n v="2021"/>
        <n v="2022"/>
        <n v="2023"/>
        <n v="2024"/>
        <n v="2025"/>
        <n v="2026"/>
        <m/>
      </sharedItems>
    </cacheField>
    <cacheField name="R$" numFmtId="0">
      <sharedItems containsString="0" containsBlank="1" containsNumber="1" containsInteger="1" minValue="-62000" maxValue="-62000"/>
    </cacheField>
    <cacheField name="USD" numFmtId="175">
      <sharedItems containsString="0" containsBlank="1" containsNumber="1" minValue="-3081.75" maxValue="-3081.75"/>
    </cacheField>
    <cacheField name="Change" numFmtId="0">
      <sharedItems containsString="0" containsBlank="1" containsNumber="1" minValue="1.0762" maxValue="6.2"/>
    </cacheField>
    <cacheField name="INTR" numFmtId="0">
      <sharedItems containsBlank="1"/>
    </cacheField>
    <cacheField name="Imp" numFmtId="8">
      <sharedItems containsString="0" containsBlank="1" containsNumber="1" minValue="-4000" maxValue="2500"/>
    </cacheField>
    <cacheField name="% TVA" numFmtId="10">
      <sharedItems containsString="0" containsBlank="1" containsNumber="1" minValue="0" maxValue="0.17"/>
    </cacheField>
    <cacheField name="TVA" numFmtId="8">
      <sharedItems containsString="0" containsBlank="1" containsNumber="1" minValue="-680" maxValue="0"/>
    </cacheField>
    <cacheField name="Importo" numFmtId="8">
      <sharedItems containsString="0" containsBlank="1" containsNumber="1" minValue="-1004968.24" maxValue="1004968.24"/>
    </cacheField>
    <cacheField name="Progressivo" numFmtId="8">
      <sharedItems containsString="0" containsBlank="1" containsNumber="1" minValue="-127711.50260000001" maxValue="1004968.24"/>
    </cacheField>
    <cacheField name="Casa" numFmtId="8">
      <sharedItems containsBlank="1"/>
    </cacheField>
    <cacheField name="Az" numFmtId="171">
      <sharedItems containsString="0" containsBlank="1" containsNumber="1" containsInteger="1" minValue="-2036" maxValue="2245"/>
    </cacheField>
    <cacheField name="B/P" numFmtId="0">
      <sharedItems containsBlank="1" count="3">
        <s v="BIL"/>
        <s v="PP"/>
        <m/>
      </sharedItems>
    </cacheField>
    <cacheField name="A/P C/R" numFmtId="0">
      <sharedItems containsBlank="1" count="4">
        <s v="ACTIF"/>
        <s v="CAPITAUX PROPRES ET PASSIF"/>
        <s v="COSTS"/>
        <m/>
      </sharedItems>
    </cacheField>
    <cacheField name="CLASSE" numFmtId="0">
      <sharedItems containsBlank="1" count="7">
        <s v="C. ACTIF IMMOBILISE'"/>
        <s v="D. ACTIF CIRCULANT"/>
        <s v="C. DETTES"/>
        <s v="A. CAPITAUX PROPRES"/>
        <m/>
        <s v="IMPOT FORTUNE"/>
        <s v="DETTES"/>
      </sharedItems>
    </cacheField>
    <cacheField name="TIPOLOGIA" numFmtId="0">
      <sharedItems containsBlank="1" count="27">
        <s v="III. Immobilisations Financières"/>
        <s v="IV. Avoirs en Banques et CCP: Olky"/>
        <s v="SHAREHOLDERS LOANS"/>
        <s v="4411100 - Fournisseurs"/>
        <s v="Divers"/>
        <s v="4411200 - Fournisseurs - Factures non parvenues"/>
        <s v="4718001 - Autres dettes diverses - Tubia Edoardo"/>
        <s v="Tubia Edoardo"/>
        <s v="IV. RESERVES"/>
        <s v="VI. Résultats de l'exercise"/>
        <s v="I. CAPITAL SOUSCRIT"/>
        <s v="6133300 - FRAIS DE COMPTES ET COMMISSIONS BANCAIRES"/>
        <s v="6134100 - HONORAIRES JURIDIQUES, DE CONTENTIEUX ET ASSIMILES"/>
        <s v="6811000 - IF - EXERCICE COURANT"/>
        <s v="6134800 - AUTRES HONORAIRES"/>
        <s v="6135000 - FRAIS D'ACTES NOTARIES ET ASSIMILES"/>
        <s v="6153100 - FRAIS POSTAUX"/>
        <s v="6187000 - COTISATIONS AUX ASSOCIATIONS PROFESSIONNELLES"/>
        <s v="4612320 - IF - dette fiscale à payer"/>
        <s v="V. Résultats reportés"/>
        <s v="6134200 - HONORAIRES COMPTABLES, FISCAUX, D'AUDIT ET ASSIMILES"/>
        <s v="II. Créances"/>
        <m/>
        <s v="1381000 - Autres Réserves disponibles" u="1"/>
        <s v="1010000 - CAPITAL SOUSCRIT" u="1"/>
        <s v="1412000 - Résultats reportés (affectés)" u="1"/>
        <s v="Résultats de l'exercise" u="1"/>
      </sharedItems>
    </cacheField>
    <cacheField name="Type" numFmtId="0">
      <sharedItems containsBlank="1" count="2">
        <m/>
        <s v="IMPOT FORTUNE"/>
      </sharedItems>
    </cacheField>
    <cacheField name="descrizione" numFmtId="0">
      <sharedItems containsBlank="1" count="34">
        <s v="Actif Immobilisé"/>
        <s v="Actif circulant"/>
        <s v="Financement Associés"/>
        <s v="Dettes"/>
        <s v="1381000 - Autres Réserves disponibles"/>
        <s v="Résultats de l'exercise"/>
        <s v="1010000 - Capital Souscrit"/>
        <s v="Commissions"/>
        <s v="Invoice Notaire Martine Schaeffer (via compte Custom SA)"/>
        <s v="Invoice Notaire Martine Schaeffer"/>
        <s v="Impôt Fortune 2022"/>
        <s v="Invoice ABC Translations"/>
        <s v="Impot Fortune Watergarden"/>
        <s v="Apostille sur documentation Ministère des Affaires Etrangeres et Européennes"/>
        <s v="Invoice Arias &amp; Fabrega (via compte BDL de Tubia Edoardo)"/>
        <s v="Invoice UPS"/>
        <s v="Cotisation 2022"/>
        <s v="Résultats reportés"/>
        <s v="Impôt Fortune 2023"/>
        <s v="Invoice CUSTOM (Assistance Transfert du Siège)"/>
        <s v="Invoice CUSTOM (Comptabilité 2022)"/>
        <s v="Impôt Fortune 2024"/>
        <s v="Regularisation Impôt Fortune 2023"/>
        <s v="Invoice CUSTOM (Comptabilité 2023)"/>
        <s v="Regularisation Impôt Fortune 2024"/>
        <s v="Frais d'extrait RCS"/>
        <s v="Impôt Fortune 2025"/>
        <s v="Invoice CUSTOM (Comptabilité 2024)"/>
        <s v="Cessione di Credito"/>
        <s v="Impôt Fortune 2026"/>
        <m/>
        <s v="Remborsement Financement Associés" u="1"/>
        <s v="Extourne Impot Fortune Watergarden" u="1"/>
        <s v="Remboursement Financement Associés" u="1"/>
      </sharedItems>
    </cacheField>
    <cacheField name="Ordinante" numFmtId="0">
      <sharedItems containsBlank="1" count="81">
        <s v="2330010 - Participations - Sombra"/>
        <s v="Sombra e Agua Fresca Resort Sàrl"/>
        <s v="5131000 - Banques et CCP: Olky"/>
        <s v="4712101 - Oliveira Da Costa Christine"/>
        <s v="4712102 - Liesen Jens"/>
        <s v="4712103 - Vignolle Giorgio"/>
        <s v="4712104 - Vignolle Gabriel"/>
        <s v="4712105 - Vignolle Matteo"/>
        <s v="4712106 - Raggi Giancarlo"/>
        <s v="4712107 - Lambert Ingrid"/>
        <s v="4712108 - Tubia Enrico"/>
        <s v="4712109 - Tubia Edoardo"/>
        <s v="4712110 - Tubia Silvia"/>
        <s v="4712111 - Hemawiti Susik"/>
        <s v="4712112 - New Life Sàrl"/>
        <s v="4712113 - Barbancey Michel"/>
        <s v="Fournisseurs"/>
        <s v="4718001 - Autres dettes diverses - Tubia Edoardo"/>
        <s v="Autres Réserves disponibles"/>
        <s v="Perte de l'exercise"/>
        <s v="10 Tubia Silvia"/>
        <s v="07 Raggi Giancarlo"/>
        <s v="13 New Life Sàrl"/>
        <s v="11 Tubia Edoardo"/>
        <s v="12 Hemawiti Susik"/>
        <s v="09 Tubia Enrico"/>
        <s v="01 Oliveira Da Costa Christine"/>
        <s v="02 Liesen Jens"/>
        <s v="05 Vignolle Giorgio"/>
        <s v="04 Vignolle Matteo"/>
        <s v="03 Vignolle Gabriel"/>
        <s v="14 Barbancey Michel"/>
        <s v="08 Lambert Ingrid"/>
        <s v="Olkypay Bank"/>
        <s v="Baguenier Henri"/>
        <s v="06 Cofre Luxembourg Wind SA"/>
        <s v="Notaire Martine Schaeffer"/>
        <s v="4712114 - Cofre Luxembourg Wind SA"/>
        <s v="Administration des Contributions"/>
        <s v="ABC Translations"/>
        <s v="Ministère des Affaires Etrangeres et Européennes"/>
        <s v="Arias, Fabrega &amp; Fabrega Trust Co. BVI Ltd"/>
        <s v="UPS Luxembourg (payé Tubia edoardo)"/>
        <s v="Chambre de Commerce - Luxembourg"/>
        <s v="1412000 - Résultats reportés (affectés)"/>
        <s v="CUSTOM SA"/>
        <s v="4214300 - Impôt sur la Fortune (IF)"/>
        <s v="R.C.S. Luxembourg"/>
        <s v="Franco Toscano"/>
        <s v="Revolut"/>
        <m/>
        <s v="Oliveira Da Costa Christine" u="1"/>
        <s v="Jens Liesen" u="1"/>
        <s v="Enrico Tubia" u="1"/>
        <s v="141200 - Résultats reportés (affectés)" u="1"/>
        <s v="Cofre Luxembourg Wind SA" u="1"/>
        <s v="New Life Sàrl" u="1"/>
        <s v="Christine Oliveira" u="1"/>
        <s v="Edoardo Tubia" u="1"/>
        <s v="Liesen Jens" u="1"/>
        <s v="Silvia Tubia" u="1"/>
        <s v="Barbancey Michel" u="1"/>
        <s v="Giorgio Vignolle" u="1"/>
        <s v="Tubia Silvia" u="1"/>
        <s v="Matteo Vignolle" u="1"/>
        <s v="Michel Barbancey" u="1"/>
        <s v="Tubia Enrico" u="1"/>
        <s v="Raggi Giancarlo" u="1"/>
        <s v="Hemawiti Susik" u="1"/>
        <s v="Giancarlo Raggi" u="1"/>
        <s v="Résultats reportés (affectés)" u="1"/>
        <s v="Henri Baguenier" u="1"/>
        <s v="Vignolle Matteo" u="1"/>
        <s v="CUSTOM" u="1"/>
        <s v="Vignolle Giorgio" u="1"/>
        <s v="Susik Hemawiti" u="1"/>
        <s v="Vignolle Gabriel" u="1"/>
        <s v="Tubia Edoardo" u="1"/>
        <s v="Gabriel Vignolle" u="1"/>
        <s v="Lambert Ingrid" u="1"/>
        <s v="Ingrid Lambert" u="1"/>
      </sharedItems>
    </cacheField>
    <cacheField name="BANK" numFmtId="0">
      <sharedItems containsBlank="1" count="3">
        <m/>
        <s v="Olkypay"/>
        <s v="Revolut"/>
      </sharedItems>
    </cacheField>
    <cacheField name="Origine" numFmtId="0">
      <sharedItems containsBlank="1"/>
    </cacheField>
    <cacheField name="Competence" numFmtId="0">
      <sharedItems containsString="0" containsBlank="1" containsNumber="1" containsInteger="1" minValue="2022" maxValue="2026" count="6">
        <m/>
        <n v="2022"/>
        <n v="2023"/>
        <n v="2024"/>
        <n v="2025"/>
        <n v="2026"/>
      </sharedItems>
    </cacheField>
    <cacheField name="TVA V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oardo" refreshedDate="46308.508805787038" createdVersion="8" refreshedVersion="8" minRefreshableVersion="3" recordCount="327" xr:uid="{C5C85FFC-F038-46D5-9E41-B55327A45595}">
  <cacheSource type="worksheet">
    <worksheetSource ref="A1:Z330" sheet="COMPTAB"/>
  </cacheSource>
  <cacheFields count="26">
    <cacheField name="data" numFmtId="14">
      <sharedItems containsNonDate="0" containsDate="1" containsString="0" containsBlank="1" minDate="2021-10-11T00:00:00" maxDate="2026-10-03T00:00:00"/>
    </cacheField>
    <cacheField name="valuta " numFmtId="14">
      <sharedItems containsNonDate="0" containsDate="1" containsString="0" containsBlank="1" minDate="2021-10-11T00:00:00" maxDate="2026-10-03T00:00:00"/>
    </cacheField>
    <cacheField name="Mese" numFmtId="1">
      <sharedItems containsString="0" containsBlank="1" containsNumber="1" containsInteger="1" minValue="1" maxValue="12"/>
    </cacheField>
    <cacheField name="anno" numFmtId="1">
      <sharedItems containsString="0" containsBlank="1" containsNumber="1" containsInteger="1" minValue="2021" maxValue="2026" count="7">
        <n v="2021"/>
        <n v="2022"/>
        <n v="2023"/>
        <n v="2024"/>
        <n v="2025"/>
        <n v="2026"/>
        <m/>
      </sharedItems>
    </cacheField>
    <cacheField name="R$" numFmtId="0">
      <sharedItems containsString="0" containsBlank="1" containsNumber="1" containsInteger="1" minValue="-62000" maxValue="-62000"/>
    </cacheField>
    <cacheField name="USD" numFmtId="175">
      <sharedItems containsString="0" containsBlank="1" containsNumber="1" minValue="-3081.75" maxValue="-3081.75"/>
    </cacheField>
    <cacheField name="Change" numFmtId="0">
      <sharedItems containsString="0" containsBlank="1" containsNumber="1" minValue="1.0762" maxValue="6.2"/>
    </cacheField>
    <cacheField name="INTR" numFmtId="0">
      <sharedItems containsBlank="1"/>
    </cacheField>
    <cacheField name="Imp" numFmtId="8">
      <sharedItems containsString="0" containsBlank="1" containsNumber="1" minValue="-4000" maxValue="2500"/>
    </cacheField>
    <cacheField name="% TVA" numFmtId="10">
      <sharedItems containsString="0" containsBlank="1" containsNumber="1" minValue="0" maxValue="0.17"/>
    </cacheField>
    <cacheField name="TVA" numFmtId="8">
      <sharedItems containsString="0" containsBlank="1" containsNumber="1" minValue="-680" maxValue="0"/>
    </cacheField>
    <cacheField name="Importo" numFmtId="0">
      <sharedItems containsString="0" containsBlank="1" containsNumber="1" minValue="-1004968.24" maxValue="1004968.24"/>
    </cacheField>
    <cacheField name="Progressivo" numFmtId="8">
      <sharedItems containsString="0" containsBlank="1" containsNumber="1" minValue="-127711.50260000001" maxValue="1004968.24"/>
    </cacheField>
    <cacheField name="Casa" numFmtId="8">
      <sharedItems containsBlank="1"/>
    </cacheField>
    <cacheField name="Az" numFmtId="171">
      <sharedItems containsString="0" containsBlank="1" containsNumber="1" containsInteger="1" minValue="-2036" maxValue="2245"/>
    </cacheField>
    <cacheField name="B/P" numFmtId="0">
      <sharedItems containsBlank="1" count="3">
        <s v="BIL"/>
        <s v="PP"/>
        <m/>
      </sharedItems>
    </cacheField>
    <cacheField name="A/P C/R" numFmtId="0">
      <sharedItems containsBlank="1" count="4">
        <s v="ACTIF"/>
        <s v="CAPITAUX PROPRES ET PASSIF"/>
        <s v="COSTS"/>
        <m/>
      </sharedItems>
    </cacheField>
    <cacheField name="CLASSE" numFmtId="0">
      <sharedItems containsBlank="1"/>
    </cacheField>
    <cacheField name="TIPOLOGIA" numFmtId="0">
      <sharedItems containsBlank="1" count="23">
        <s v="III. Immobilisations Financières"/>
        <s v="IV. Avoirs en Banques et CCP: Olky"/>
        <s v="SHAREHOLDERS LOANS"/>
        <s v="4411100 - Fournisseurs"/>
        <s v="Divers"/>
        <s v="4411200 - Fournisseurs - Factures non parvenues"/>
        <s v="4718001 - Autres dettes diverses - Tubia Edoardo"/>
        <s v="Tubia Edoardo"/>
        <s v="IV. RESERVES"/>
        <s v="VI. Résultats de l'exercise"/>
        <s v="I. CAPITAL SOUSCRIT"/>
        <s v="6133300 - FRAIS DE COMPTES ET COMMISSIONS BANCAIRES"/>
        <s v="6134100 - HONORAIRES JURIDIQUES, DE CONTENTIEUX ET ASSIMILES"/>
        <s v="6811000 - IF - EXERCICE COURANT"/>
        <s v="6134800 - AUTRES HONORAIRES"/>
        <s v="6135000 - FRAIS D'ACTES NOTARIES ET ASSIMILES"/>
        <s v="6153100 - FRAIS POSTAUX"/>
        <s v="6187000 - COTISATIONS AUX ASSOCIATIONS PROFESSIONNELLES"/>
        <s v="4612320 - IF - dette fiscale à payer"/>
        <s v="V. Résultats reportés"/>
        <s v="6134200 - HONORAIRES COMPTABLES, FISCAUX, D'AUDIT ET ASSIMILES"/>
        <s v="II. Créances"/>
        <m/>
      </sharedItems>
    </cacheField>
    <cacheField name="Type" numFmtId="0">
      <sharedItems containsBlank="1"/>
    </cacheField>
    <cacheField name="descrizione" numFmtId="0">
      <sharedItems containsBlank="1" count="31">
        <s v="Actif Immobilisé"/>
        <s v="Actif circulant"/>
        <s v="Financement Associés"/>
        <s v="Dettes"/>
        <s v="1381000 - Autres Réserves disponibles"/>
        <s v="Résultats de l'exercise"/>
        <s v="1010000 - Capital Souscrit"/>
        <s v="Commissions"/>
        <s v="Invoice Notaire Martine Schaeffer (via compte Custom SA)"/>
        <s v="Invoice Notaire Martine Schaeffer"/>
        <s v="Impôt Fortune 2022"/>
        <s v="Invoice ABC Translations"/>
        <s v="Impot Fortune Watergarden"/>
        <s v="Apostille sur documentation Ministère des Affaires Etrangeres et Européennes"/>
        <s v="Invoice Arias &amp; Fabrega (via compte BDL de Tubia Edoardo)"/>
        <s v="Invoice UPS"/>
        <s v="Cotisation 2022"/>
        <s v="Résultats reportés"/>
        <s v="Impôt Fortune 2023"/>
        <s v="Invoice CUSTOM (Assistance Transfert du Siège)"/>
        <s v="Invoice CUSTOM (Comptabilité 2022)"/>
        <s v="Impôt Fortune 2024"/>
        <s v="Regularisation Impôt Fortune 2023"/>
        <s v="Invoice CUSTOM (Comptabilité 2023)"/>
        <s v="Regularisation Impôt Fortune 2024"/>
        <s v="Frais d'extrait RCS"/>
        <s v="Impôt Fortune 2025"/>
        <s v="Invoice CUSTOM (Comptabilité 2024)"/>
        <s v="Cessione di Credito"/>
        <s v="Impôt Fortune 2026"/>
        <m/>
      </sharedItems>
    </cacheField>
    <cacheField name="Ordinante" numFmtId="0">
      <sharedItems containsBlank="1" count="51">
        <s v="2330010 - Participations - Sombra"/>
        <s v="Sombra e Agua Fresca Resort Sàrl"/>
        <s v="5131000 - Banques et CCP: Olky"/>
        <s v="4712101 - Oliveira Da Costa Christine"/>
        <s v="4712102 - Liesen Jens"/>
        <s v="4712103 - Vignolle Giorgio"/>
        <s v="4712104 - Vignolle Gabriel"/>
        <s v="4712105 - Vignolle Matteo"/>
        <s v="4712106 - Raggi Giancarlo"/>
        <s v="4712107 - Lambert Ingrid"/>
        <s v="4712108 - Tubia Enrico"/>
        <s v="4712109 - Tubia Edoardo"/>
        <s v="4712110 - Tubia Silvia"/>
        <s v="4712111 - Hemawiti Susik"/>
        <s v="4712112 - New Life Sàrl"/>
        <s v="4712113 - Barbancey Michel"/>
        <s v="Fournisseurs"/>
        <s v="4718001 - Autres dettes diverses - Tubia Edoardo"/>
        <s v="Autres Réserves disponibles"/>
        <s v="Perte de l'exercise"/>
        <s v="10 Tubia Silvia"/>
        <s v="07 Raggi Giancarlo"/>
        <s v="13 New Life Sàrl"/>
        <s v="11 Tubia Edoardo"/>
        <s v="12 Hemawiti Susik"/>
        <s v="09 Tubia Enrico"/>
        <s v="01 Oliveira Da Costa Christine"/>
        <s v="02 Liesen Jens"/>
        <s v="05 Vignolle Giorgio"/>
        <s v="04 Vignolle Matteo"/>
        <s v="03 Vignolle Gabriel"/>
        <s v="14 Barbancey Michel"/>
        <s v="08 Lambert Ingrid"/>
        <s v="Olkypay Bank"/>
        <s v="Baguenier Henri"/>
        <s v="06 Cofre Luxembourg Wind SA"/>
        <s v="Notaire Martine Schaeffer"/>
        <s v="4712114 - Cofre Luxembourg Wind SA"/>
        <s v="Administration des Contributions"/>
        <s v="ABC Translations"/>
        <s v="Ministère des Affaires Etrangeres et Européennes"/>
        <s v="Arias, Fabrega &amp; Fabrega Trust Co. BVI Ltd"/>
        <s v="UPS Luxembourg (payé Tubia edoardo)"/>
        <s v="Chambre de Commerce - Luxembourg"/>
        <s v="1412000 - Résultats reportés (affectés)"/>
        <s v="CUSTOM SA"/>
        <s v="4214300 - Impôt sur la Fortune (IF)"/>
        <s v="R.C.S. Luxembourg"/>
        <s v="Franco Toscano"/>
        <s v="Revolut"/>
        <m/>
      </sharedItems>
    </cacheField>
    <cacheField name="BANK" numFmtId="0">
      <sharedItems containsBlank="1" count="3">
        <m/>
        <s v="Olkypay"/>
        <s v="Revolut"/>
      </sharedItems>
    </cacheField>
    <cacheField name="Origine" numFmtId="0">
      <sharedItems containsBlank="1"/>
    </cacheField>
    <cacheField name="Competence" numFmtId="0">
      <sharedItems containsString="0" containsBlank="1" containsNumber="1" containsInteger="1" minValue="2022" maxValue="2026"/>
    </cacheField>
    <cacheField name="TVA V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d v="2021-12-31T00:00:00"/>
    <d v="2021-12-31T00:00:00"/>
    <n v="12"/>
    <x v="0"/>
    <m/>
    <m/>
    <m/>
    <m/>
    <m/>
    <m/>
    <m/>
    <n v="1004968.24"/>
    <n v="1004968.24"/>
    <x v="0"/>
    <m/>
    <x v="0"/>
    <s v="ACTIF"/>
    <s v="C. ACTIF IMMOBILISE'"/>
    <s v="III. Immobilisations Financières"/>
    <m/>
    <s v="Actif Immobilisé"/>
    <x v="0"/>
    <m/>
    <m/>
    <m/>
    <m/>
  </r>
  <r>
    <d v="2021-12-31T00:00:00"/>
    <d v="2021-12-31T00:00:00"/>
    <n v="12"/>
    <x v="0"/>
    <m/>
    <m/>
    <m/>
    <m/>
    <m/>
    <m/>
    <m/>
    <n v="-1004968.24"/>
    <n v="0"/>
    <x v="0"/>
    <m/>
    <x v="0"/>
    <s v="ACTIF"/>
    <s v="C. ACTIF IMMOBILISE'"/>
    <s v="III. Immobilisations Financières"/>
    <m/>
    <s v="Actif Immobilisé"/>
    <x v="1"/>
    <m/>
    <s v="Sombra e Agua Fresca Resort Sàrl"/>
    <m/>
    <m/>
  </r>
  <r>
    <d v="2021-12-31T00:00:00"/>
    <d v="2021-12-31T00:00:00"/>
    <n v="12"/>
    <x v="0"/>
    <m/>
    <m/>
    <m/>
    <m/>
    <m/>
    <m/>
    <m/>
    <n v="16257.32"/>
    <n v="16257.32"/>
    <x v="0"/>
    <m/>
    <x v="0"/>
    <s v="ACTIF"/>
    <s v="D. ACTIF CIRCULANT"/>
    <s v="IV. Avoirs en Banques et CCP: Olky"/>
    <m/>
    <s v="Actif circulant"/>
    <x v="2"/>
    <m/>
    <m/>
    <m/>
    <m/>
  </r>
  <r>
    <d v="2021-12-31T00:00:00"/>
    <d v="2021-12-31T00:00:00"/>
    <n v="12"/>
    <x v="0"/>
    <m/>
    <m/>
    <m/>
    <m/>
    <m/>
    <m/>
    <m/>
    <n v="-16257.32"/>
    <n v="0"/>
    <x v="0"/>
    <m/>
    <x v="0"/>
    <s v="ACTIF"/>
    <s v="D. ACTIF CIRCULANT"/>
    <s v="IV. Avoirs en Banques et CCP: Olky"/>
    <m/>
    <s v="Actif circulant"/>
    <x v="1"/>
    <m/>
    <s v="Sombra e Agua Fresca Resort Sàrl"/>
    <m/>
    <m/>
  </r>
  <r>
    <d v="2021-12-31T00:00:00"/>
    <d v="2021-12-31T00:00:00"/>
    <n v="12"/>
    <x v="0"/>
    <m/>
    <m/>
    <m/>
    <m/>
    <m/>
    <m/>
    <m/>
    <n v="43249.57"/>
    <n v="43249.57"/>
    <x v="1"/>
    <m/>
    <x v="0"/>
    <s v="CAPITAUX PROPRES ET PASSIF"/>
    <s v="C. DETTES"/>
    <s v="SHAREHOLDERS LOANS"/>
    <m/>
    <s v="Financement Associés"/>
    <x v="3"/>
    <m/>
    <s v="Christine Oliveira"/>
    <m/>
    <m/>
  </r>
  <r>
    <d v="2021-12-31T00:00:00"/>
    <d v="2021-12-31T00:00:00"/>
    <n v="12"/>
    <x v="0"/>
    <m/>
    <m/>
    <m/>
    <m/>
    <m/>
    <m/>
    <m/>
    <n v="43249.57"/>
    <n v="86499.14"/>
    <x v="1"/>
    <m/>
    <x v="0"/>
    <s v="CAPITAUX PROPRES ET PASSIF"/>
    <s v="C. DETTES"/>
    <s v="SHAREHOLDERS LOANS"/>
    <m/>
    <s v="Financement Associés"/>
    <x v="4"/>
    <m/>
    <s v="Jens Liesen"/>
    <m/>
    <m/>
  </r>
  <r>
    <d v="2021-12-31T00:00:00"/>
    <d v="2021-12-31T00:00:00"/>
    <n v="12"/>
    <x v="0"/>
    <m/>
    <m/>
    <m/>
    <m/>
    <m/>
    <m/>
    <m/>
    <n v="42266.62"/>
    <n v="128765.76000000001"/>
    <x v="2"/>
    <m/>
    <x v="0"/>
    <s v="CAPITAUX PROPRES ET PASSIF"/>
    <s v="C. DETTES"/>
    <s v="SHAREHOLDERS LOANS"/>
    <m/>
    <s v="Financement Associés"/>
    <x v="5"/>
    <m/>
    <s v="Giorgio Vignolle"/>
    <m/>
    <m/>
  </r>
  <r>
    <d v="2021-12-31T00:00:00"/>
    <d v="2021-12-31T00:00:00"/>
    <n v="12"/>
    <x v="0"/>
    <m/>
    <m/>
    <m/>
    <m/>
    <m/>
    <m/>
    <m/>
    <n v="97311.53"/>
    <n v="226077.29"/>
    <x v="2"/>
    <m/>
    <x v="0"/>
    <s v="CAPITAUX PROPRES ET PASSIF"/>
    <s v="C. DETTES"/>
    <s v="SHAREHOLDERS LOANS"/>
    <m/>
    <s v="Financement Associés"/>
    <x v="6"/>
    <m/>
    <s v="Gabriel Vignolle"/>
    <m/>
    <m/>
  </r>
  <r>
    <d v="2021-12-31T00:00:00"/>
    <d v="2021-12-31T00:00:00"/>
    <n v="12"/>
    <x v="0"/>
    <m/>
    <m/>
    <m/>
    <m/>
    <m/>
    <m/>
    <m/>
    <n v="97311.53"/>
    <n v="323388.82"/>
    <x v="2"/>
    <m/>
    <x v="0"/>
    <s v="CAPITAUX PROPRES ET PASSIF"/>
    <s v="C. DETTES"/>
    <s v="SHAREHOLDERS LOANS"/>
    <m/>
    <s v="Financement Associés"/>
    <x v="7"/>
    <m/>
    <s v="Matteo Vignolle"/>
    <m/>
    <m/>
  </r>
  <r>
    <d v="2021-12-31T00:00:00"/>
    <d v="2021-12-31T00:00:00"/>
    <n v="12"/>
    <x v="0"/>
    <m/>
    <m/>
    <m/>
    <m/>
    <m/>
    <m/>
    <m/>
    <n v="49147.24"/>
    <n v="372536.06"/>
    <x v="3"/>
    <m/>
    <x v="0"/>
    <s v="CAPITAUX PROPRES ET PASSIF"/>
    <s v="C. DETTES"/>
    <s v="SHAREHOLDERS LOANS"/>
    <m/>
    <s v="Financement Associés"/>
    <x v="8"/>
    <m/>
    <s v="Giancarlo Raggi"/>
    <m/>
    <m/>
  </r>
  <r>
    <d v="2021-12-31T00:00:00"/>
    <d v="2021-12-31T00:00:00"/>
    <n v="12"/>
    <x v="0"/>
    <m/>
    <m/>
    <m/>
    <m/>
    <m/>
    <m/>
    <m/>
    <n v="50130.18"/>
    <n v="422666.23999999999"/>
    <x v="3"/>
    <m/>
    <x v="0"/>
    <s v="CAPITAUX PROPRES ET PASSIF"/>
    <s v="C. DETTES"/>
    <s v="SHAREHOLDERS LOANS"/>
    <m/>
    <s v="Financement Associés"/>
    <x v="9"/>
    <m/>
    <s v="Ingrid Lambert"/>
    <m/>
    <m/>
  </r>
  <r>
    <d v="2021-12-31T00:00:00"/>
    <d v="2021-12-31T00:00:00"/>
    <n v="12"/>
    <x v="0"/>
    <m/>
    <m/>
    <m/>
    <m/>
    <m/>
    <m/>
    <m/>
    <n v="95345.63"/>
    <n v="518011.87"/>
    <x v="4"/>
    <m/>
    <x v="0"/>
    <s v="CAPITAUX PROPRES ET PASSIF"/>
    <s v="C. DETTES"/>
    <s v="SHAREHOLDERS LOANS"/>
    <m/>
    <s v="Financement Associés"/>
    <x v="10"/>
    <m/>
    <s v="Enrico Tubia"/>
    <m/>
    <m/>
  </r>
  <r>
    <d v="2021-12-31T00:00:00"/>
    <d v="2021-12-31T00:00:00"/>
    <n v="12"/>
    <x v="0"/>
    <m/>
    <m/>
    <m/>
    <m/>
    <m/>
    <m/>
    <m/>
    <n v="8846.5"/>
    <n v="526858.37"/>
    <x v="5"/>
    <m/>
    <x v="0"/>
    <s v="CAPITAUX PROPRES ET PASSIF"/>
    <s v="C. DETTES"/>
    <s v="SHAREHOLDERS LOANS"/>
    <m/>
    <s v="Financement Associés"/>
    <x v="11"/>
    <m/>
    <s v="Edoardo Tubia"/>
    <m/>
    <m/>
  </r>
  <r>
    <d v="2021-12-31T00:00:00"/>
    <d v="2021-12-31T00:00:00"/>
    <n v="12"/>
    <x v="0"/>
    <m/>
    <m/>
    <m/>
    <m/>
    <m/>
    <m/>
    <m/>
    <n v="95345.63"/>
    <n v="622204"/>
    <x v="5"/>
    <m/>
    <x v="0"/>
    <s v="CAPITAUX PROPRES ET PASSIF"/>
    <s v="C. DETTES"/>
    <s v="SHAREHOLDERS LOANS"/>
    <m/>
    <s v="Financement Associés"/>
    <x v="12"/>
    <m/>
    <s v="Silvia Tubia"/>
    <m/>
    <m/>
  </r>
  <r>
    <d v="2021-12-31T00:00:00"/>
    <d v="2021-12-31T00:00:00"/>
    <n v="12"/>
    <x v="0"/>
    <m/>
    <m/>
    <m/>
    <m/>
    <m/>
    <m/>
    <m/>
    <n v="117953.36"/>
    <n v="740157.36"/>
    <x v="6"/>
    <m/>
    <x v="0"/>
    <s v="CAPITAUX PROPRES ET PASSIF"/>
    <s v="C. DETTES"/>
    <s v="SHAREHOLDERS LOANS"/>
    <m/>
    <s v="Financement Associés"/>
    <x v="13"/>
    <m/>
    <s v="Susik Hemawiti"/>
    <m/>
    <m/>
  </r>
  <r>
    <d v="2021-12-31T00:00:00"/>
    <d v="2021-12-31T00:00:00"/>
    <n v="12"/>
    <x v="0"/>
    <m/>
    <m/>
    <m/>
    <m/>
    <m/>
    <m/>
    <m/>
    <n v="147441.71"/>
    <n v="887599.07"/>
    <x v="7"/>
    <m/>
    <x v="0"/>
    <s v="CAPITAUX PROPRES ET PASSIF"/>
    <s v="C. DETTES"/>
    <s v="SHAREHOLDERS LOANS"/>
    <m/>
    <s v="Financement Associés"/>
    <x v="14"/>
    <m/>
    <s v="New Life Sàrl"/>
    <m/>
    <m/>
  </r>
  <r>
    <d v="2021-12-31T00:00:00"/>
    <d v="2021-12-31T00:00:00"/>
    <n v="12"/>
    <x v="0"/>
    <m/>
    <m/>
    <m/>
    <m/>
    <m/>
    <m/>
    <m/>
    <n v="97311.53"/>
    <n v="984910.6"/>
    <x v="8"/>
    <m/>
    <x v="0"/>
    <s v="CAPITAUX PROPRES ET PASSIF"/>
    <s v="C. DETTES"/>
    <s v="SHAREHOLDERS LOANS"/>
    <m/>
    <s v="Financement Associés"/>
    <x v="15"/>
    <m/>
    <s v="Michel Barbancey"/>
    <m/>
    <m/>
  </r>
  <r>
    <d v="2021-12-31T00:00:00"/>
    <d v="2021-12-31T00:00:00"/>
    <n v="12"/>
    <x v="0"/>
    <m/>
    <m/>
    <m/>
    <m/>
    <m/>
    <m/>
    <m/>
    <n v="-984910.6"/>
    <n v="0"/>
    <x v="0"/>
    <m/>
    <x v="0"/>
    <s v="CAPITAUX PROPRES ET PASSIF"/>
    <s v="C. DETTES"/>
    <s v="SHAREHOLDERS LOANS"/>
    <m/>
    <s v="Financement Associés"/>
    <x v="1"/>
    <m/>
    <s v="Sombra e Agua Fresca Resort Sàrl"/>
    <m/>
    <m/>
  </r>
  <r>
    <d v="2021-12-31T00:00:00"/>
    <d v="2021-12-31T00:00:00"/>
    <n v="12"/>
    <x v="0"/>
    <m/>
    <m/>
    <m/>
    <m/>
    <m/>
    <m/>
    <m/>
    <n v="3154.39"/>
    <n v="3154.39"/>
    <x v="0"/>
    <m/>
    <x v="0"/>
    <s v="CAPITAUX PROPRES ET PASSIF"/>
    <s v="C. DETTES"/>
    <s v="4411100 - Fournisseurs"/>
    <m/>
    <s v="Dettes"/>
    <x v="16"/>
    <m/>
    <m/>
    <m/>
    <m/>
  </r>
  <r>
    <d v="2021-12-31T00:00:00"/>
    <d v="2021-12-31T00:00:00"/>
    <n v="12"/>
    <x v="0"/>
    <m/>
    <m/>
    <m/>
    <m/>
    <m/>
    <m/>
    <m/>
    <n v="-3154.39"/>
    <n v="0"/>
    <x v="0"/>
    <m/>
    <x v="0"/>
    <s v="CAPITAUX PROPRES ET PASSIF"/>
    <s v="C. DETTES"/>
    <s v="Divers"/>
    <m/>
    <s v="Dettes"/>
    <x v="1"/>
    <m/>
    <s v="Sombra e Agua Fresca Resort Sàrl"/>
    <m/>
    <m/>
  </r>
  <r>
    <d v="2021-12-31T00:00:00"/>
    <d v="2021-12-31T00:00:00"/>
    <n v="12"/>
    <x v="0"/>
    <m/>
    <m/>
    <m/>
    <m/>
    <m/>
    <m/>
    <m/>
    <n v="1755"/>
    <n v="1755"/>
    <x v="0"/>
    <m/>
    <x v="0"/>
    <s v="CAPITAUX PROPRES ET PASSIF"/>
    <s v="C. DETTES"/>
    <s v="4411200 - Fournisseurs - Factures non parvenues"/>
    <m/>
    <s v="Dettes"/>
    <x v="16"/>
    <m/>
    <m/>
    <m/>
    <m/>
  </r>
  <r>
    <d v="2021-12-31T00:00:00"/>
    <d v="2021-12-31T00:00:00"/>
    <n v="12"/>
    <x v="0"/>
    <m/>
    <m/>
    <m/>
    <m/>
    <m/>
    <m/>
    <m/>
    <n v="-1755"/>
    <n v="0"/>
    <x v="0"/>
    <m/>
    <x v="0"/>
    <s v="CAPITAUX PROPRES ET PASSIF"/>
    <s v="C. DETTES"/>
    <s v="Divers"/>
    <m/>
    <s v="Dettes"/>
    <x v="1"/>
    <m/>
    <s v="Sombra e Agua Fresca Resort Sàrl"/>
    <m/>
    <m/>
  </r>
  <r>
    <d v="2021-12-31T00:00:00"/>
    <d v="2021-12-31T00:00:00"/>
    <n v="12"/>
    <x v="0"/>
    <m/>
    <m/>
    <m/>
    <m/>
    <m/>
    <m/>
    <m/>
    <n v="19168.79"/>
    <n v="19168.79"/>
    <x v="0"/>
    <m/>
    <x v="0"/>
    <s v="CAPITAUX PROPRES ET PASSIF"/>
    <s v="C. DETTES"/>
    <s v="4718001 - Autres dettes diverses - Tubia Edoardo"/>
    <m/>
    <s v="Financement Associés"/>
    <x v="17"/>
    <m/>
    <s v="Edoardo Tubia"/>
    <m/>
    <m/>
  </r>
  <r>
    <d v="2021-12-31T00:00:00"/>
    <d v="2021-12-31T00:00:00"/>
    <n v="12"/>
    <x v="0"/>
    <m/>
    <m/>
    <m/>
    <m/>
    <m/>
    <m/>
    <m/>
    <n v="-19168.79"/>
    <n v="0"/>
    <x v="0"/>
    <m/>
    <x v="0"/>
    <s v="CAPITAUX PROPRES ET PASSIF"/>
    <s v="C. DETTES"/>
    <s v="Tubia Edoardo"/>
    <m/>
    <s v="Dettes"/>
    <x v="1"/>
    <m/>
    <s v="Sombra e Agua Fresca Resort Sàrl"/>
    <m/>
    <m/>
  </r>
  <r>
    <d v="2021-12-31T00:00:00"/>
    <d v="2021-12-31T00:00:00"/>
    <n v="12"/>
    <x v="0"/>
    <m/>
    <m/>
    <m/>
    <m/>
    <m/>
    <m/>
    <m/>
    <n v="888.85"/>
    <n v="888.85"/>
    <x v="0"/>
    <m/>
    <x v="0"/>
    <s v="CAPITAUX PROPRES ET PASSIF"/>
    <s v="A. CAPITAUX PROPRES"/>
    <s v="IV. RESERVES"/>
    <m/>
    <s v="1381000 - Autres Réserves disponibles"/>
    <x v="18"/>
    <m/>
    <m/>
    <m/>
    <m/>
  </r>
  <r>
    <d v="2021-12-31T00:00:00"/>
    <d v="2021-12-31T00:00:00"/>
    <n v="12"/>
    <x v="0"/>
    <m/>
    <m/>
    <m/>
    <m/>
    <m/>
    <m/>
    <m/>
    <n v="-888.85"/>
    <n v="0"/>
    <x v="0"/>
    <m/>
    <x v="0"/>
    <s v="CAPITAUX PROPRES ET PASSIF"/>
    <s v="A. CAPITAUX PROPRES"/>
    <s v="IV. RESERVES"/>
    <m/>
    <s v="1381000 - Autres Réserves disponibles"/>
    <x v="1"/>
    <m/>
    <s v="Sombra e Agua Fresca Resort Sàrl"/>
    <m/>
    <m/>
  </r>
  <r>
    <d v="2021-12-31T00:00:00"/>
    <d v="2021-12-31T00:00:00"/>
    <n v="12"/>
    <x v="0"/>
    <m/>
    <m/>
    <m/>
    <m/>
    <m/>
    <m/>
    <m/>
    <n v="-5652.07"/>
    <n v="-5652.07"/>
    <x v="0"/>
    <m/>
    <x v="0"/>
    <s v="CAPITAUX PROPRES ET PASSIF"/>
    <s v="A. CAPITAUX PROPRES"/>
    <s v="VI. Résultats de l'exercise"/>
    <m/>
    <s v="Résultats de l'exercise"/>
    <x v="19"/>
    <m/>
    <m/>
    <m/>
    <m/>
  </r>
  <r>
    <d v="2021-12-31T00:00:00"/>
    <d v="2021-12-31T00:00:00"/>
    <n v="12"/>
    <x v="0"/>
    <m/>
    <m/>
    <m/>
    <m/>
    <m/>
    <m/>
    <m/>
    <n v="5652.07"/>
    <n v="0"/>
    <x v="0"/>
    <m/>
    <x v="0"/>
    <s v="CAPITAUX PROPRES ET PASSIF"/>
    <s v="A. CAPITAUX PROPRES"/>
    <s v="VI. Résultats de l'exercise"/>
    <m/>
    <s v="Résultats de l'exercise"/>
    <x v="1"/>
    <m/>
    <s v="Sombra e Agua Fresca Resort Sàrl"/>
    <m/>
    <m/>
  </r>
  <r>
    <d v="2021-10-11T00:00:00"/>
    <d v="2021-10-11T00:00:00"/>
    <n v="10"/>
    <x v="0"/>
    <m/>
    <m/>
    <m/>
    <m/>
    <m/>
    <m/>
    <m/>
    <n v="2000"/>
    <n v="2000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1-10-22T00:00:00"/>
    <d v="2021-10-22T00:00:00"/>
    <n v="10"/>
    <x v="0"/>
    <m/>
    <m/>
    <m/>
    <m/>
    <m/>
    <m/>
    <m/>
    <n v="1452.1"/>
    <n v="3452.1"/>
    <x v="5"/>
    <n v="1452"/>
    <x v="0"/>
    <s v="CAPITAUX PROPRES ET PASSIF"/>
    <s v="A. CAPITAUX PROPRES"/>
    <s v="I. CAPITAL SOUSCRIT"/>
    <m/>
    <s v="1010000 - Capital Souscrit"/>
    <x v="20"/>
    <s v="Olkypay"/>
    <s v="Silvia Tubia"/>
    <m/>
    <m/>
  </r>
  <r>
    <d v="2021-10-25T00:00:00"/>
    <d v="2021-10-25T00:00:00"/>
    <n v="10"/>
    <x v="0"/>
    <m/>
    <m/>
    <m/>
    <m/>
    <m/>
    <m/>
    <m/>
    <n v="748.5"/>
    <n v="4200.6000000000004"/>
    <x v="3"/>
    <n v="749"/>
    <x v="0"/>
    <s v="CAPITAUX PROPRES ET PASSIF"/>
    <s v="A. CAPITAUX PROPRES"/>
    <s v="I. CAPITAL SOUSCRIT"/>
    <m/>
    <s v="1010000 - Capital Souscrit"/>
    <x v="21"/>
    <s v="Olkypay"/>
    <s v="Giancarlo Raggi"/>
    <m/>
    <m/>
  </r>
  <r>
    <d v="2021-10-25T00:00:00"/>
    <d v="2021-10-25T00:00:00"/>
    <n v="10"/>
    <x v="0"/>
    <m/>
    <m/>
    <m/>
    <m/>
    <m/>
    <m/>
    <m/>
    <n v="2245.5100000000002"/>
    <n v="6446.1100000000006"/>
    <x v="7"/>
    <n v="2245"/>
    <x v="0"/>
    <s v="CAPITAUX PROPRES ET PASSIF"/>
    <s v="A. CAPITAUX PROPRES"/>
    <s v="I. CAPITAL SOUSCRIT"/>
    <m/>
    <s v="1010000 - Capital Souscrit"/>
    <x v="22"/>
    <s v="Olkypay"/>
    <s v="New Life Sàrl"/>
    <m/>
    <m/>
  </r>
  <r>
    <d v="2021-10-25T00:00:00"/>
    <d v="2021-10-25T00:00:00"/>
    <n v="10"/>
    <x v="0"/>
    <m/>
    <m/>
    <m/>
    <m/>
    <m/>
    <m/>
    <m/>
    <n v="134.72999999999999"/>
    <n v="6580.84"/>
    <x v="5"/>
    <n v="135"/>
    <x v="0"/>
    <s v="CAPITAUX PROPRES ET PASSIF"/>
    <s v="A. CAPITAUX PROPRES"/>
    <s v="I. CAPITAL SOUSCRIT"/>
    <m/>
    <s v="1010000 - Capital Souscrit"/>
    <x v="23"/>
    <s v="Olkypay"/>
    <s v="Edoardo Tubia"/>
    <m/>
    <m/>
  </r>
  <r>
    <d v="2021-10-25T00:00:00"/>
    <d v="2021-10-25T00:00:00"/>
    <n v="10"/>
    <x v="0"/>
    <m/>
    <m/>
    <m/>
    <m/>
    <m/>
    <m/>
    <m/>
    <n v="1796.41"/>
    <n v="8377.25"/>
    <x v="6"/>
    <n v="1796"/>
    <x v="0"/>
    <s v="CAPITAUX PROPRES ET PASSIF"/>
    <s v="A. CAPITAUX PROPRES"/>
    <s v="I. CAPITAL SOUSCRIT"/>
    <m/>
    <s v="1010000 - Capital Souscrit"/>
    <x v="24"/>
    <s v="Olkypay"/>
    <s v="Susik Hemawiti"/>
    <m/>
    <m/>
  </r>
  <r>
    <d v="2021-10-25T00:00:00"/>
    <d v="2021-10-25T00:00:00"/>
    <n v="10"/>
    <x v="0"/>
    <m/>
    <m/>
    <m/>
    <m/>
    <m/>
    <m/>
    <m/>
    <n v="1452.1"/>
    <n v="9829.35"/>
    <x v="4"/>
    <n v="1452"/>
    <x v="0"/>
    <s v="CAPITAUX PROPRES ET PASSIF"/>
    <s v="A. CAPITAUX PROPRES"/>
    <s v="I. CAPITAL SOUSCRIT"/>
    <m/>
    <s v="1010000 - Capital Souscrit"/>
    <x v="25"/>
    <s v="Olkypay"/>
    <s v="Enrico Tubia"/>
    <m/>
    <m/>
  </r>
  <r>
    <d v="2021-10-26T00:00:00"/>
    <d v="2021-10-26T00:00:00"/>
    <n v="10"/>
    <x v="0"/>
    <m/>
    <m/>
    <m/>
    <m/>
    <m/>
    <m/>
    <m/>
    <n v="658.68"/>
    <n v="10488.03"/>
    <x v="1"/>
    <n v="659"/>
    <x v="0"/>
    <s v="CAPITAUX PROPRES ET PASSIF"/>
    <s v="A. CAPITAUX PROPRES"/>
    <s v="I. CAPITAL SOUSCRIT"/>
    <m/>
    <s v="1010000 - Capital Souscrit"/>
    <x v="26"/>
    <s v="Olkypay"/>
    <s v="Christine Oliveira"/>
    <m/>
    <m/>
  </r>
  <r>
    <d v="2021-10-26T00:00:00"/>
    <d v="2021-10-26T00:00:00"/>
    <n v="10"/>
    <x v="0"/>
    <m/>
    <m/>
    <m/>
    <m/>
    <m/>
    <m/>
    <m/>
    <n v="658.68"/>
    <n v="11146.710000000001"/>
    <x v="1"/>
    <n v="659"/>
    <x v="0"/>
    <s v="CAPITAUX PROPRES ET PASSIF"/>
    <s v="A. CAPITAUX PROPRES"/>
    <s v="I. CAPITAL SOUSCRIT"/>
    <m/>
    <s v="1010000 - Capital Souscrit"/>
    <x v="27"/>
    <s v="Olkypay"/>
    <s v="Jens Liesen"/>
    <m/>
    <m/>
  </r>
  <r>
    <d v="2021-10-27T00:00:00"/>
    <d v="2021-10-27T00:00:00"/>
    <n v="10"/>
    <x v="0"/>
    <m/>
    <m/>
    <m/>
    <m/>
    <m/>
    <m/>
    <m/>
    <n v="89.71"/>
    <n v="11236.42"/>
    <x v="2"/>
    <n v="90"/>
    <x v="0"/>
    <s v="CAPITAUX PROPRES ET PASSIF"/>
    <s v="A. CAPITAUX PROPRES"/>
    <s v="I. CAPITAL SOUSCRIT"/>
    <m/>
    <s v="1010000 - Capital Souscrit"/>
    <x v="28"/>
    <s v="Olkypay"/>
    <s v="Giorgio Vignolle"/>
    <m/>
    <m/>
  </r>
  <r>
    <d v="2021-10-27T00:00:00"/>
    <d v="2021-10-27T00:00:00"/>
    <n v="10"/>
    <x v="0"/>
    <m/>
    <m/>
    <m/>
    <m/>
    <m/>
    <m/>
    <m/>
    <n v="554"/>
    <n v="11790.42"/>
    <x v="9"/>
    <n v="554"/>
    <x v="0"/>
    <s v="CAPITAUX PROPRES ET PASSIF"/>
    <s v="A. CAPITAUX PROPRES"/>
    <s v="I. CAPITAL SOUSCRIT"/>
    <m/>
    <s v="1010000 - Capital Souscrit"/>
    <x v="28"/>
    <s v="Olkypay"/>
    <s v="Giorgio Vignolle"/>
    <m/>
    <m/>
  </r>
  <r>
    <d v="2021-10-27T00:00:00"/>
    <d v="2021-10-27T00:00:00"/>
    <n v="10"/>
    <x v="0"/>
    <m/>
    <m/>
    <m/>
    <m/>
    <m/>
    <m/>
    <m/>
    <n v="1482.04"/>
    <n v="13272.46"/>
    <x v="9"/>
    <n v="1482"/>
    <x v="0"/>
    <s v="CAPITAUX PROPRES ET PASSIF"/>
    <s v="A. CAPITAUX PROPRES"/>
    <s v="I. CAPITAL SOUSCRIT"/>
    <m/>
    <s v="1010000 - Capital Souscrit"/>
    <x v="29"/>
    <s v="Olkypay"/>
    <s v="Matteo Vignolle"/>
    <m/>
    <m/>
  </r>
  <r>
    <d v="2021-10-27T00:00:00"/>
    <d v="2021-10-27T00:00:00"/>
    <n v="10"/>
    <x v="0"/>
    <m/>
    <m/>
    <m/>
    <m/>
    <m/>
    <m/>
    <m/>
    <n v="1482.04"/>
    <n v="14754.5"/>
    <x v="2"/>
    <n v="1482"/>
    <x v="0"/>
    <s v="CAPITAUX PROPRES ET PASSIF"/>
    <s v="A. CAPITAUX PROPRES"/>
    <s v="I. CAPITAL SOUSCRIT"/>
    <m/>
    <s v="1010000 - Capital Souscrit"/>
    <x v="30"/>
    <s v="Olkypay"/>
    <s v="Gabriel Vignolle"/>
    <m/>
    <m/>
  </r>
  <r>
    <d v="2021-10-28T00:00:00"/>
    <d v="2021-10-28T00:00:00"/>
    <n v="10"/>
    <x v="0"/>
    <m/>
    <m/>
    <m/>
    <m/>
    <m/>
    <m/>
    <m/>
    <n v="1482.04"/>
    <n v="16236.54"/>
    <x v="8"/>
    <n v="1482"/>
    <x v="0"/>
    <s v="CAPITAUX PROPRES ET PASSIF"/>
    <s v="A. CAPITAUX PROPRES"/>
    <s v="I. CAPITAL SOUSCRIT"/>
    <m/>
    <s v="1010000 - Capital Souscrit"/>
    <x v="31"/>
    <s v="Olkypay"/>
    <s v="Michel Barbancey"/>
    <m/>
    <m/>
  </r>
  <r>
    <d v="2021-11-05T00:00:00"/>
    <d v="2021-11-05T00:00:00"/>
    <n v="11"/>
    <x v="0"/>
    <m/>
    <m/>
    <m/>
    <m/>
    <m/>
    <m/>
    <m/>
    <n v="763.47"/>
    <n v="17000.010000000002"/>
    <x v="3"/>
    <n v="763"/>
    <x v="0"/>
    <s v="CAPITAUX PROPRES ET PASSIF"/>
    <s v="A. CAPITAUX PROPRES"/>
    <s v="I. CAPITAL SOUSCRIT"/>
    <m/>
    <s v="1010000 - Capital Souscrit"/>
    <x v="32"/>
    <s v="Olkypay"/>
    <s v="Ingrid Lambert"/>
    <m/>
    <m/>
  </r>
  <r>
    <d v="2021-11-10T00:00:00"/>
    <d v="2021-11-10T00:00:00"/>
    <n v="11"/>
    <x v="0"/>
    <m/>
    <m/>
    <m/>
    <m/>
    <m/>
    <m/>
    <m/>
    <n v="-117"/>
    <n v="16883.010000000002"/>
    <x v="0"/>
    <m/>
    <x v="1"/>
    <s v="COSTS"/>
    <m/>
    <s v="6133300 - FRAIS DE COMPTES ET COMMISSIONS BANCAIRES"/>
    <m/>
    <s v="Commissions"/>
    <x v="33"/>
    <s v="Olkypay"/>
    <s v="Olkypay"/>
    <m/>
    <m/>
  </r>
  <r>
    <d v="2021-12-30T00:00:00"/>
    <d v="2021-12-30T00:00:00"/>
    <n v="12"/>
    <x v="0"/>
    <m/>
    <m/>
    <m/>
    <m/>
    <m/>
    <m/>
    <m/>
    <n v="-585"/>
    <n v="16298.010000000002"/>
    <x v="0"/>
    <m/>
    <x v="1"/>
    <s v="COSTS"/>
    <m/>
    <s v="6133300 - FRAIS DE COMPTES ET COMMISSIONS BANCAIRES"/>
    <m/>
    <s v="Commissions"/>
    <x v="33"/>
    <s v="Olkypay"/>
    <s v="Olkypay"/>
    <m/>
    <m/>
  </r>
  <r>
    <d v="2021-12-31T00:00:00"/>
    <d v="2021-12-31T00:00:00"/>
    <n v="12"/>
    <x v="0"/>
    <m/>
    <m/>
    <m/>
    <m/>
    <m/>
    <m/>
    <m/>
    <n v="-40.69"/>
    <n v="16257.320000000002"/>
    <x v="0"/>
    <m/>
    <x v="1"/>
    <s v="COSTS"/>
    <m/>
    <s v="6133300 - FRAIS DE COMPTES ET COMMISSIONS BANCAIRES"/>
    <m/>
    <s v="Commissions"/>
    <x v="33"/>
    <s v="Olkypay"/>
    <s v="Olkypay"/>
    <m/>
    <m/>
  </r>
  <r>
    <d v="2022-01-03T00:00:00"/>
    <d v="2022-01-03T00:00:00"/>
    <n v="1"/>
    <x v="1"/>
    <m/>
    <m/>
    <m/>
    <m/>
    <m/>
    <m/>
    <m/>
    <n v="-19.899999999999999"/>
    <n v="16237.420000000002"/>
    <x v="0"/>
    <m/>
    <x v="1"/>
    <s v="COSTS"/>
    <m/>
    <s v="6133300 - FRAIS DE COMPTES ET COMMISSIONS BANCAIRES"/>
    <m/>
    <s v="Commissions"/>
    <x v="33"/>
    <s v="Olkypay"/>
    <s v="Olkypay"/>
    <m/>
    <m/>
  </r>
  <r>
    <d v="2022-01-10T00:00:00"/>
    <d v="2022-01-10T00:00:00"/>
    <n v="1"/>
    <x v="1"/>
    <m/>
    <m/>
    <m/>
    <m/>
    <m/>
    <m/>
    <m/>
    <n v="-1482.04"/>
    <n v="14755.380000000001"/>
    <x v="9"/>
    <n v="-1482"/>
    <x v="0"/>
    <s v="CAPITAUX PROPRES ET PASSIF"/>
    <s v="A. CAPITAUX PROPRES"/>
    <s v="I. CAPITAL SOUSCRIT"/>
    <m/>
    <s v="1010000 - Capital Souscrit"/>
    <x v="29"/>
    <m/>
    <s v="Matteo Vignolle"/>
    <m/>
    <m/>
  </r>
  <r>
    <d v="2022-01-10T00:00:00"/>
    <d v="2022-01-10T00:00:00"/>
    <n v="1"/>
    <x v="1"/>
    <m/>
    <m/>
    <m/>
    <m/>
    <m/>
    <m/>
    <m/>
    <n v="600"/>
    <n v="15355.380000000001"/>
    <x v="2"/>
    <n v="600"/>
    <x v="0"/>
    <s v="CAPITAUX PROPRES ET PASSIF"/>
    <s v="A. CAPITAUX PROPRES"/>
    <s v="I. CAPITAL SOUSCRIT"/>
    <m/>
    <s v="1010000 - Capital Souscrit"/>
    <x v="29"/>
    <m/>
    <s v="Matteo Vignolle"/>
    <m/>
    <m/>
  </r>
  <r>
    <d v="2022-01-10T00:00:00"/>
    <d v="2022-01-10T00:00:00"/>
    <n v="1"/>
    <x v="1"/>
    <m/>
    <m/>
    <m/>
    <m/>
    <m/>
    <m/>
    <m/>
    <n v="882.04"/>
    <n v="16237.420000000002"/>
    <x v="9"/>
    <n v="882"/>
    <x v="0"/>
    <s v="CAPITAUX PROPRES ET PASSIF"/>
    <s v="A. CAPITAUX PROPRES"/>
    <s v="I. CAPITAL SOUSCRIT"/>
    <m/>
    <s v="1010000 - Capital Souscrit"/>
    <x v="34"/>
    <m/>
    <s v="Baguenier Henri"/>
    <m/>
    <m/>
  </r>
  <r>
    <d v="2022-01-10T00:00:00"/>
    <d v="2022-01-10T00:00:00"/>
    <n v="1"/>
    <x v="1"/>
    <m/>
    <m/>
    <m/>
    <m/>
    <m/>
    <m/>
    <m/>
    <n v="-1482.04"/>
    <n v="14755.380000000001"/>
    <x v="2"/>
    <n v="-1482"/>
    <x v="0"/>
    <s v="CAPITAUX PROPRES ET PASSIF"/>
    <s v="A. CAPITAUX PROPRES"/>
    <s v="I. CAPITAL SOUSCRIT"/>
    <m/>
    <s v="1010000 - Capital Souscrit"/>
    <x v="30"/>
    <m/>
    <s v="Gabriel Vignolle"/>
    <m/>
    <m/>
  </r>
  <r>
    <d v="2022-01-10T00:00:00"/>
    <d v="2022-01-10T00:00:00"/>
    <n v="1"/>
    <x v="1"/>
    <m/>
    <m/>
    <m/>
    <m/>
    <m/>
    <m/>
    <m/>
    <n v="600"/>
    <n v="15355.380000000001"/>
    <x v="2"/>
    <n v="600"/>
    <x v="0"/>
    <s v="CAPITAUX PROPRES ET PASSIF"/>
    <s v="A. CAPITAUX PROPRES"/>
    <s v="I. CAPITAL SOUSCRIT"/>
    <m/>
    <s v="1010000 - Capital Souscrit"/>
    <x v="30"/>
    <m/>
    <s v="Gabriel Vignolle"/>
    <m/>
    <m/>
  </r>
  <r>
    <d v="2022-01-10T00:00:00"/>
    <d v="2022-01-10T00:00:00"/>
    <n v="1"/>
    <x v="1"/>
    <m/>
    <m/>
    <m/>
    <m/>
    <m/>
    <m/>
    <m/>
    <n v="882.04"/>
    <n v="16237.420000000002"/>
    <x v="9"/>
    <n v="882"/>
    <x v="0"/>
    <s v="CAPITAUX PROPRES ET PASSIF"/>
    <s v="A. CAPITAUX PROPRES"/>
    <s v="I. CAPITAL SOUSCRIT"/>
    <m/>
    <s v="1010000 - Capital Souscrit"/>
    <x v="34"/>
    <m/>
    <s v="Baguenier Henri"/>
    <m/>
    <m/>
  </r>
  <r>
    <d v="2022-01-10T00:00:00"/>
    <d v="2022-01-10T00:00:00"/>
    <n v="1"/>
    <x v="1"/>
    <m/>
    <m/>
    <m/>
    <m/>
    <m/>
    <m/>
    <m/>
    <n v="-554"/>
    <n v="15683.420000000002"/>
    <x v="9"/>
    <n v="-554"/>
    <x v="0"/>
    <s v="CAPITAUX PROPRES ET PASSIF"/>
    <s v="A. CAPITAUX PROPRES"/>
    <s v="I. CAPITAL SOUSCRIT"/>
    <m/>
    <s v="1010000 - Capital Souscrit"/>
    <x v="28"/>
    <m/>
    <s v="Giorgio Vignolle"/>
    <m/>
    <m/>
  </r>
  <r>
    <d v="2022-01-10T00:00:00"/>
    <d v="2022-01-10T00:00:00"/>
    <n v="1"/>
    <x v="1"/>
    <m/>
    <m/>
    <m/>
    <m/>
    <m/>
    <m/>
    <m/>
    <n v="271.95999999999998"/>
    <n v="15955.380000000001"/>
    <x v="9"/>
    <n v="272"/>
    <x v="0"/>
    <s v="CAPITAUX PROPRES ET PASSIF"/>
    <s v="A. CAPITAUX PROPRES"/>
    <s v="I. CAPITAL SOUSCRIT"/>
    <m/>
    <s v="1010000 - Capital Souscrit"/>
    <x v="34"/>
    <m/>
    <s v="Baguenier Henri"/>
    <m/>
    <m/>
  </r>
  <r>
    <d v="2022-01-10T00:00:00"/>
    <d v="2022-01-10T00:00:00"/>
    <n v="1"/>
    <x v="1"/>
    <m/>
    <m/>
    <m/>
    <m/>
    <m/>
    <m/>
    <m/>
    <n v="282.04000000000002"/>
    <n v="16237.420000000002"/>
    <x v="2"/>
    <n v="282"/>
    <x v="0"/>
    <s v="CAPITAUX PROPRES ET PASSIF"/>
    <s v="A. CAPITAUX PROPRES"/>
    <s v="I. CAPITAL SOUSCRIT"/>
    <m/>
    <s v="1010000 - Capital Souscrit"/>
    <x v="28"/>
    <m/>
    <s v="Giorgio Vignolle"/>
    <m/>
    <m/>
  </r>
  <r>
    <d v="2022-01-11T00:00:00"/>
    <d v="2022-01-11T00:00:00"/>
    <n v="1"/>
    <x v="1"/>
    <m/>
    <m/>
    <m/>
    <m/>
    <m/>
    <m/>
    <m/>
    <n v="-2036.04"/>
    <n v="14201.380000000001"/>
    <x v="9"/>
    <n v="-2036"/>
    <x v="0"/>
    <s v="CAPITAUX PROPRES ET PASSIF"/>
    <s v="A. CAPITAUX PROPRES"/>
    <s v="I. CAPITAL SOUSCRIT"/>
    <m/>
    <s v="1010000 - Capital Souscrit"/>
    <x v="34"/>
    <m/>
    <s v="Baguenier Henri"/>
    <m/>
    <m/>
  </r>
  <r>
    <d v="2022-01-11T00:00:00"/>
    <d v="2022-01-11T00:00:00"/>
    <n v="1"/>
    <x v="1"/>
    <m/>
    <m/>
    <m/>
    <m/>
    <m/>
    <m/>
    <m/>
    <n v="2036.04"/>
    <n v="16237.420000000002"/>
    <x v="9"/>
    <n v="2036"/>
    <x v="0"/>
    <s v="CAPITAUX PROPRES ET PASSIF"/>
    <s v="A. CAPITAUX PROPRES"/>
    <s v="I. CAPITAL SOUSCRIT"/>
    <m/>
    <s v="1010000 - Capital Souscrit"/>
    <x v="35"/>
    <m/>
    <s v="Cofre Luxembourg Wind SA"/>
    <m/>
    <m/>
  </r>
  <r>
    <d v="2022-01-13T00:00:00"/>
    <d v="2022-01-13T00:00:00"/>
    <n v="1"/>
    <x v="1"/>
    <m/>
    <m/>
    <m/>
    <m/>
    <m/>
    <m/>
    <m/>
    <n v="1496.16"/>
    <n v="17733.580000000002"/>
    <x v="7"/>
    <m/>
    <x v="0"/>
    <s v="CAPITAUX PROPRES ET PASSIF"/>
    <s v="C. DETTES"/>
    <s v="SHAREHOLDERS LOANS"/>
    <m/>
    <s v="Financement Associés"/>
    <x v="14"/>
    <s v="Olkypay"/>
    <s v="New Life Sàrl"/>
    <m/>
    <m/>
  </r>
  <r>
    <d v="2022-01-13T00:00:00"/>
    <d v="2022-01-13T00:00:00"/>
    <n v="1"/>
    <x v="1"/>
    <m/>
    <m/>
    <m/>
    <m/>
    <m/>
    <m/>
    <m/>
    <n v="987.96"/>
    <n v="18721.54"/>
    <x v="8"/>
    <m/>
    <x v="0"/>
    <s v="CAPITAUX PROPRES ET PASSIF"/>
    <s v="C. DETTES"/>
    <s v="SHAREHOLDERS LOANS"/>
    <m/>
    <s v="Financement Associés"/>
    <x v="15"/>
    <s v="Olkypay"/>
    <s v="Michel Barbancey"/>
    <m/>
    <m/>
  </r>
  <r>
    <d v="2022-01-13T00:00:00"/>
    <d v="2022-01-13T00:00:00"/>
    <n v="1"/>
    <x v="1"/>
    <m/>
    <m/>
    <m/>
    <m/>
    <m/>
    <m/>
    <m/>
    <n v="967.9"/>
    <n v="19689.440000000002"/>
    <x v="5"/>
    <m/>
    <x v="0"/>
    <s v="CAPITAUX PROPRES ET PASSIF"/>
    <s v="C. DETTES"/>
    <s v="SHAREHOLDERS LOANS"/>
    <m/>
    <s v="Financement Associés"/>
    <x v="12"/>
    <s v="Olkypay"/>
    <s v="Silvia Tubia"/>
    <m/>
    <m/>
  </r>
  <r>
    <d v="2022-01-13T00:00:00"/>
    <d v="2022-01-13T00:00:00"/>
    <n v="1"/>
    <x v="1"/>
    <m/>
    <m/>
    <m/>
    <m/>
    <m/>
    <m/>
    <m/>
    <n v="90.27"/>
    <n v="19779.710000000003"/>
    <x v="5"/>
    <m/>
    <x v="0"/>
    <s v="CAPITAUX PROPRES ET PASSIF"/>
    <s v="C. DETTES"/>
    <s v="SHAREHOLDERS LOANS"/>
    <m/>
    <s v="Financement Associés"/>
    <x v="11"/>
    <s v="Olkypay"/>
    <s v="Edoardo Tubia"/>
    <m/>
    <m/>
  </r>
  <r>
    <d v="2022-01-14T00:00:00"/>
    <d v="2022-01-14T00:00:00"/>
    <n v="1"/>
    <x v="1"/>
    <m/>
    <m/>
    <m/>
    <m/>
    <m/>
    <m/>
    <m/>
    <n v="967.9"/>
    <n v="20747.610000000004"/>
    <x v="4"/>
    <m/>
    <x v="0"/>
    <s v="CAPITAUX PROPRES ET PASSIF"/>
    <s v="C. DETTES"/>
    <s v="SHAREHOLDERS LOANS"/>
    <m/>
    <s v="Financement Associés"/>
    <x v="10"/>
    <s v="Olkypay"/>
    <s v="Enrico Tubia"/>
    <m/>
    <m/>
  </r>
  <r>
    <d v="2022-01-17T00:00:00"/>
    <d v="2022-01-17T00:00:00"/>
    <n v="1"/>
    <x v="1"/>
    <m/>
    <m/>
    <m/>
    <m/>
    <m/>
    <m/>
    <m/>
    <n v="439.65"/>
    <n v="21187.260000000006"/>
    <x v="1"/>
    <m/>
    <x v="0"/>
    <s v="CAPITAUX PROPRES ET PASSIF"/>
    <s v="C. DETTES"/>
    <s v="SHAREHOLDERS LOANS"/>
    <m/>
    <s v="Financement Associés"/>
    <x v="3"/>
    <s v="Olkypay"/>
    <s v="Christine Oliveira"/>
    <m/>
    <m/>
  </r>
  <r>
    <d v="2022-01-17T00:00:00"/>
    <d v="2022-01-17T00:00:00"/>
    <n v="1"/>
    <x v="1"/>
    <m/>
    <m/>
    <m/>
    <m/>
    <m/>
    <m/>
    <m/>
    <n v="439.65"/>
    <n v="21626.910000000007"/>
    <x v="1"/>
    <m/>
    <x v="0"/>
    <s v="CAPITAUX PROPRES ET PASSIF"/>
    <s v="C. DETTES"/>
    <s v="SHAREHOLDERS LOANS"/>
    <m/>
    <s v="Financement Associés"/>
    <x v="4"/>
    <s v="Olkypay"/>
    <s v="Jens Liesen"/>
    <m/>
    <m/>
  </r>
  <r>
    <d v="2022-01-28T00:00:00"/>
    <d v="2022-01-28T00:00:00"/>
    <n v="1"/>
    <x v="1"/>
    <m/>
    <m/>
    <m/>
    <m/>
    <m/>
    <m/>
    <m/>
    <n v="-6397"/>
    <n v="15229.910000000007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2-01-28T00:00:00"/>
    <d v="2022-01-28T00:00:00"/>
    <n v="1"/>
    <x v="1"/>
    <m/>
    <m/>
    <m/>
    <m/>
    <m/>
    <m/>
    <m/>
    <n v="-2000"/>
    <n v="13229.910000000007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2-01-28T00:00:00"/>
    <d v="2022-01-28T00:00:00"/>
    <n v="1"/>
    <x v="1"/>
    <m/>
    <m/>
    <m/>
    <s v="LUX"/>
    <n v="-2500"/>
    <n v="0"/>
    <n v="0"/>
    <n v="-2500"/>
    <n v="10729.910000000007"/>
    <x v="0"/>
    <m/>
    <x v="1"/>
    <s v="COSTS"/>
    <m/>
    <s v="4411100 - Fournisseurs"/>
    <m/>
    <s v="Invoice Notaire Martine Schaeffer (via compte Custom SA)"/>
    <x v="36"/>
    <s v="Olkypay"/>
    <s v="Sombra e Agua Fresca Resort Sàrl"/>
    <m/>
    <s v="X"/>
  </r>
  <r>
    <d v="2022-01-31T00:00:00"/>
    <d v="2022-01-31T00:00:00"/>
    <n v="1"/>
    <x v="1"/>
    <m/>
    <m/>
    <m/>
    <m/>
    <m/>
    <m/>
    <m/>
    <n v="1196.92"/>
    <n v="11926.830000000007"/>
    <x v="6"/>
    <m/>
    <x v="0"/>
    <s v="CAPITAUX PROPRES ET PASSIF"/>
    <s v="C. DETTES"/>
    <s v="SHAREHOLDERS LOANS"/>
    <m/>
    <s v="Financement Associés"/>
    <x v="13"/>
    <s v="Olkypay"/>
    <s v="Susik Hemawiti"/>
    <m/>
    <m/>
  </r>
  <r>
    <d v="2022-02-01T00:00:00"/>
    <d v="2022-02-01T00:00:00"/>
    <n v="2"/>
    <x v="1"/>
    <m/>
    <m/>
    <m/>
    <m/>
    <m/>
    <m/>
    <m/>
    <n v="-20.5"/>
    <n v="11906.330000000007"/>
    <x v="0"/>
    <m/>
    <x v="1"/>
    <s v="COSTS"/>
    <m/>
    <s v="6133300 - FRAIS DE COMPTES ET COMMISSIONS BANCAIRES"/>
    <m/>
    <s v="Commissions"/>
    <x v="33"/>
    <s v="Olkypay"/>
    <s v="Olkypay"/>
    <m/>
    <m/>
  </r>
  <r>
    <d v="2022-02-01T00:00:00"/>
    <d v="2022-02-01T00:00:00"/>
    <n v="2"/>
    <x v="1"/>
    <m/>
    <m/>
    <m/>
    <m/>
    <m/>
    <m/>
    <m/>
    <n v="1048.25"/>
    <n v="12954.580000000007"/>
    <x v="2"/>
    <m/>
    <x v="0"/>
    <s v="CAPITAUX PROPRES ET PASSIF"/>
    <s v="C. DETTES"/>
    <s v="SHAREHOLDERS LOANS"/>
    <m/>
    <s v="Financement Associés"/>
    <x v="5"/>
    <s v="Olkypay"/>
    <s v="Giorgio Vignolle"/>
    <m/>
    <m/>
  </r>
  <r>
    <d v="2022-02-07T00:00:00"/>
    <d v="2022-02-07T00:00:00"/>
    <n v="2"/>
    <x v="1"/>
    <m/>
    <m/>
    <m/>
    <m/>
    <m/>
    <m/>
    <m/>
    <n v="1357.29"/>
    <n v="14311.870000000006"/>
    <x v="9"/>
    <m/>
    <x v="0"/>
    <s v="CAPITAUX PROPRES ET PASSIF"/>
    <s v="C. DETTES"/>
    <s v="SHAREHOLDERS LOANS"/>
    <m/>
    <s v="Financement Associés"/>
    <x v="37"/>
    <s v="Olkypay"/>
    <s v="Cofre Luxembourg Wind SA"/>
    <m/>
    <m/>
  </r>
  <r>
    <d v="2022-03-01T00:00:00"/>
    <d v="2022-03-01T00:00:00"/>
    <n v="3"/>
    <x v="1"/>
    <m/>
    <m/>
    <m/>
    <m/>
    <m/>
    <m/>
    <m/>
    <n v="-19.899999999999999"/>
    <n v="14291.970000000007"/>
    <x v="0"/>
    <m/>
    <x v="1"/>
    <s v="COSTS"/>
    <m/>
    <s v="6133300 - FRAIS DE COMPTES ET COMMISSIONS BANCAIRES"/>
    <m/>
    <s v="Commissions"/>
    <x v="33"/>
    <s v="Olkypay"/>
    <s v="Olkypay"/>
    <m/>
    <m/>
  </r>
  <r>
    <d v="2022-03-01T00:00:00"/>
    <d v="2022-03-01T00:00:00"/>
    <n v="3"/>
    <x v="1"/>
    <m/>
    <m/>
    <m/>
    <s v="LUX"/>
    <n v="-58.4"/>
    <n v="0.17"/>
    <n v="-9.9280000000000008"/>
    <n v="-68.328000000000003"/>
    <n v="14223.642000000007"/>
    <x v="0"/>
    <m/>
    <x v="1"/>
    <s v="COSTS"/>
    <m/>
    <s v="6134100 - HONORAIRES JURIDIQUES, DE CONTENTIEUX ET ASSIMILES"/>
    <m/>
    <s v="Invoice Notaire Martine Schaeffer"/>
    <x v="36"/>
    <s v="Olkypay"/>
    <s v="Sombra e Agua Fresca Resort Sàrl"/>
    <m/>
    <s v="X"/>
  </r>
  <r>
    <d v="2022-03-01T00:00:00"/>
    <d v="2022-03-01T00:00:00"/>
    <n v="3"/>
    <x v="1"/>
    <m/>
    <m/>
    <m/>
    <s v="LUX"/>
    <n v="-56"/>
    <n v="0"/>
    <n v="0"/>
    <n v="-56"/>
    <n v="14167.642000000007"/>
    <x v="0"/>
    <m/>
    <x v="1"/>
    <s v="COSTS"/>
    <m/>
    <s v="6134100 - HONORAIRES JURIDIQUES, DE CONTENTIEUX ET ASSIMILES"/>
    <m/>
    <s v="Invoice Notaire Martine Schaeffer"/>
    <x v="36"/>
    <s v="Olkypay"/>
    <s v="Sombra e Agua Fresca Resort Sàrl"/>
    <m/>
    <s v="X"/>
  </r>
  <r>
    <d v="2022-03-07T00:00:00"/>
    <d v="2022-03-07T00:00:00"/>
    <n v="3"/>
    <x v="1"/>
    <m/>
    <m/>
    <m/>
    <m/>
    <m/>
    <m/>
    <m/>
    <n v="-2938.37"/>
    <n v="11229.272000000008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2-03-07T00:00:00"/>
    <d v="2022-03-07T00:00:00"/>
    <n v="3"/>
    <x v="1"/>
    <m/>
    <m/>
    <m/>
    <m/>
    <m/>
    <m/>
    <m/>
    <n v="-319.86"/>
    <n v="10909.412000000008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2-03-11T00:00:00"/>
    <d v="2022-03-11T00:00:00"/>
    <n v="3"/>
    <x v="1"/>
    <m/>
    <m/>
    <m/>
    <m/>
    <m/>
    <m/>
    <m/>
    <n v="-3506.66"/>
    <n v="7402.7520000000077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2-03-11T00:00:00"/>
    <d v="2022-03-11T00:00:00"/>
    <n v="3"/>
    <x v="1"/>
    <m/>
    <m/>
    <m/>
    <m/>
    <m/>
    <m/>
    <m/>
    <n v="499.83"/>
    <n v="7902.5820000000076"/>
    <x v="3"/>
    <m/>
    <x v="0"/>
    <s v="CAPITAUX PROPRES ET PASSIF"/>
    <s v="C. DETTES"/>
    <s v="SHAREHOLDERS LOANS"/>
    <m/>
    <s v="Financement Associés"/>
    <x v="8"/>
    <s v="Olkypay"/>
    <s v="Giancarlo Raggi"/>
    <m/>
    <m/>
  </r>
  <r>
    <d v="2022-03-21T00:00:00"/>
    <d v="2022-03-21T00:00:00"/>
    <n v="3"/>
    <x v="1"/>
    <m/>
    <m/>
    <m/>
    <s v="LUX"/>
    <n v="2500"/>
    <n v="0"/>
    <n v="0"/>
    <n v="2500"/>
    <n v="10402.582000000008"/>
    <x v="0"/>
    <m/>
    <x v="1"/>
    <s v="COSTS"/>
    <m/>
    <s v="4411100 - Fournisseurs"/>
    <m/>
    <s v="Invoice Notaire Martine Schaeffer (via compte Custom SA)"/>
    <x v="36"/>
    <s v="Olkypay"/>
    <s v="Sombra e Agua Fresca Resort Sàrl"/>
    <m/>
    <s v="X"/>
  </r>
  <r>
    <d v="2022-03-21T00:00:00"/>
    <d v="2022-03-21T00:00:00"/>
    <n v="3"/>
    <x v="1"/>
    <m/>
    <m/>
    <m/>
    <s v="LUX"/>
    <n v="-2314.0100000000002"/>
    <n v="0.17"/>
    <n v="-393.38170000000008"/>
    <n v="-2707.3917000000001"/>
    <n v="7695.1903000000075"/>
    <x v="0"/>
    <m/>
    <x v="1"/>
    <s v="COSTS"/>
    <m/>
    <s v="4411100 - Fournisseurs"/>
    <m/>
    <s v="Invoice Notaire Martine Schaeffer"/>
    <x v="36"/>
    <s v="Olkypay"/>
    <s v="Sombra e Agua Fresca Resort Sàrl"/>
    <m/>
    <s v="X"/>
  </r>
  <r>
    <d v="2022-03-21T00:00:00"/>
    <d v="2022-03-21T00:00:00"/>
    <n v="3"/>
    <x v="1"/>
    <m/>
    <m/>
    <m/>
    <s v="LUX"/>
    <n v="-447"/>
    <n v="0"/>
    <n v="0"/>
    <n v="-447"/>
    <n v="7248.1903000000075"/>
    <x v="0"/>
    <m/>
    <x v="1"/>
    <s v="COSTS"/>
    <m/>
    <s v="4411100 - Fournisseurs"/>
    <m/>
    <s v="Invoice Notaire Martine Schaeffer"/>
    <x v="36"/>
    <s v="Olkypay"/>
    <s v="Sombra e Agua Fresca Resort Sàrl"/>
    <m/>
    <s v="X"/>
  </r>
  <r>
    <d v="2022-03-21T00:00:00"/>
    <d v="2022-03-21T00:00:00"/>
    <n v="3"/>
    <x v="1"/>
    <m/>
    <m/>
    <m/>
    <m/>
    <m/>
    <m/>
    <m/>
    <n v="-178.33"/>
    <n v="7069.8603000000076"/>
    <x v="0"/>
    <m/>
    <x v="1"/>
    <s v="COSTS"/>
    <s v="IMPOT FORTUNE"/>
    <s v="6811000 - IF - EXERCICE COURANT"/>
    <s v="IMPOT FORTUNE"/>
    <s v="Impôt Fortune 2022"/>
    <x v="38"/>
    <s v="Olkypay"/>
    <s v="Olkypay"/>
    <n v="2022"/>
    <m/>
  </r>
  <r>
    <d v="2022-03-24T00:00:00"/>
    <d v="2022-03-24T00:00:00"/>
    <n v="3"/>
    <x v="1"/>
    <m/>
    <m/>
    <m/>
    <m/>
    <m/>
    <m/>
    <m/>
    <n v="508.2"/>
    <n v="7578.0603000000074"/>
    <x v="3"/>
    <m/>
    <x v="0"/>
    <s v="CAPITAUX PROPRES ET PASSIF"/>
    <s v="C. DETTES"/>
    <s v="SHAREHOLDERS LOANS"/>
    <m/>
    <s v="Financement Associés"/>
    <x v="9"/>
    <s v="Olkypay"/>
    <s v="Ingrid Lambert"/>
    <m/>
    <m/>
  </r>
  <r>
    <d v="2022-03-25T00:00:00"/>
    <d v="2022-03-25T00:00:00"/>
    <n v="3"/>
    <x v="1"/>
    <m/>
    <m/>
    <m/>
    <m/>
    <m/>
    <m/>
    <m/>
    <n v="-3997.87"/>
    <n v="3580.1903000000075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2-03-31T00:00:00"/>
    <d v="2022-03-31T00:00:00"/>
    <n v="3"/>
    <x v="1"/>
    <m/>
    <m/>
    <m/>
    <m/>
    <m/>
    <m/>
    <m/>
    <n v="-69.150000000000006"/>
    <n v="3511.0403000000074"/>
    <x v="0"/>
    <m/>
    <x v="1"/>
    <s v="COSTS"/>
    <m/>
    <s v="6133300 - FRAIS DE COMPTES ET COMMISSIONS BANCAIRES"/>
    <m/>
    <s v="Commissions"/>
    <x v="33"/>
    <s v="Olkypay"/>
    <s v="Olkypay"/>
    <m/>
    <m/>
  </r>
  <r>
    <d v="2022-03-31T00:00:00"/>
    <d v="2022-03-31T00:00:00"/>
    <n v="3"/>
    <x v="1"/>
    <m/>
    <m/>
    <m/>
    <m/>
    <m/>
    <m/>
    <m/>
    <n v="-1.4"/>
    <n v="3509.6403000000073"/>
    <x v="0"/>
    <m/>
    <x v="1"/>
    <s v="COSTS"/>
    <m/>
    <s v="6133300 - FRAIS DE COMPTES ET COMMISSIONS BANCAIRES"/>
    <m/>
    <s v="Commissions"/>
    <x v="33"/>
    <s v="Olkypay"/>
    <s v="Olkypay"/>
    <m/>
    <m/>
  </r>
  <r>
    <d v="2022-04-01T00:00:00"/>
    <d v="2022-04-01T00:00:00"/>
    <n v="4"/>
    <x v="1"/>
    <m/>
    <m/>
    <m/>
    <m/>
    <m/>
    <m/>
    <m/>
    <n v="-19.899999999999999"/>
    <n v="3489.7403000000072"/>
    <x v="0"/>
    <m/>
    <x v="1"/>
    <s v="COSTS"/>
    <m/>
    <s v="6133300 - FRAIS DE COMPTES ET COMMISSIONS BANCAIRES"/>
    <m/>
    <s v="Commissions"/>
    <x v="33"/>
    <s v="Olkypay"/>
    <s v="Olkypay"/>
    <m/>
    <m/>
  </r>
  <r>
    <d v="2022-04-19T00:00:00"/>
    <d v="2022-04-19T00:00:00"/>
    <n v="4"/>
    <x v="1"/>
    <m/>
    <m/>
    <m/>
    <s v="LUX"/>
    <n v="-75"/>
    <n v="0.17"/>
    <n v="-12.750000000000002"/>
    <n v="-87.75"/>
    <n v="3401.9903000000072"/>
    <x v="0"/>
    <m/>
    <x v="1"/>
    <s v="COSTS"/>
    <m/>
    <s v="6134800 - AUTRES HONORAIRES"/>
    <m/>
    <s v="Invoice ABC Translations"/>
    <x v="39"/>
    <s v="Olkypay"/>
    <s v="Sombra e Agua Fresca Resort Sàrl"/>
    <m/>
    <s v="X"/>
  </r>
  <r>
    <d v="2022-04-21T00:00:00"/>
    <d v="2022-04-21T00:00:00"/>
    <n v="4"/>
    <x v="1"/>
    <m/>
    <m/>
    <m/>
    <m/>
    <m/>
    <m/>
    <m/>
    <n v="-2465.1"/>
    <n v="936.8903000000073"/>
    <x v="0"/>
    <m/>
    <x v="1"/>
    <s v="COSTS"/>
    <s v="IMPOT FORTUNE"/>
    <s v="6811000 - IF - EXERCICE COURANT"/>
    <s v="IMPOT FORTUNE"/>
    <s v="Impot Fortune Watergarden"/>
    <x v="38"/>
    <s v="Olkypay"/>
    <s v="Olkypay"/>
    <n v="2022"/>
    <m/>
  </r>
  <r>
    <d v="2022-04-21T00:00:00"/>
    <d v="2022-04-21T00:00:00"/>
    <n v="4"/>
    <x v="1"/>
    <m/>
    <m/>
    <m/>
    <m/>
    <m/>
    <m/>
    <m/>
    <n v="2465.1"/>
    <n v="3401.9903000000072"/>
    <x v="0"/>
    <m/>
    <x v="1"/>
    <s v="COSTS"/>
    <s v="IMPOT FORTUNE"/>
    <s v="6811000 - IF - EXERCICE COURANT"/>
    <s v="IMPOT FORTUNE"/>
    <s v="Impot Fortune Watergarden"/>
    <x v="38"/>
    <s v="Olkypay"/>
    <s v="Olkypay"/>
    <n v="2022"/>
    <m/>
  </r>
  <r>
    <d v="2022-05-02T00:00:00"/>
    <d v="2022-05-02T00:00:00"/>
    <n v="5"/>
    <x v="1"/>
    <m/>
    <m/>
    <m/>
    <m/>
    <m/>
    <m/>
    <m/>
    <n v="-20.3"/>
    <n v="3381.690300000007"/>
    <x v="0"/>
    <m/>
    <x v="1"/>
    <s v="COSTS"/>
    <m/>
    <s v="6133300 - FRAIS DE COMPTES ET COMMISSIONS BANCAIRES"/>
    <m/>
    <s v="Commissions"/>
    <x v="33"/>
    <s v="Olkypay"/>
    <s v="Olkypay"/>
    <m/>
    <m/>
  </r>
  <r>
    <d v="2022-05-18T00:00:00"/>
    <d v="2022-05-18T00:00:00"/>
    <n v="5"/>
    <x v="1"/>
    <m/>
    <m/>
    <m/>
    <s v="LUX"/>
    <n v="-21.37"/>
    <n v="0.17"/>
    <n v="-3.6329000000000002"/>
    <n v="-25.0029"/>
    <n v="3356.6874000000071"/>
    <x v="0"/>
    <m/>
    <x v="1"/>
    <s v="COSTS"/>
    <m/>
    <s v="6135000 - FRAIS D'ACTES NOTARIES ET ASSIMILES"/>
    <m/>
    <s v="Invoice Notaire Martine Schaeffer"/>
    <x v="36"/>
    <s v="Olkypay"/>
    <s v="Sombra e Agua Fresca Resort Sàrl"/>
    <m/>
    <s v="X"/>
  </r>
  <r>
    <d v="2022-05-20T00:00:00"/>
    <d v="2022-05-20T00:00:00"/>
    <n v="5"/>
    <x v="1"/>
    <m/>
    <m/>
    <m/>
    <m/>
    <m/>
    <m/>
    <m/>
    <n v="-20"/>
    <n v="3336.6874000000071"/>
    <x v="0"/>
    <m/>
    <x v="1"/>
    <s v="COSTS"/>
    <m/>
    <s v="6135000 - FRAIS D'ACTES NOTARIES ET ASSIMILES"/>
    <m/>
    <s v="Apostille sur documentation Ministère des Affaires Etrangeres et Européennes"/>
    <x v="40"/>
    <s v="Olkypay"/>
    <s v="Sombra e Agua Fresca Resort Sàrl"/>
    <m/>
    <m/>
  </r>
  <r>
    <d v="2022-05-27T00:00:00"/>
    <d v="2022-05-27T00:00:00"/>
    <n v="5"/>
    <x v="1"/>
    <m/>
    <m/>
    <m/>
    <s v="LUX"/>
    <n v="-72"/>
    <n v="0"/>
    <n v="0"/>
    <n v="-72"/>
    <n v="3264.6874000000071"/>
    <x v="0"/>
    <m/>
    <x v="1"/>
    <s v="COSTS"/>
    <m/>
    <s v="6135000 - FRAIS D'ACTES NOTARIES ET ASSIMILES"/>
    <m/>
    <s v="Invoice Notaire Martine Schaeffer"/>
    <x v="36"/>
    <s v="Olkypay"/>
    <s v="Sombra e Agua Fresca Resort Sàrl"/>
    <m/>
    <s v="X"/>
  </r>
  <r>
    <d v="2022-05-27T00:00:00"/>
    <d v="2022-05-27T00:00:00"/>
    <n v="5"/>
    <x v="1"/>
    <m/>
    <m/>
    <m/>
    <s v="LUX"/>
    <n v="-70"/>
    <n v="0.17"/>
    <n v="-11.9"/>
    <n v="-81.900000000000006"/>
    <n v="3182.787400000007"/>
    <x v="0"/>
    <m/>
    <x v="1"/>
    <s v="COSTS"/>
    <m/>
    <s v="6135000 - FRAIS D'ACTES NOTARIES ET ASSIMILES"/>
    <m/>
    <s v="Invoice Notaire Martine Schaeffer"/>
    <x v="36"/>
    <s v="Olkypay"/>
    <s v="Sombra e Agua Fresca Resort Sàrl"/>
    <m/>
    <s v="X"/>
  </r>
  <r>
    <d v="2022-06-01T00:00:00"/>
    <d v="2022-06-01T00:00:00"/>
    <n v="6"/>
    <x v="1"/>
    <m/>
    <m/>
    <m/>
    <m/>
    <m/>
    <m/>
    <m/>
    <n v="-20.5"/>
    <n v="3162.287400000007"/>
    <x v="0"/>
    <m/>
    <x v="1"/>
    <s v="COSTS"/>
    <m/>
    <s v="6133300 - FRAIS DE COMPTES ET COMMISSIONS BANCAIRES"/>
    <m/>
    <s v="Commissions"/>
    <x v="33"/>
    <s v="Olkypay"/>
    <s v="Olkypay"/>
    <m/>
    <m/>
  </r>
  <r>
    <d v="2022-06-14T00:00:00"/>
    <d v="2022-06-14T00:00:00"/>
    <n v="6"/>
    <x v="1"/>
    <m/>
    <m/>
    <m/>
    <m/>
    <m/>
    <m/>
    <m/>
    <n v="0"/>
    <n v="3162.287400000007"/>
    <x v="0"/>
    <m/>
    <x v="0"/>
    <s v="CAPITAUX PROPRES ET PASSIF"/>
    <s v="C. DETTES"/>
    <s v="4718001 - Autres dettes diverses - Tubia Edoardo"/>
    <m/>
    <s v="Financement Associés"/>
    <x v="17"/>
    <m/>
    <s v="Edoardo Tubia"/>
    <m/>
    <m/>
  </r>
  <r>
    <d v="2022-06-14T00:00:00"/>
    <d v="2022-06-14T00:00:00"/>
    <n v="6"/>
    <x v="1"/>
    <m/>
    <n v="-3081.75"/>
    <n v="1.0762"/>
    <s v="INTR"/>
    <n v="-2863.5476677197544"/>
    <n v="0"/>
    <n v="0"/>
    <n v="0"/>
    <n v="3162.287400000007"/>
    <x v="0"/>
    <m/>
    <x v="1"/>
    <s v="COSTS"/>
    <m/>
    <s v="4411100 - Fournisseurs"/>
    <m/>
    <s v="Invoice Arias &amp; Fabrega (via compte BDL de Tubia Edoardo)"/>
    <x v="41"/>
    <s v="Olkypay"/>
    <s v="Sombra e Agua Fresca Resort Sàrl"/>
    <m/>
    <s v="X"/>
  </r>
  <r>
    <d v="2022-06-17T00:00:00"/>
    <d v="2022-06-17T00:00:00"/>
    <n v="6"/>
    <x v="1"/>
    <m/>
    <m/>
    <m/>
    <s v="LUX"/>
    <n v="-75"/>
    <n v="0"/>
    <n v="0"/>
    <n v="-75"/>
    <n v="3087.287400000007"/>
    <x v="0"/>
    <m/>
    <x v="1"/>
    <s v="COSTS"/>
    <m/>
    <s v="6153100 - FRAIS POSTAUX"/>
    <m/>
    <s v="Invoice UPS"/>
    <x v="42"/>
    <s v="Olkypay"/>
    <s v="Sombra e Agua Fresca Resort Sàrl"/>
    <m/>
    <s v="X"/>
  </r>
  <r>
    <d v="2022-06-30T00:00:00"/>
    <d v="2022-06-30T00:00:00"/>
    <n v="6"/>
    <x v="1"/>
    <m/>
    <m/>
    <m/>
    <m/>
    <m/>
    <m/>
    <m/>
    <n v="-47.35"/>
    <n v="3039.9374000000071"/>
    <x v="0"/>
    <m/>
    <x v="1"/>
    <s v="COSTS"/>
    <m/>
    <s v="6133300 - FRAIS DE COMPTES ET COMMISSIONS BANCAIRES"/>
    <m/>
    <s v="Commissions"/>
    <x v="33"/>
    <s v="Olkypay"/>
    <s v="Olkypay"/>
    <m/>
    <m/>
  </r>
  <r>
    <d v="2022-06-30T00:00:00"/>
    <d v="2022-06-30T00:00:00"/>
    <n v="6"/>
    <x v="1"/>
    <m/>
    <m/>
    <m/>
    <m/>
    <m/>
    <m/>
    <m/>
    <n v="-0.2"/>
    <n v="3039.7374000000073"/>
    <x v="0"/>
    <m/>
    <x v="1"/>
    <s v="COSTS"/>
    <m/>
    <s v="6133300 - FRAIS DE COMPTES ET COMMISSIONS BANCAIRES"/>
    <m/>
    <s v="Commissions"/>
    <x v="33"/>
    <s v="Olkypay"/>
    <s v="Olkypay"/>
    <m/>
    <m/>
  </r>
  <r>
    <d v="2022-07-01T00:00:00"/>
    <d v="2022-07-01T00:00:00"/>
    <n v="7"/>
    <x v="1"/>
    <m/>
    <m/>
    <m/>
    <m/>
    <m/>
    <m/>
    <m/>
    <n v="-19.899999999999999"/>
    <n v="3019.8374000000072"/>
    <x v="0"/>
    <m/>
    <x v="1"/>
    <s v="COSTS"/>
    <m/>
    <s v="6133300 - FRAIS DE COMPTES ET COMMISSIONS BANCAIRES"/>
    <m/>
    <s v="Commissions"/>
    <x v="33"/>
    <s v="Olkypay"/>
    <s v="Olkypay"/>
    <m/>
    <m/>
  </r>
  <r>
    <d v="2022-07-14T00:00:00"/>
    <d v="2022-07-14T00:00:00"/>
    <n v="7"/>
    <x v="1"/>
    <m/>
    <m/>
    <m/>
    <m/>
    <m/>
    <m/>
    <m/>
    <n v="-178.33"/>
    <n v="2841.5074000000072"/>
    <x v="0"/>
    <m/>
    <x v="1"/>
    <s v="COSTS"/>
    <s v="IMPOT FORTUNE"/>
    <s v="6811000 - IF - EXERCICE COURANT"/>
    <s v="IMPOT FORTUNE"/>
    <s v="Impôt Fortune 2022"/>
    <x v="38"/>
    <s v="Olkypay"/>
    <s v="Olkypay"/>
    <n v="2022"/>
    <m/>
  </r>
  <r>
    <d v="2022-07-14T00:00:00"/>
    <d v="2022-07-14T00:00:00"/>
    <n v="7"/>
    <x v="1"/>
    <m/>
    <m/>
    <m/>
    <m/>
    <m/>
    <m/>
    <m/>
    <n v="-350"/>
    <n v="2491.5074000000072"/>
    <x v="0"/>
    <m/>
    <x v="1"/>
    <s v="COSTS"/>
    <m/>
    <s v="6187000 - COTISATIONS AUX ASSOCIATIONS PROFESSIONNELLES"/>
    <m/>
    <s v="Cotisation 2022"/>
    <x v="43"/>
    <s v="Olkypay"/>
    <s v="Olkypay"/>
    <m/>
    <m/>
  </r>
  <r>
    <d v="2022-08-01T00:00:00"/>
    <d v="2022-08-01T00:00:00"/>
    <n v="8"/>
    <x v="1"/>
    <m/>
    <m/>
    <m/>
    <m/>
    <m/>
    <m/>
    <m/>
    <n v="-20.3"/>
    <n v="2471.2074000000071"/>
    <x v="0"/>
    <m/>
    <x v="1"/>
    <s v="COSTS"/>
    <m/>
    <s v="6133300 - FRAIS DE COMPTES ET COMMISSIONS BANCAIRES"/>
    <m/>
    <s v="Commissions"/>
    <x v="33"/>
    <s v="Olkypay"/>
    <s v="Olkypay"/>
    <m/>
    <m/>
  </r>
  <r>
    <d v="2022-09-01T00:00:00"/>
    <d v="2022-09-01T00:00:00"/>
    <n v="9"/>
    <x v="1"/>
    <m/>
    <m/>
    <m/>
    <m/>
    <m/>
    <m/>
    <m/>
    <n v="-19.899999999999999"/>
    <n v="2451.307400000007"/>
    <x v="0"/>
    <m/>
    <x v="1"/>
    <s v="COSTS"/>
    <m/>
    <s v="6133300 - FRAIS DE COMPTES ET COMMISSIONS BANCAIRES"/>
    <m/>
    <s v="Commissions"/>
    <x v="33"/>
    <s v="Olkypay"/>
    <s v="Olkypay"/>
    <m/>
    <m/>
  </r>
  <r>
    <d v="2022-09-30T00:00:00"/>
    <d v="2022-09-30T00:00:00"/>
    <n v="9"/>
    <x v="1"/>
    <m/>
    <m/>
    <m/>
    <m/>
    <m/>
    <m/>
    <m/>
    <n v="-42.47"/>
    <n v="2408.8374000000072"/>
    <x v="0"/>
    <m/>
    <x v="1"/>
    <s v="COSTS"/>
    <m/>
    <s v="6133300 - FRAIS DE COMPTES ET COMMISSIONS BANCAIRES"/>
    <m/>
    <s v="Commissions"/>
    <x v="33"/>
    <s v="Olkypay"/>
    <s v="Olkypay"/>
    <m/>
    <m/>
  </r>
  <r>
    <d v="2022-10-01T00:00:00"/>
    <d v="2022-10-01T00:00:00"/>
    <n v="10"/>
    <x v="1"/>
    <m/>
    <m/>
    <m/>
    <m/>
    <m/>
    <m/>
    <m/>
    <n v="-19.899999999999999"/>
    <n v="2388.9374000000071"/>
    <x v="0"/>
    <m/>
    <x v="1"/>
    <s v="COSTS"/>
    <m/>
    <s v="6133300 - FRAIS DE COMPTES ET COMMISSIONS BANCAIRES"/>
    <m/>
    <s v="Commissions"/>
    <x v="33"/>
    <s v="Olkypay"/>
    <s v="Olkypay"/>
    <m/>
    <m/>
  </r>
  <r>
    <d v="2022-10-31T00:00:00"/>
    <d v="2022-10-31T00:00:00"/>
    <n v="10"/>
    <x v="1"/>
    <m/>
    <m/>
    <m/>
    <m/>
    <m/>
    <m/>
    <m/>
    <n v="-178.33"/>
    <n v="2210.6074000000071"/>
    <x v="0"/>
    <m/>
    <x v="1"/>
    <s v="COSTS"/>
    <s v="IMPOT FORTUNE"/>
    <s v="6811000 - IF - EXERCICE COURANT"/>
    <s v="IMPOT FORTUNE"/>
    <s v="Impôt Fortune 2022"/>
    <x v="38"/>
    <s v="Olkypay"/>
    <s v="Olkypay"/>
    <n v="2022"/>
    <m/>
  </r>
  <r>
    <d v="2022-11-01T00:00:00"/>
    <d v="2022-11-01T00:00:00"/>
    <n v="11"/>
    <x v="1"/>
    <m/>
    <m/>
    <m/>
    <m/>
    <m/>
    <m/>
    <m/>
    <n v="-20.100000000000001"/>
    <n v="2190.5074000000072"/>
    <x v="0"/>
    <m/>
    <x v="1"/>
    <s v="COSTS"/>
    <m/>
    <s v="6133300 - FRAIS DE COMPTES ET COMMISSIONS BANCAIRES"/>
    <m/>
    <s v="Commissions"/>
    <x v="33"/>
    <s v="Olkypay"/>
    <s v="Olkypay"/>
    <m/>
    <m/>
  </r>
  <r>
    <d v="2022-11-01T00:00:00"/>
    <d v="2022-12-01T00:00:00"/>
    <n v="12"/>
    <x v="1"/>
    <m/>
    <m/>
    <m/>
    <m/>
    <m/>
    <m/>
    <m/>
    <n v="-19.899999999999999"/>
    <n v="2170.6074000000071"/>
    <x v="0"/>
    <m/>
    <x v="1"/>
    <s v="COSTS"/>
    <m/>
    <s v="6133300 - FRAIS DE COMPTES ET COMMISSIONS BANCAIRES"/>
    <m/>
    <s v="Commissions"/>
    <x v="33"/>
    <s v="Olkypay"/>
    <s v="Olkypay"/>
    <m/>
    <m/>
  </r>
  <r>
    <d v="2022-12-31T00:00:00"/>
    <d v="2022-12-31T00:00:00"/>
    <n v="12"/>
    <x v="1"/>
    <m/>
    <m/>
    <m/>
    <m/>
    <m/>
    <m/>
    <m/>
    <n v="-40"/>
    <n v="2130.6074000000071"/>
    <x v="0"/>
    <m/>
    <x v="1"/>
    <s v="COSTS"/>
    <m/>
    <s v="6133300 - FRAIS DE COMPTES ET COMMISSIONS BANCAIRES"/>
    <m/>
    <s v="Commissions"/>
    <x v="33"/>
    <s v="Olkypay"/>
    <s v="Olkypay"/>
    <m/>
    <m/>
  </r>
  <r>
    <d v="2022-12-31T00:00:00"/>
    <d v="2022-12-31T00:00:00"/>
    <n v="12"/>
    <x v="1"/>
    <m/>
    <m/>
    <m/>
    <m/>
    <m/>
    <m/>
    <m/>
    <n v="-14126.71"/>
    <n v="-11996.102599999991"/>
    <x v="0"/>
    <m/>
    <x v="0"/>
    <s v="ACTIF"/>
    <s v="D. ACTIF CIRCULANT"/>
    <s v="IV. Avoirs en Banques et CCP: Olky"/>
    <m/>
    <s v="Actif circulant"/>
    <x v="2"/>
    <m/>
    <m/>
    <m/>
    <m/>
  </r>
  <r>
    <d v="2022-12-31T00:00:00"/>
    <d v="2022-12-31T00:00:00"/>
    <n v="12"/>
    <x v="1"/>
    <m/>
    <m/>
    <m/>
    <m/>
    <m/>
    <m/>
    <m/>
    <n v="14126.71"/>
    <n v="2130.6074000000081"/>
    <x v="0"/>
    <m/>
    <x v="0"/>
    <s v="ACTIF"/>
    <s v="D. ACTIF CIRCULANT"/>
    <s v="IV. Avoirs en Banques et CCP: Olky"/>
    <m/>
    <s v="Actif circulant"/>
    <x v="1"/>
    <m/>
    <s v="Sombra e Agua Fresca Resort Sàrl"/>
    <m/>
    <m/>
  </r>
  <r>
    <d v="2022-12-31T00:00:00"/>
    <d v="2022-12-31T00:00:00"/>
    <n v="12"/>
    <x v="1"/>
    <m/>
    <m/>
    <m/>
    <m/>
    <m/>
    <m/>
    <m/>
    <n v="-3154.39"/>
    <n v="-1023.7825999999918"/>
    <x v="0"/>
    <m/>
    <x v="0"/>
    <s v="CAPITAUX PROPRES ET PASSIF"/>
    <s v="C. DETTES"/>
    <s v="4411100 - Fournisseurs"/>
    <m/>
    <s v="Dettes"/>
    <x v="16"/>
    <m/>
    <m/>
    <m/>
    <m/>
  </r>
  <r>
    <d v="2022-12-31T00:00:00"/>
    <d v="2022-12-31T00:00:00"/>
    <n v="12"/>
    <x v="1"/>
    <m/>
    <m/>
    <m/>
    <m/>
    <m/>
    <m/>
    <m/>
    <n v="3154.39"/>
    <n v="2130.6074000000081"/>
    <x v="0"/>
    <m/>
    <x v="0"/>
    <s v="CAPITAUX PROPRES ET PASSIF"/>
    <s v="C. DETTES"/>
    <s v="Divers"/>
    <m/>
    <s v="Dettes"/>
    <x v="1"/>
    <m/>
    <s v="Sombra e Agua Fresca Resort Sàrl"/>
    <m/>
    <m/>
  </r>
  <r>
    <d v="2022-12-31T00:00:00"/>
    <d v="2022-12-31T00:00:00"/>
    <n v="12"/>
    <x v="1"/>
    <m/>
    <m/>
    <m/>
    <m/>
    <m/>
    <m/>
    <m/>
    <n v="4640"/>
    <n v="6770.6074000000081"/>
    <x v="0"/>
    <m/>
    <x v="0"/>
    <s v="CAPITAUX PROPRES ET PASSIF"/>
    <s v="C. DETTES"/>
    <s v="4411200 - Fournisseurs - Factures non parvenues"/>
    <m/>
    <s v="Dettes"/>
    <x v="16"/>
    <m/>
    <m/>
    <m/>
    <m/>
  </r>
  <r>
    <d v="2022-12-31T00:00:00"/>
    <d v="2022-12-31T00:00:00"/>
    <n v="12"/>
    <x v="1"/>
    <m/>
    <m/>
    <m/>
    <m/>
    <m/>
    <m/>
    <m/>
    <n v="-4640"/>
    <n v="2130.6074000000081"/>
    <x v="0"/>
    <m/>
    <x v="0"/>
    <s v="CAPITAUX PROPRES ET PASSIF"/>
    <s v="C. DETTES"/>
    <s v="Divers"/>
    <m/>
    <s v="Dettes"/>
    <x v="1"/>
    <m/>
    <s v="Sombra e Agua Fresca Resort Sàrl"/>
    <m/>
    <m/>
  </r>
  <r>
    <d v="2022-12-31T00:00:00"/>
    <d v="2022-12-31T00:00:00"/>
    <n v="12"/>
    <x v="1"/>
    <m/>
    <m/>
    <m/>
    <m/>
    <m/>
    <m/>
    <m/>
    <n v="4280.01"/>
    <n v="6410.6174000000083"/>
    <x v="0"/>
    <m/>
    <x v="0"/>
    <s v="CAPITAUX PROPRES ET PASSIF"/>
    <s v="DETTES"/>
    <s v="4612320 - IF - dette fiscale à payer"/>
    <m/>
    <s v="Dettes"/>
    <x v="38"/>
    <m/>
    <m/>
    <m/>
    <m/>
  </r>
  <r>
    <d v="2022-12-31T00:00:00"/>
    <d v="2022-12-31T00:00:00"/>
    <n v="12"/>
    <x v="1"/>
    <m/>
    <m/>
    <m/>
    <m/>
    <m/>
    <m/>
    <m/>
    <n v="-4280.01"/>
    <n v="2130.6074000000081"/>
    <x v="0"/>
    <m/>
    <x v="0"/>
    <s v="CAPITAUX PROPRES ET PASSIF"/>
    <s v="C. DETTES"/>
    <s v="Divers"/>
    <m/>
    <s v="Dettes"/>
    <x v="1"/>
    <m/>
    <s v="Sombra e Agua Fresca Resort Sàrl"/>
    <m/>
    <m/>
  </r>
  <r>
    <d v="2022-12-31T00:00:00"/>
    <d v="2022-12-31T00:00:00"/>
    <n v="12"/>
    <x v="1"/>
    <m/>
    <m/>
    <m/>
    <m/>
    <m/>
    <m/>
    <m/>
    <n v="5652.07"/>
    <n v="7782.6774000000078"/>
    <x v="0"/>
    <m/>
    <x v="0"/>
    <s v="CAPITAUX PROPRES ET PASSIF"/>
    <s v="A. CAPITAUX PROPRES"/>
    <s v="VI. Résultats de l'exercise"/>
    <m/>
    <s v="Résultats de l'exercise"/>
    <x v="19"/>
    <m/>
    <m/>
    <m/>
    <m/>
  </r>
  <r>
    <d v="2022-12-31T00:00:00"/>
    <d v="2022-12-31T00:00:00"/>
    <n v="12"/>
    <x v="1"/>
    <m/>
    <m/>
    <m/>
    <m/>
    <m/>
    <m/>
    <m/>
    <n v="-5652.07"/>
    <n v="2130.6074000000081"/>
    <x v="0"/>
    <m/>
    <x v="0"/>
    <s v="CAPITAUX PROPRES ET PASSIF"/>
    <s v="A. CAPITAUX PROPRES"/>
    <s v="VI. Résultats de l'exercise"/>
    <m/>
    <s v="Résultats de l'exercise"/>
    <x v="1"/>
    <m/>
    <s v="Sombra e Agua Fresca Resort Sàrl"/>
    <m/>
    <m/>
  </r>
  <r>
    <d v="2022-12-31T00:00:00"/>
    <d v="2022-12-31T00:00:00"/>
    <n v="12"/>
    <x v="1"/>
    <m/>
    <m/>
    <m/>
    <m/>
    <m/>
    <m/>
    <m/>
    <n v="-5652.07"/>
    <n v="-3521.4625999999917"/>
    <x v="0"/>
    <m/>
    <x v="0"/>
    <s v="CAPITAUX PROPRES ET PASSIF"/>
    <s v="A. CAPITAUX PROPRES"/>
    <s v="V. Résultats reportés"/>
    <m/>
    <s v="Résultats reportés"/>
    <x v="44"/>
    <m/>
    <m/>
    <m/>
    <m/>
  </r>
  <r>
    <d v="2022-12-31T00:00:00"/>
    <d v="2022-12-31T00:00:00"/>
    <n v="12"/>
    <x v="1"/>
    <m/>
    <m/>
    <m/>
    <m/>
    <m/>
    <m/>
    <m/>
    <n v="5652.07"/>
    <n v="2130.6074000000081"/>
    <x v="0"/>
    <m/>
    <x v="0"/>
    <s v="CAPITAUX PROPRES ET PASSIF"/>
    <s v="A. CAPITAUX PROPRES"/>
    <s v="V. Résultats reportés"/>
    <m/>
    <s v="Résultats reportés"/>
    <x v="1"/>
    <m/>
    <s v="Sombra e Agua Fresca Resort Sàrl"/>
    <m/>
    <m/>
  </r>
  <r>
    <d v="2022-12-31T00:00:00"/>
    <d v="2022-12-31T00:00:00"/>
    <n v="12"/>
    <x v="1"/>
    <m/>
    <m/>
    <m/>
    <m/>
    <m/>
    <m/>
    <m/>
    <n v="-13596.1"/>
    <n v="-11465.492599999992"/>
    <x v="0"/>
    <m/>
    <x v="0"/>
    <s v="CAPITAUX PROPRES ET PASSIF"/>
    <s v="A. CAPITAUX PROPRES"/>
    <s v="VI. Résultats de l'exercise"/>
    <m/>
    <s v="Résultats de l'exercise"/>
    <x v="19"/>
    <m/>
    <m/>
    <m/>
    <m/>
  </r>
  <r>
    <d v="2022-12-31T00:00:00"/>
    <d v="2022-12-31T00:00:00"/>
    <n v="12"/>
    <x v="1"/>
    <m/>
    <m/>
    <m/>
    <m/>
    <m/>
    <m/>
    <m/>
    <n v="13596.1"/>
    <n v="2130.6074000000081"/>
    <x v="0"/>
    <m/>
    <x v="0"/>
    <s v="CAPITAUX PROPRES ET PASSIF"/>
    <s v="A. CAPITAUX PROPRES"/>
    <s v="VI. Résultats de l'exercise"/>
    <m/>
    <s v="Résultats de l'exercise"/>
    <x v="1"/>
    <m/>
    <s v="Sombra e Agua Fresca Resort Sàrl"/>
    <m/>
    <m/>
  </r>
  <r>
    <d v="2023-01-01T00:00:00"/>
    <d v="2023-01-01T00:00:00"/>
    <n v="1"/>
    <x v="2"/>
    <m/>
    <m/>
    <m/>
    <m/>
    <m/>
    <m/>
    <m/>
    <n v="0.32"/>
    <n v="2130.9274000000082"/>
    <x v="1"/>
    <m/>
    <x v="0"/>
    <s v="CAPITAUX PROPRES ET PASSIF"/>
    <s v="A. CAPITAUX PROPRES"/>
    <s v="I. CAPITAL SOUSCRIT"/>
    <m/>
    <s v="1010000 - Capital Souscrit"/>
    <x v="26"/>
    <m/>
    <s v="Christine Oliveira"/>
    <m/>
    <m/>
  </r>
  <r>
    <d v="2023-01-01T00:00:00"/>
    <d v="2023-01-01T00:00:00"/>
    <n v="1"/>
    <x v="2"/>
    <m/>
    <m/>
    <m/>
    <m/>
    <m/>
    <m/>
    <m/>
    <n v="-0.32"/>
    <n v="2130.6074000000081"/>
    <x v="1"/>
    <m/>
    <x v="0"/>
    <s v="CAPITAUX PROPRES ET PASSIF"/>
    <s v="C. DETTES"/>
    <s v="SHAREHOLDERS LOANS"/>
    <m/>
    <s v="Financement Associés"/>
    <x v="3"/>
    <m/>
    <s v="Christine Oliveira"/>
    <m/>
    <m/>
  </r>
  <r>
    <d v="2023-01-01T00:00:00"/>
    <d v="2023-01-01T00:00:00"/>
    <n v="1"/>
    <x v="2"/>
    <m/>
    <m/>
    <m/>
    <m/>
    <m/>
    <m/>
    <m/>
    <n v="0.32"/>
    <n v="2130.9274000000082"/>
    <x v="1"/>
    <m/>
    <x v="0"/>
    <s v="CAPITAUX PROPRES ET PASSIF"/>
    <s v="A. CAPITAUX PROPRES"/>
    <s v="I. CAPITAL SOUSCRIT"/>
    <m/>
    <s v="1010000 - Capital Souscrit"/>
    <x v="27"/>
    <m/>
    <s v="Jens Liesen"/>
    <m/>
    <m/>
  </r>
  <r>
    <d v="2023-01-01T00:00:00"/>
    <d v="2023-01-01T00:00:00"/>
    <n v="1"/>
    <x v="2"/>
    <m/>
    <m/>
    <m/>
    <m/>
    <m/>
    <m/>
    <m/>
    <n v="-0.32"/>
    <n v="2130.6074000000081"/>
    <x v="1"/>
    <m/>
    <x v="0"/>
    <s v="CAPITAUX PROPRES ET PASSIF"/>
    <s v="C. DETTES"/>
    <s v="SHAREHOLDERS LOANS"/>
    <m/>
    <s v="Financement Associés"/>
    <x v="4"/>
    <m/>
    <s v="Jens Liesen"/>
    <m/>
    <m/>
  </r>
  <r>
    <d v="2023-01-01T00:00:00"/>
    <d v="2023-01-01T00:00:00"/>
    <n v="1"/>
    <x v="2"/>
    <m/>
    <m/>
    <m/>
    <m/>
    <m/>
    <m/>
    <m/>
    <n v="0.25"/>
    <n v="2130.8574000000081"/>
    <x v="2"/>
    <m/>
    <x v="0"/>
    <s v="CAPITAUX PROPRES ET PASSIF"/>
    <s v="A. CAPITAUX PROPRES"/>
    <s v="I. CAPITAL SOUSCRIT"/>
    <m/>
    <s v="1010000 - Capital Souscrit"/>
    <x v="28"/>
    <m/>
    <s v="Giorgio Vignolle"/>
    <m/>
    <m/>
  </r>
  <r>
    <d v="2023-01-01T00:00:00"/>
    <d v="2023-01-01T00:00:00"/>
    <n v="1"/>
    <x v="2"/>
    <m/>
    <m/>
    <m/>
    <m/>
    <m/>
    <m/>
    <m/>
    <n v="-0.25"/>
    <n v="2130.6074000000081"/>
    <x v="2"/>
    <m/>
    <x v="0"/>
    <s v="CAPITAUX PROPRES ET PASSIF"/>
    <s v="C. DETTES"/>
    <s v="SHAREHOLDERS LOANS"/>
    <m/>
    <s v="Financement Associés"/>
    <x v="5"/>
    <m/>
    <s v="Giorgio Vignolle"/>
    <m/>
    <m/>
  </r>
  <r>
    <d v="2023-01-01T00:00:00"/>
    <d v="2023-01-01T00:00:00"/>
    <n v="1"/>
    <x v="2"/>
    <m/>
    <m/>
    <m/>
    <m/>
    <m/>
    <m/>
    <m/>
    <n v="0.5"/>
    <n v="2131.1074000000081"/>
    <x v="3"/>
    <m/>
    <x v="0"/>
    <s v="CAPITAUX PROPRES ET PASSIF"/>
    <s v="A. CAPITAUX PROPRES"/>
    <s v="I. CAPITAL SOUSCRIT"/>
    <m/>
    <s v="1010000 - Capital Souscrit"/>
    <x v="21"/>
    <m/>
    <s v="Giancarlo Raggi"/>
    <m/>
    <m/>
  </r>
  <r>
    <d v="2023-01-01T00:00:00"/>
    <d v="2023-01-01T00:00:00"/>
    <n v="1"/>
    <x v="2"/>
    <m/>
    <m/>
    <m/>
    <m/>
    <m/>
    <m/>
    <m/>
    <n v="-0.5"/>
    <n v="2130.6074000000081"/>
    <x v="3"/>
    <m/>
    <x v="0"/>
    <s v="CAPITAUX PROPRES ET PASSIF"/>
    <s v="C. DETTES"/>
    <s v="SHAREHOLDERS LOANS"/>
    <m/>
    <s v="Financement Associés"/>
    <x v="8"/>
    <m/>
    <s v="Giancarlo Raggi"/>
    <m/>
    <m/>
  </r>
  <r>
    <d v="2023-01-01T00:00:00"/>
    <d v="2023-01-01T00:00:00"/>
    <n v="1"/>
    <x v="2"/>
    <m/>
    <m/>
    <m/>
    <m/>
    <m/>
    <m/>
    <m/>
    <n v="-0.47"/>
    <n v="2130.1374000000083"/>
    <x v="3"/>
    <m/>
    <x v="0"/>
    <s v="CAPITAUX PROPRES ET PASSIF"/>
    <s v="A. CAPITAUX PROPRES"/>
    <s v="I. CAPITAL SOUSCRIT"/>
    <m/>
    <s v="1010000 - Capital Souscrit"/>
    <x v="32"/>
    <m/>
    <s v="Ingrid Lambert"/>
    <m/>
    <m/>
  </r>
  <r>
    <d v="2023-01-01T00:00:00"/>
    <d v="2023-01-01T00:00:00"/>
    <n v="1"/>
    <x v="2"/>
    <m/>
    <m/>
    <m/>
    <m/>
    <m/>
    <m/>
    <m/>
    <n v="0.47"/>
    <n v="2130.6074000000081"/>
    <x v="3"/>
    <m/>
    <x v="0"/>
    <s v="CAPITAUX PROPRES ET PASSIF"/>
    <s v="C. DETTES"/>
    <s v="SHAREHOLDERS LOANS"/>
    <m/>
    <s v="Financement Associés"/>
    <x v="9"/>
    <m/>
    <s v="Ingrid Lambert"/>
    <m/>
    <m/>
  </r>
  <r>
    <d v="2023-01-01T00:00:00"/>
    <d v="2023-01-01T00:00:00"/>
    <n v="1"/>
    <x v="2"/>
    <m/>
    <m/>
    <m/>
    <m/>
    <m/>
    <m/>
    <m/>
    <n v="-0.1"/>
    <n v="2130.5074000000081"/>
    <x v="4"/>
    <m/>
    <x v="0"/>
    <s v="CAPITAUX PROPRES ET PASSIF"/>
    <s v="A. CAPITAUX PROPRES"/>
    <s v="I. CAPITAL SOUSCRIT"/>
    <m/>
    <s v="1010000 - Capital Souscrit"/>
    <x v="25"/>
    <m/>
    <s v="Enrico Tubia"/>
    <m/>
    <m/>
  </r>
  <r>
    <d v="2023-01-01T00:00:00"/>
    <d v="2023-01-01T00:00:00"/>
    <n v="1"/>
    <x v="2"/>
    <m/>
    <m/>
    <m/>
    <m/>
    <m/>
    <m/>
    <m/>
    <n v="0.1"/>
    <n v="2130.6074000000081"/>
    <x v="4"/>
    <m/>
    <x v="0"/>
    <s v="CAPITAUX PROPRES ET PASSIF"/>
    <s v="C. DETTES"/>
    <s v="SHAREHOLDERS LOANS"/>
    <m/>
    <s v="Financement Associés"/>
    <x v="10"/>
    <m/>
    <s v="Enrico Tubia"/>
    <m/>
    <m/>
  </r>
  <r>
    <d v="2023-01-01T00:00:00"/>
    <d v="2023-01-01T00:00:00"/>
    <n v="1"/>
    <x v="2"/>
    <m/>
    <m/>
    <m/>
    <m/>
    <m/>
    <m/>
    <m/>
    <n v="0.27"/>
    <n v="2130.877400000008"/>
    <x v="5"/>
    <m/>
    <x v="0"/>
    <s v="CAPITAUX PROPRES ET PASSIF"/>
    <s v="A. CAPITAUX PROPRES"/>
    <s v="I. CAPITAL SOUSCRIT"/>
    <m/>
    <s v="1010000 - Capital Souscrit"/>
    <x v="23"/>
    <m/>
    <s v="Edoardo Tubia"/>
    <m/>
    <m/>
  </r>
  <r>
    <d v="2023-01-01T00:00:00"/>
    <d v="2023-01-01T00:00:00"/>
    <n v="1"/>
    <x v="2"/>
    <m/>
    <m/>
    <m/>
    <m/>
    <m/>
    <m/>
    <m/>
    <n v="-0.27"/>
    <n v="2130.6074000000081"/>
    <x v="5"/>
    <m/>
    <x v="0"/>
    <s v="CAPITAUX PROPRES ET PASSIF"/>
    <s v="C. DETTES"/>
    <s v="SHAREHOLDERS LOANS"/>
    <m/>
    <s v="Financement Associés"/>
    <x v="11"/>
    <m/>
    <s v="Edoardo Tubia"/>
    <m/>
    <m/>
  </r>
  <r>
    <d v="2023-01-01T00:00:00"/>
    <d v="2023-01-01T00:00:00"/>
    <n v="1"/>
    <x v="2"/>
    <m/>
    <m/>
    <m/>
    <m/>
    <m/>
    <m/>
    <m/>
    <n v="-0.1"/>
    <n v="2130.5074000000081"/>
    <x v="5"/>
    <m/>
    <x v="0"/>
    <s v="CAPITAUX PROPRES ET PASSIF"/>
    <s v="A. CAPITAUX PROPRES"/>
    <s v="I. CAPITAL SOUSCRIT"/>
    <m/>
    <s v="1010000 - Capital Souscrit"/>
    <x v="20"/>
    <m/>
    <s v="Silvia Tubia"/>
    <m/>
    <m/>
  </r>
  <r>
    <d v="2023-01-01T00:00:00"/>
    <d v="2023-01-01T00:00:00"/>
    <n v="1"/>
    <x v="2"/>
    <m/>
    <m/>
    <m/>
    <m/>
    <m/>
    <m/>
    <m/>
    <n v="0.1"/>
    <n v="2130.6074000000081"/>
    <x v="5"/>
    <m/>
    <x v="0"/>
    <s v="CAPITAUX PROPRES ET PASSIF"/>
    <s v="C. DETTES"/>
    <s v="SHAREHOLDERS LOANS"/>
    <m/>
    <s v="Financement Associés"/>
    <x v="12"/>
    <m/>
    <s v="Silvia Tubia"/>
    <m/>
    <m/>
  </r>
  <r>
    <d v="2023-01-01T00:00:00"/>
    <d v="2023-01-01T00:00:00"/>
    <n v="1"/>
    <x v="2"/>
    <m/>
    <m/>
    <m/>
    <m/>
    <m/>
    <m/>
    <m/>
    <n v="-0.41"/>
    <n v="2130.1974000000082"/>
    <x v="6"/>
    <m/>
    <x v="0"/>
    <s v="CAPITAUX PROPRES ET PASSIF"/>
    <s v="A. CAPITAUX PROPRES"/>
    <s v="I. CAPITAL SOUSCRIT"/>
    <m/>
    <s v="1010000 - Capital Souscrit"/>
    <x v="24"/>
    <m/>
    <s v="Susik Hemawiti"/>
    <m/>
    <m/>
  </r>
  <r>
    <d v="2023-01-01T00:00:00"/>
    <d v="2023-01-01T00:00:00"/>
    <n v="1"/>
    <x v="2"/>
    <m/>
    <m/>
    <m/>
    <m/>
    <m/>
    <m/>
    <m/>
    <n v="0.41"/>
    <n v="2130.6074000000081"/>
    <x v="6"/>
    <m/>
    <x v="0"/>
    <s v="CAPITAUX PROPRES ET PASSIF"/>
    <s v="C. DETTES"/>
    <s v="SHAREHOLDERS LOANS"/>
    <m/>
    <s v="Financement Associés"/>
    <x v="13"/>
    <m/>
    <s v="Susik Hemawiti"/>
    <m/>
    <m/>
  </r>
  <r>
    <d v="2023-01-01T00:00:00"/>
    <d v="2023-01-01T00:00:00"/>
    <n v="1"/>
    <x v="2"/>
    <m/>
    <m/>
    <m/>
    <m/>
    <m/>
    <m/>
    <m/>
    <n v="-0.51"/>
    <n v="2130.0974000000078"/>
    <x v="7"/>
    <m/>
    <x v="0"/>
    <s v="CAPITAUX PROPRES ET PASSIF"/>
    <s v="A. CAPITAUX PROPRES"/>
    <s v="I. CAPITAL SOUSCRIT"/>
    <m/>
    <s v="1010000 - Capital Souscrit"/>
    <x v="22"/>
    <m/>
    <s v="New Life Sàrl"/>
    <m/>
    <m/>
  </r>
  <r>
    <d v="2023-01-01T00:00:00"/>
    <d v="2023-01-01T00:00:00"/>
    <n v="1"/>
    <x v="2"/>
    <m/>
    <m/>
    <m/>
    <m/>
    <m/>
    <m/>
    <m/>
    <n v="0.51"/>
    <n v="2130.6074000000081"/>
    <x v="7"/>
    <m/>
    <x v="0"/>
    <s v="CAPITAUX PROPRES ET PASSIF"/>
    <s v="C. DETTES"/>
    <s v="SHAREHOLDERS LOANS"/>
    <m/>
    <s v="Financement Associés"/>
    <x v="14"/>
    <m/>
    <s v="New Life Sàrl"/>
    <m/>
    <m/>
  </r>
  <r>
    <d v="2023-01-01T00:00:00"/>
    <d v="2023-01-01T00:00:00"/>
    <n v="1"/>
    <x v="2"/>
    <m/>
    <m/>
    <m/>
    <m/>
    <m/>
    <m/>
    <m/>
    <n v="-0.04"/>
    <n v="2130.5674000000081"/>
    <x v="8"/>
    <m/>
    <x v="0"/>
    <s v="CAPITAUX PROPRES ET PASSIF"/>
    <s v="A. CAPITAUX PROPRES"/>
    <s v="I. CAPITAL SOUSCRIT"/>
    <m/>
    <s v="1010000 - Capital Souscrit"/>
    <x v="31"/>
    <m/>
    <s v="Michel Barbancey"/>
    <m/>
    <m/>
  </r>
  <r>
    <d v="2023-01-01T00:00:00"/>
    <d v="2023-01-01T00:00:00"/>
    <n v="1"/>
    <x v="2"/>
    <m/>
    <m/>
    <m/>
    <m/>
    <m/>
    <m/>
    <m/>
    <n v="0.04"/>
    <n v="2130.6074000000081"/>
    <x v="8"/>
    <m/>
    <x v="0"/>
    <s v="CAPITAUX PROPRES ET PASSIF"/>
    <s v="C. DETTES"/>
    <s v="SHAREHOLDERS LOANS"/>
    <m/>
    <s v="Financement Associés"/>
    <x v="15"/>
    <m/>
    <s v="Michel Barbancey"/>
    <m/>
    <m/>
  </r>
  <r>
    <d v="2023-01-01T00:00:00"/>
    <d v="2023-01-01T00:00:00"/>
    <n v="1"/>
    <x v="2"/>
    <m/>
    <m/>
    <m/>
    <m/>
    <m/>
    <m/>
    <m/>
    <n v="-0.04"/>
    <n v="2130.5674000000081"/>
    <x v="9"/>
    <m/>
    <x v="0"/>
    <s v="CAPITAUX PROPRES ET PASSIF"/>
    <s v="A. CAPITAUX PROPRES"/>
    <s v="I. CAPITAL SOUSCRIT"/>
    <m/>
    <s v="1010000 - Capital Souscrit"/>
    <x v="35"/>
    <m/>
    <s v="Cofre Luxembourg Wind SA"/>
    <m/>
    <m/>
  </r>
  <r>
    <d v="2023-01-01T00:00:00"/>
    <d v="2023-01-01T00:00:00"/>
    <n v="1"/>
    <x v="2"/>
    <m/>
    <m/>
    <m/>
    <m/>
    <m/>
    <m/>
    <m/>
    <n v="0.04"/>
    <n v="2130.6074000000081"/>
    <x v="9"/>
    <m/>
    <x v="0"/>
    <s v="CAPITAUX PROPRES ET PASSIF"/>
    <s v="C. DETTES"/>
    <s v="SHAREHOLDERS LOANS"/>
    <m/>
    <s v="Financement Associés"/>
    <x v="37"/>
    <m/>
    <s v="Cofre Luxembourg Wind SA"/>
    <m/>
    <m/>
  </r>
  <r>
    <d v="2023-01-02T00:00:00"/>
    <d v="2023-01-02T00:00:00"/>
    <n v="1"/>
    <x v="2"/>
    <m/>
    <m/>
    <m/>
    <m/>
    <m/>
    <m/>
    <m/>
    <n v="-19.899999999999999"/>
    <n v="2110.707400000008"/>
    <x v="0"/>
    <m/>
    <x v="1"/>
    <s v="COSTS"/>
    <m/>
    <s v="6133300 - FRAIS DE COMPTES ET COMMISSIONS BANCAIRES"/>
    <m/>
    <s v="Commissions"/>
    <x v="33"/>
    <s v="Olkypay"/>
    <s v="Olkypay"/>
    <m/>
    <m/>
  </r>
  <r>
    <d v="2023-02-01T00:00:00"/>
    <d v="2023-02-01T00:00:00"/>
    <n v="2"/>
    <x v="2"/>
    <m/>
    <m/>
    <m/>
    <m/>
    <m/>
    <m/>
    <m/>
    <n v="-19.899999999999999"/>
    <n v="2090.8074000000079"/>
    <x v="0"/>
    <m/>
    <x v="1"/>
    <s v="COSTS"/>
    <m/>
    <s v="6133300 - FRAIS DE COMPTES ET COMMISSIONS BANCAIRES"/>
    <m/>
    <s v="Commissions"/>
    <x v="33"/>
    <s v="Olkypay"/>
    <s v="Olkypay"/>
    <m/>
    <m/>
  </r>
  <r>
    <d v="2023-03-01T00:00:00"/>
    <d v="2023-03-01T00:00:00"/>
    <n v="3"/>
    <x v="2"/>
    <m/>
    <m/>
    <m/>
    <m/>
    <m/>
    <m/>
    <m/>
    <n v="-19.899999999999999"/>
    <n v="2070.9074000000078"/>
    <x v="0"/>
    <m/>
    <x v="1"/>
    <s v="COSTS"/>
    <m/>
    <s v="6133300 - FRAIS DE COMPTES ET COMMISSIONS BANCAIRES"/>
    <m/>
    <s v="Commissions"/>
    <x v="33"/>
    <s v="Olkypay"/>
    <s v="Olkypay"/>
    <m/>
    <m/>
  </r>
  <r>
    <d v="2023-03-31T00:00:00"/>
    <d v="2023-03-31T00:00:00"/>
    <n v="3"/>
    <x v="2"/>
    <m/>
    <m/>
    <m/>
    <m/>
    <m/>
    <m/>
    <m/>
    <n v="-40"/>
    <n v="2030.9074000000078"/>
    <x v="0"/>
    <m/>
    <x v="1"/>
    <s v="COSTS"/>
    <m/>
    <s v="6133300 - FRAIS DE COMPTES ET COMMISSIONS BANCAIRES"/>
    <m/>
    <s v="Commissions"/>
    <x v="33"/>
    <s v="Olkypay"/>
    <s v="Olkypay"/>
    <m/>
    <m/>
  </r>
  <r>
    <d v="2023-04-01T00:00:00"/>
    <d v="2023-04-01T00:00:00"/>
    <n v="4"/>
    <x v="2"/>
    <m/>
    <m/>
    <m/>
    <m/>
    <m/>
    <m/>
    <m/>
    <n v="-19.899999999999999"/>
    <n v="2011.0074000000077"/>
    <x v="0"/>
    <m/>
    <x v="1"/>
    <s v="COSTS"/>
    <m/>
    <s v="6133300 - FRAIS DE COMPTES ET COMMISSIONS BANCAIRES"/>
    <m/>
    <s v="Commissions"/>
    <x v="33"/>
    <s v="Olkypay"/>
    <s v="Olkypay"/>
    <m/>
    <m/>
  </r>
  <r>
    <d v="2023-05-01T00:00:00"/>
    <d v="2023-05-01T00:00:00"/>
    <n v="5"/>
    <x v="2"/>
    <m/>
    <m/>
    <m/>
    <m/>
    <m/>
    <m/>
    <m/>
    <n v="-19.899999999999999"/>
    <n v="1991.1074000000076"/>
    <x v="0"/>
    <m/>
    <x v="1"/>
    <s v="COSTS"/>
    <m/>
    <s v="6133300 - FRAIS DE COMPTES ET COMMISSIONS BANCAIRES"/>
    <m/>
    <s v="Commissions"/>
    <x v="33"/>
    <s v="Olkypay"/>
    <s v="Olkypay"/>
    <m/>
    <m/>
  </r>
  <r>
    <d v="2023-06-01T00:00:00"/>
    <d v="2023-06-01T00:00:00"/>
    <n v="6"/>
    <x v="2"/>
    <m/>
    <m/>
    <m/>
    <m/>
    <m/>
    <m/>
    <m/>
    <n v="-19.899999999999999"/>
    <n v="1971.2074000000075"/>
    <x v="0"/>
    <m/>
    <x v="1"/>
    <s v="COSTS"/>
    <m/>
    <s v="6133300 - FRAIS DE COMPTES ET COMMISSIONS BANCAIRES"/>
    <m/>
    <s v="Commissions"/>
    <x v="33"/>
    <s v="Olkypay"/>
    <s v="Olkypay"/>
    <m/>
    <m/>
  </r>
  <r>
    <d v="2023-06-09T00:00:00"/>
    <d v="2023-06-09T00:00:00"/>
    <n v="6"/>
    <x v="2"/>
    <m/>
    <m/>
    <m/>
    <m/>
    <m/>
    <m/>
    <m/>
    <n v="12000"/>
    <n v="13971.207400000007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3-06-09T00:00:00"/>
    <d v="2023-06-09T00:00:00"/>
    <n v="6"/>
    <x v="2"/>
    <m/>
    <m/>
    <m/>
    <m/>
    <m/>
    <m/>
    <m/>
    <n v="-133.75"/>
    <n v="13837.457400000007"/>
    <x v="0"/>
    <m/>
    <x v="1"/>
    <s v="COSTS"/>
    <s v="IMPOT FORTUNE"/>
    <s v="6811000 - IF - EXERCICE COURANT"/>
    <s v="IMPOT FORTUNE"/>
    <s v="Impôt Fortune 2023"/>
    <x v="38"/>
    <s v="Olkypay"/>
    <s v="Olkypay"/>
    <n v="2023"/>
    <m/>
  </r>
  <r>
    <d v="2023-06-09T00:00:00"/>
    <d v="2023-06-09T00:00:00"/>
    <n v="6"/>
    <x v="2"/>
    <m/>
    <m/>
    <m/>
    <m/>
    <m/>
    <m/>
    <m/>
    <n v="-133.75"/>
    <n v="13703.707400000007"/>
    <x v="0"/>
    <m/>
    <x v="1"/>
    <s v="COSTS"/>
    <s v="IMPOT FORTUNE"/>
    <s v="6811000 - IF - EXERCICE COURANT"/>
    <s v="IMPOT FORTUNE"/>
    <s v="Impôt Fortune 2023"/>
    <x v="38"/>
    <s v="Olkypay"/>
    <s v="Olkypay"/>
    <n v="2023"/>
    <m/>
  </r>
  <r>
    <d v="2023-06-12T00:00:00"/>
    <d v="2023-06-12T00:00:00"/>
    <n v="6"/>
    <x v="2"/>
    <m/>
    <m/>
    <m/>
    <m/>
    <m/>
    <m/>
    <m/>
    <n v="-4280.01"/>
    <n v="9423.6974000000064"/>
    <x v="0"/>
    <m/>
    <x v="1"/>
    <s v="COSTS"/>
    <s v="IMPOT FORTUNE"/>
    <s v="6811000 - IF - EXERCICE COURANT"/>
    <s v="IMPOT FORTUNE"/>
    <s v="Impôt Fortune 2022"/>
    <x v="38"/>
    <s v="Olkypay"/>
    <s v="Olkypay"/>
    <n v="2022"/>
    <m/>
  </r>
  <r>
    <d v="2023-06-12T00:00:00"/>
    <d v="2023-06-12T00:00:00"/>
    <n v="6"/>
    <x v="2"/>
    <m/>
    <m/>
    <m/>
    <s v="LUX"/>
    <n v="-1500"/>
    <n v="0.16"/>
    <n v="-240"/>
    <n v="-1740"/>
    <n v="7683.6974000000064"/>
    <x v="0"/>
    <m/>
    <x v="1"/>
    <s v="COSTS"/>
    <m/>
    <s v="6134200 - HONORAIRES COMPTABLES, FISCAUX, D'AUDIT ET ASSIMILES"/>
    <m/>
    <s v="Invoice CUSTOM (Assistance Transfert du Siège)"/>
    <x v="45"/>
    <s v="Olkypay"/>
    <s v="Olkypay"/>
    <m/>
    <s v="X"/>
  </r>
  <r>
    <d v="2023-06-12T00:00:00"/>
    <d v="2023-06-12T00:00:00"/>
    <n v="6"/>
    <x v="2"/>
    <m/>
    <m/>
    <m/>
    <s v="LUX"/>
    <n v="-4000"/>
    <n v="0.16"/>
    <n v="-640"/>
    <n v="-4640"/>
    <n v="3043.6974000000064"/>
    <x v="0"/>
    <m/>
    <x v="1"/>
    <s v="COSTS"/>
    <m/>
    <s v="6134200 - HONORAIRES COMPTABLES, FISCAUX, D'AUDIT ET ASSIMILES"/>
    <m/>
    <s v="Invoice CUSTOM (Comptabilité 2022)"/>
    <x v="45"/>
    <s v="Olkypay"/>
    <s v="Olkypay"/>
    <m/>
    <s v="X"/>
  </r>
  <r>
    <d v="2023-06-13T00:00:00"/>
    <d v="2023-06-13T00:00:00"/>
    <n v="6"/>
    <x v="2"/>
    <m/>
    <m/>
    <m/>
    <m/>
    <m/>
    <m/>
    <m/>
    <n v="5000"/>
    <n v="8043.6974000000064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3-06-14T00:00:00"/>
    <d v="2023-06-14T00:00:00"/>
    <n v="6"/>
    <x v="2"/>
    <m/>
    <m/>
    <m/>
    <m/>
    <m/>
    <m/>
    <m/>
    <n v="-2863.55"/>
    <n v="5180.1474000000062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3-06-14T00:00:00"/>
    <d v="2023-06-14T00:00:00"/>
    <n v="6"/>
    <x v="2"/>
    <m/>
    <m/>
    <m/>
    <m/>
    <m/>
    <m/>
    <m/>
    <n v="-2009.03"/>
    <n v="3171.1174000000065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3-06-14T00:00:00"/>
    <d v="2023-06-14T00:00:00"/>
    <n v="6"/>
    <x v="2"/>
    <m/>
    <m/>
    <m/>
    <m/>
    <m/>
    <m/>
    <m/>
    <n v="2863.55"/>
    <n v="6034.6674000000066"/>
    <x v="0"/>
    <m/>
    <x v="0"/>
    <s v="CAPITAUX PROPRES ET PASSIF"/>
    <s v="C. DETTES"/>
    <s v="4718001 - Autres dettes diverses - Tubia Edoardo"/>
    <m/>
    <s v="Financement Associés"/>
    <x v="17"/>
    <m/>
    <s v="Edoardo Tubia"/>
    <m/>
    <m/>
  </r>
  <r>
    <d v="2023-06-14T00:00:00"/>
    <d v="2023-06-14T00:00:00"/>
    <n v="6"/>
    <x v="2"/>
    <m/>
    <m/>
    <m/>
    <m/>
    <m/>
    <m/>
    <m/>
    <n v="-2863.55"/>
    <n v="3171.1174000000065"/>
    <x v="0"/>
    <m/>
    <x v="0"/>
    <s v="CAPITAUX PROPRES ET PASSIF"/>
    <s v="C. DETTES"/>
    <s v="Tubia Edoardo"/>
    <m/>
    <s v="Dettes"/>
    <x v="1"/>
    <m/>
    <s v="Sombra e Agua Fresca Resort Sàrl"/>
    <m/>
    <m/>
  </r>
  <r>
    <d v="2023-06-30T00:00:00"/>
    <d v="2023-06-30T00:00:00"/>
    <n v="6"/>
    <x v="2"/>
    <m/>
    <m/>
    <m/>
    <m/>
    <m/>
    <m/>
    <m/>
    <n v="-1.2"/>
    <n v="3169.9174000000066"/>
    <x v="0"/>
    <m/>
    <x v="1"/>
    <s v="COSTS"/>
    <m/>
    <s v="6133300 - FRAIS DE COMPTES ET COMMISSIONS BANCAIRES"/>
    <m/>
    <s v="Commissions"/>
    <x v="33"/>
    <s v="Olkypay"/>
    <s v="Olkypay"/>
    <m/>
    <m/>
  </r>
  <r>
    <d v="2023-06-30T00:00:00"/>
    <d v="2023-06-30T00:00:00"/>
    <n v="6"/>
    <x v="2"/>
    <m/>
    <m/>
    <m/>
    <m/>
    <m/>
    <m/>
    <m/>
    <n v="-51.56"/>
    <n v="3118.3574000000067"/>
    <x v="0"/>
    <m/>
    <x v="1"/>
    <s v="COSTS"/>
    <m/>
    <s v="6133300 - FRAIS DE COMPTES ET COMMISSIONS BANCAIRES"/>
    <m/>
    <s v="Commissions"/>
    <x v="33"/>
    <s v="Olkypay"/>
    <s v="Olkypay"/>
    <m/>
    <m/>
  </r>
  <r>
    <d v="2023-07-01T00:00:00"/>
    <d v="2023-07-01T00:00:00"/>
    <n v="7"/>
    <x v="2"/>
    <m/>
    <m/>
    <m/>
    <m/>
    <m/>
    <m/>
    <m/>
    <n v="-19.899999999999999"/>
    <n v="3098.4574000000066"/>
    <x v="0"/>
    <m/>
    <x v="1"/>
    <s v="COSTS"/>
    <m/>
    <s v="6133300 - FRAIS DE COMPTES ET COMMISSIONS BANCAIRES"/>
    <m/>
    <s v="Commissions"/>
    <x v="33"/>
    <s v="Olkypay"/>
    <s v="Olkypay"/>
    <m/>
    <m/>
  </r>
  <r>
    <d v="2023-08-01T00:00:00"/>
    <d v="2023-08-01T00:00:00"/>
    <n v="8"/>
    <x v="2"/>
    <m/>
    <m/>
    <m/>
    <m/>
    <m/>
    <m/>
    <m/>
    <n v="-19.899999999999999"/>
    <n v="3078.5574000000065"/>
    <x v="0"/>
    <m/>
    <x v="1"/>
    <s v="COSTS"/>
    <m/>
    <s v="6133300 - FRAIS DE COMPTES ET COMMISSIONS BANCAIRES"/>
    <m/>
    <s v="Commissions"/>
    <x v="33"/>
    <s v="Olkypay"/>
    <s v="Olkypay"/>
    <m/>
    <m/>
  </r>
  <r>
    <d v="2023-08-04T00:00:00"/>
    <d v="2023-08-04T00:00:00"/>
    <n v="8"/>
    <x v="2"/>
    <m/>
    <m/>
    <m/>
    <m/>
    <m/>
    <m/>
    <m/>
    <n v="-350"/>
    <n v="2728.5574000000065"/>
    <x v="0"/>
    <m/>
    <x v="1"/>
    <s v="COSTS"/>
    <m/>
    <s v="6187000 - COTISATIONS AUX ASSOCIATIONS PROFESSIONNELLES"/>
    <m/>
    <s v="Cotisation 2022"/>
    <x v="43"/>
    <s v="Olkypay"/>
    <s v="Olkypay"/>
    <m/>
    <m/>
  </r>
  <r>
    <d v="2023-09-01T00:00:00"/>
    <d v="2023-09-01T00:00:00"/>
    <n v="9"/>
    <x v="2"/>
    <m/>
    <m/>
    <m/>
    <m/>
    <m/>
    <m/>
    <m/>
    <n v="-20.100000000000001"/>
    <n v="2708.4574000000066"/>
    <x v="0"/>
    <m/>
    <x v="1"/>
    <s v="COSTS"/>
    <m/>
    <s v="6133300 - FRAIS DE COMPTES ET COMMISSIONS BANCAIRES"/>
    <m/>
    <s v="Commissions"/>
    <x v="33"/>
    <s v="Olkypay"/>
    <s v="Olkypay"/>
    <m/>
    <m/>
  </r>
  <r>
    <d v="2023-10-02T00:00:00"/>
    <d v="2023-10-02T00:00:00"/>
    <n v="10"/>
    <x v="2"/>
    <m/>
    <m/>
    <m/>
    <m/>
    <m/>
    <m/>
    <m/>
    <n v="-19.899999999999999"/>
    <n v="2688.5574000000065"/>
    <x v="0"/>
    <m/>
    <x v="1"/>
    <s v="COSTS"/>
    <m/>
    <s v="6133300 - FRAIS DE COMPTES ET COMMISSIONS BANCAIRES"/>
    <m/>
    <s v="Commissions"/>
    <x v="33"/>
    <s v="Olkypay"/>
    <s v="Olkypay"/>
    <m/>
    <m/>
  </r>
  <r>
    <d v="2023-10-03T00:00:00"/>
    <d v="2023-10-03T00:00:00"/>
    <n v="10"/>
    <x v="2"/>
    <m/>
    <m/>
    <m/>
    <m/>
    <m/>
    <m/>
    <m/>
    <n v="-40"/>
    <n v="2648.5574000000065"/>
    <x v="0"/>
    <m/>
    <x v="1"/>
    <s v="COSTS"/>
    <m/>
    <s v="6133300 - FRAIS DE COMPTES ET COMMISSIONS BANCAIRES"/>
    <m/>
    <s v="Commissions"/>
    <x v="33"/>
    <s v="Olkypay"/>
    <s v="Olkypay"/>
    <m/>
    <m/>
  </r>
  <r>
    <d v="2023-10-24T00:00:00"/>
    <d v="2023-10-24T00:00:00"/>
    <n v="10"/>
    <x v="2"/>
    <m/>
    <m/>
    <m/>
    <m/>
    <m/>
    <m/>
    <m/>
    <n v="5000"/>
    <n v="7648.557400000007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3-10-25T00:00:00"/>
    <d v="2023-10-25T00:00:00"/>
    <n v="10"/>
    <x v="2"/>
    <m/>
    <m/>
    <m/>
    <m/>
    <m/>
    <m/>
    <m/>
    <n v="-2273.75"/>
    <n v="5374.807400000007"/>
    <x v="0"/>
    <m/>
    <x v="1"/>
    <s v="COSTS"/>
    <s v="IMPOT FORTUNE"/>
    <s v="6811000 - IF - EXERCICE COURANT"/>
    <s v="IMPOT FORTUNE"/>
    <s v="Impôt Fortune 2023"/>
    <x v="38"/>
    <s v="Olkypay"/>
    <s v="Olkypay"/>
    <n v="2023"/>
    <m/>
  </r>
  <r>
    <d v="2023-10-25T00:00:00"/>
    <d v="2023-10-25T00:00:00"/>
    <n v="10"/>
    <x v="2"/>
    <m/>
    <m/>
    <m/>
    <m/>
    <m/>
    <m/>
    <m/>
    <n v="-2273.75"/>
    <n v="3101.057400000007"/>
    <x v="0"/>
    <m/>
    <x v="1"/>
    <s v="COSTS"/>
    <s v="IMPOT FORTUNE"/>
    <s v="6811000 - IF - EXERCICE COURANT"/>
    <s v="IMPOT FORTUNE"/>
    <s v="Impôt Fortune 2023"/>
    <x v="38"/>
    <s v="Olkypay"/>
    <s v="Olkypay"/>
    <n v="2023"/>
    <m/>
  </r>
  <r>
    <d v="2023-11-01T00:00:00"/>
    <d v="2023-11-01T00:00:00"/>
    <n v="11"/>
    <x v="2"/>
    <m/>
    <m/>
    <m/>
    <m/>
    <m/>
    <m/>
    <m/>
    <n v="-20.3"/>
    <n v="3080.7574000000068"/>
    <x v="0"/>
    <m/>
    <x v="1"/>
    <s v="COSTS"/>
    <m/>
    <s v="6133300 - FRAIS DE COMPTES ET COMMISSIONS BANCAIRES"/>
    <m/>
    <s v="Commissions"/>
    <x v="33"/>
    <s v="Olkypay"/>
    <s v="Olkypay"/>
    <m/>
    <m/>
  </r>
  <r>
    <d v="2023-11-10T00:00:00"/>
    <d v="2023-11-10T00:00:00"/>
    <n v="11"/>
    <x v="2"/>
    <m/>
    <m/>
    <m/>
    <m/>
    <m/>
    <m/>
    <m/>
    <n v="-14963.96"/>
    <n v="-11883.202599999993"/>
    <x v="2"/>
    <m/>
    <x v="0"/>
    <s v="CAPITAUX PROPRES ET PASSIF"/>
    <s v="C. DETTES"/>
    <s v="SHAREHOLDERS LOANS"/>
    <m/>
    <s v="Financement Associés"/>
    <x v="5"/>
    <m/>
    <s v="Giorgio Vignolle"/>
    <m/>
    <m/>
  </r>
  <r>
    <d v="2023-11-10T00:00:00"/>
    <d v="2023-11-10T00:00:00"/>
    <n v="11"/>
    <x v="2"/>
    <m/>
    <m/>
    <m/>
    <m/>
    <m/>
    <m/>
    <m/>
    <n v="-57915.15"/>
    <n v="-69798.352599999998"/>
    <x v="2"/>
    <m/>
    <x v="0"/>
    <s v="CAPITAUX PROPRES ET PASSIF"/>
    <s v="C. DETTES"/>
    <s v="SHAREHOLDERS LOANS"/>
    <m/>
    <s v="Financement Associés"/>
    <x v="6"/>
    <m/>
    <s v="Gabriel Vignolle"/>
    <m/>
    <m/>
  </r>
  <r>
    <d v="2023-11-10T00:00:00"/>
    <d v="2023-11-10T00:00:00"/>
    <n v="11"/>
    <x v="2"/>
    <m/>
    <m/>
    <m/>
    <m/>
    <m/>
    <m/>
    <m/>
    <n v="-57912.15"/>
    <n v="-127710.50260000001"/>
    <x v="2"/>
    <m/>
    <x v="0"/>
    <s v="CAPITAUX PROPRES ET PASSIF"/>
    <s v="C. DETTES"/>
    <s v="SHAREHOLDERS LOANS"/>
    <m/>
    <s v="Financement Associés"/>
    <x v="7"/>
    <m/>
    <s v="Matteo Vignolle"/>
    <m/>
    <m/>
  </r>
  <r>
    <d v="2023-11-10T00:00:00"/>
    <d v="2023-11-10T00:00:00"/>
    <n v="11"/>
    <x v="2"/>
    <m/>
    <m/>
    <m/>
    <m/>
    <m/>
    <m/>
    <m/>
    <n v="14963.96"/>
    <n v="-112746.54260000002"/>
    <x v="9"/>
    <m/>
    <x v="0"/>
    <s v="CAPITAUX PROPRES ET PASSIF"/>
    <s v="C. DETTES"/>
    <s v="SHAREHOLDERS LOANS"/>
    <m/>
    <s v="Financement Associés"/>
    <x v="34"/>
    <m/>
    <s v="Giorgio Vignolle"/>
    <m/>
    <m/>
  </r>
  <r>
    <d v="2023-11-10T00:00:00"/>
    <d v="2023-11-10T00:00:00"/>
    <n v="11"/>
    <x v="2"/>
    <m/>
    <m/>
    <m/>
    <m/>
    <m/>
    <m/>
    <m/>
    <n v="57915.15"/>
    <n v="-54831.392600000014"/>
    <x v="9"/>
    <m/>
    <x v="0"/>
    <s v="CAPITAUX PROPRES ET PASSIF"/>
    <s v="C. DETTES"/>
    <s v="SHAREHOLDERS LOANS"/>
    <m/>
    <s v="Financement Associés"/>
    <x v="34"/>
    <m/>
    <s v="Gabriel Vignolle"/>
    <m/>
    <m/>
  </r>
  <r>
    <d v="2023-11-10T00:00:00"/>
    <d v="2023-11-10T00:00:00"/>
    <n v="11"/>
    <x v="2"/>
    <m/>
    <m/>
    <m/>
    <m/>
    <m/>
    <m/>
    <m/>
    <n v="57912.15"/>
    <n v="3080.7573999999877"/>
    <x v="9"/>
    <m/>
    <x v="0"/>
    <s v="CAPITAUX PROPRES ET PASSIF"/>
    <s v="C. DETTES"/>
    <s v="SHAREHOLDERS LOANS"/>
    <m/>
    <s v="Financement Associés"/>
    <x v="34"/>
    <m/>
    <s v="Matteo Vignolle"/>
    <m/>
    <m/>
  </r>
  <r>
    <d v="2023-11-10T00:00:00"/>
    <d v="2023-11-10T00:00:00"/>
    <n v="11"/>
    <x v="2"/>
    <m/>
    <m/>
    <m/>
    <m/>
    <m/>
    <m/>
    <m/>
    <n v="-14963.96"/>
    <n v="-11883.202600000011"/>
    <x v="9"/>
    <m/>
    <x v="0"/>
    <s v="CAPITAUX PROPRES ET PASSIF"/>
    <s v="C. DETTES"/>
    <s v="SHAREHOLDERS LOANS"/>
    <m/>
    <s v="Financement Associés"/>
    <x v="34"/>
    <m/>
    <s v="Baguenier Henri"/>
    <m/>
    <m/>
  </r>
  <r>
    <d v="2023-11-10T00:00:00"/>
    <d v="2023-11-10T00:00:00"/>
    <n v="11"/>
    <x v="2"/>
    <m/>
    <m/>
    <m/>
    <m/>
    <m/>
    <m/>
    <m/>
    <n v="-57914.15"/>
    <n v="-69797.352600000013"/>
    <x v="9"/>
    <m/>
    <x v="0"/>
    <s v="CAPITAUX PROPRES ET PASSIF"/>
    <s v="C. DETTES"/>
    <s v="SHAREHOLDERS LOANS"/>
    <m/>
    <s v="Financement Associés"/>
    <x v="34"/>
    <m/>
    <s v="Baguenier Henri"/>
    <m/>
    <m/>
  </r>
  <r>
    <d v="2023-11-10T00:00:00"/>
    <d v="2023-11-10T00:00:00"/>
    <n v="11"/>
    <x v="2"/>
    <m/>
    <m/>
    <m/>
    <m/>
    <m/>
    <m/>
    <m/>
    <n v="-57914.15"/>
    <n v="-127711.50260000001"/>
    <x v="9"/>
    <m/>
    <x v="0"/>
    <s v="CAPITAUX PROPRES ET PASSIF"/>
    <s v="C. DETTES"/>
    <s v="SHAREHOLDERS LOANS"/>
    <m/>
    <s v="Financement Associés"/>
    <x v="34"/>
    <m/>
    <s v="Baguenier Henri"/>
    <m/>
    <m/>
  </r>
  <r>
    <d v="2023-11-10T00:00:00"/>
    <d v="2023-11-10T00:00:00"/>
    <n v="11"/>
    <x v="2"/>
    <m/>
    <m/>
    <m/>
    <m/>
    <m/>
    <m/>
    <m/>
    <n v="14963.96"/>
    <n v="-112747.54260000002"/>
    <x v="9"/>
    <m/>
    <x v="0"/>
    <s v="CAPITAUX PROPRES ET PASSIF"/>
    <s v="C. DETTES"/>
    <s v="SHAREHOLDERS LOANS"/>
    <m/>
    <s v="Financement Associés"/>
    <x v="37"/>
    <m/>
    <s v="Baguenier Henri"/>
    <m/>
    <m/>
  </r>
  <r>
    <d v="2023-11-10T00:00:00"/>
    <d v="2023-11-10T00:00:00"/>
    <n v="11"/>
    <x v="2"/>
    <m/>
    <m/>
    <m/>
    <m/>
    <m/>
    <m/>
    <m/>
    <n v="57914.15"/>
    <n v="-54833.392600000014"/>
    <x v="9"/>
    <m/>
    <x v="0"/>
    <s v="CAPITAUX PROPRES ET PASSIF"/>
    <s v="C. DETTES"/>
    <s v="SHAREHOLDERS LOANS"/>
    <m/>
    <s v="Financement Associés"/>
    <x v="37"/>
    <m/>
    <s v="Baguenier Henri"/>
    <m/>
    <m/>
  </r>
  <r>
    <d v="2023-11-10T00:00:00"/>
    <d v="2023-11-10T00:00:00"/>
    <n v="11"/>
    <x v="2"/>
    <m/>
    <m/>
    <m/>
    <m/>
    <m/>
    <m/>
    <m/>
    <n v="57914.15"/>
    <n v="3080.7573999999877"/>
    <x v="9"/>
    <m/>
    <x v="0"/>
    <s v="CAPITAUX PROPRES ET PASSIF"/>
    <s v="C. DETTES"/>
    <s v="SHAREHOLDERS LOANS"/>
    <m/>
    <s v="Financement Associés"/>
    <x v="37"/>
    <m/>
    <s v="Baguenier Henri"/>
    <m/>
    <m/>
  </r>
  <r>
    <d v="2023-12-01T00:00:00"/>
    <d v="2023-12-01T00:00:00"/>
    <n v="12"/>
    <x v="2"/>
    <m/>
    <m/>
    <m/>
    <m/>
    <m/>
    <m/>
    <m/>
    <n v="-19.899999999999999"/>
    <n v="3060.8573999999876"/>
    <x v="0"/>
    <m/>
    <x v="1"/>
    <s v="COSTS"/>
    <m/>
    <s v="6133300 - FRAIS DE COMPTES ET COMMISSIONS BANCAIRES"/>
    <m/>
    <s v="Commissions"/>
    <x v="33"/>
    <s v="Olkypay"/>
    <s v="Olkypay"/>
    <m/>
    <m/>
  </r>
  <r>
    <d v="2023-12-31T00:00:00"/>
    <d v="2023-12-31T00:00:00"/>
    <n v="12"/>
    <x v="2"/>
    <m/>
    <m/>
    <m/>
    <m/>
    <m/>
    <m/>
    <m/>
    <n v="3210"/>
    <n v="6270.857399999988"/>
    <x v="0"/>
    <m/>
    <x v="0"/>
    <s v="ACTIF"/>
    <s v="D. ACTIF CIRCULANT"/>
    <s v="II. Créances"/>
    <m/>
    <s v="Actif circulant"/>
    <x v="46"/>
    <m/>
    <m/>
    <m/>
    <m/>
  </r>
  <r>
    <d v="2023-12-31T00:00:00"/>
    <d v="2023-12-31T00:00:00"/>
    <n v="12"/>
    <x v="2"/>
    <m/>
    <m/>
    <m/>
    <m/>
    <m/>
    <m/>
    <m/>
    <n v="-3210"/>
    <n v="3060.857399999988"/>
    <x v="0"/>
    <m/>
    <x v="0"/>
    <s v="ACTIF"/>
    <s v="D. ACTIF CIRCULANT"/>
    <s v="II. Créances"/>
    <m/>
    <s v="Actif circulant"/>
    <x v="1"/>
    <m/>
    <s v="Sombra e Agua Fresca Resort Sàrl"/>
    <m/>
    <m/>
  </r>
  <r>
    <d v="2023-12-31T00:00:00"/>
    <d v="2023-12-31T00:00:00"/>
    <n v="12"/>
    <x v="2"/>
    <m/>
    <m/>
    <m/>
    <m/>
    <m/>
    <m/>
    <m/>
    <n v="930.25"/>
    <n v="3991.107399999988"/>
    <x v="0"/>
    <m/>
    <x v="0"/>
    <s v="ACTIF"/>
    <s v="D. ACTIF CIRCULANT"/>
    <s v="IV. Avoirs en Banques et CCP: Olky"/>
    <m/>
    <s v="Actif circulant"/>
    <x v="2"/>
    <m/>
    <m/>
    <m/>
    <m/>
  </r>
  <r>
    <d v="2023-12-31T00:00:00"/>
    <d v="2023-12-31T00:00:00"/>
    <n v="12"/>
    <x v="2"/>
    <m/>
    <m/>
    <m/>
    <m/>
    <m/>
    <m/>
    <m/>
    <n v="-930.25"/>
    <n v="3060.857399999988"/>
    <x v="0"/>
    <m/>
    <x v="0"/>
    <s v="ACTIF"/>
    <s v="D. ACTIF CIRCULANT"/>
    <s v="IV. Avoirs en Banques et CCP: Olky"/>
    <m/>
    <s v="Actif circulant"/>
    <x v="1"/>
    <m/>
    <s v="Sombra e Agua Fresca Resort Sàrl"/>
    <m/>
    <m/>
  </r>
  <r>
    <d v="2023-12-31T00:00:00"/>
    <d v="2023-12-31T00:00:00"/>
    <n v="12"/>
    <x v="2"/>
    <m/>
    <m/>
    <m/>
    <m/>
    <m/>
    <m/>
    <m/>
    <n v="-4655"/>
    <n v="-1594.142600000012"/>
    <x v="0"/>
    <m/>
    <x v="0"/>
    <s v="CAPITAUX PROPRES ET PASSIF"/>
    <s v="C. DETTES"/>
    <s v="4411200 - Fournisseurs - Factures non parvenues"/>
    <m/>
    <s v="Dettes"/>
    <x v="16"/>
    <m/>
    <m/>
    <m/>
    <m/>
  </r>
  <r>
    <d v="2023-12-31T00:00:00"/>
    <d v="2023-12-31T00:00:00"/>
    <n v="12"/>
    <x v="2"/>
    <m/>
    <m/>
    <m/>
    <m/>
    <m/>
    <m/>
    <m/>
    <n v="4655"/>
    <n v="3060.857399999988"/>
    <x v="0"/>
    <m/>
    <x v="0"/>
    <s v="CAPITAUX PROPRES ET PASSIF"/>
    <s v="C. DETTES"/>
    <s v="Divers"/>
    <m/>
    <s v="Dettes"/>
    <x v="1"/>
    <m/>
    <s v="Sombra e Agua Fresca Resort Sàrl"/>
    <m/>
    <m/>
  </r>
  <r>
    <d v="2023-12-31T00:00:00"/>
    <d v="2023-12-31T00:00:00"/>
    <n v="12"/>
    <x v="2"/>
    <m/>
    <m/>
    <m/>
    <m/>
    <m/>
    <m/>
    <m/>
    <n v="-4280.01"/>
    <n v="-1219.1526000000122"/>
    <x v="0"/>
    <m/>
    <x v="0"/>
    <s v="CAPITAUX PROPRES ET PASSIF"/>
    <s v="DETTES"/>
    <s v="4612320 - IF - dette fiscale à payer"/>
    <m/>
    <s v="Dettes"/>
    <x v="38"/>
    <m/>
    <m/>
    <m/>
    <m/>
  </r>
  <r>
    <d v="2023-12-31T00:00:00"/>
    <d v="2023-12-31T00:00:00"/>
    <n v="12"/>
    <x v="2"/>
    <m/>
    <m/>
    <m/>
    <m/>
    <m/>
    <m/>
    <m/>
    <n v="4280.01"/>
    <n v="3060.857399999988"/>
    <x v="0"/>
    <m/>
    <x v="0"/>
    <s v="CAPITAUX PROPRES ET PASSIF"/>
    <s v="C. DETTES"/>
    <s v="Divers"/>
    <m/>
    <s v="Dettes"/>
    <x v="1"/>
    <m/>
    <s v="Sombra e Agua Fresca Resort Sàrl"/>
    <m/>
    <m/>
  </r>
  <r>
    <d v="2023-12-31T00:00:00"/>
    <d v="2023-12-31T00:00:00"/>
    <n v="12"/>
    <x v="2"/>
    <m/>
    <m/>
    <m/>
    <m/>
    <m/>
    <m/>
    <m/>
    <n v="6967.17"/>
    <n v="10028.027399999988"/>
    <x v="0"/>
    <m/>
    <x v="0"/>
    <s v="CAPITAUX PROPRES ET PASSIF"/>
    <s v="A. CAPITAUX PROPRES"/>
    <s v="VI. Résultats de l'exercise"/>
    <m/>
    <s v="Résultats de l'exercise"/>
    <x v="19"/>
    <m/>
    <m/>
    <m/>
    <m/>
  </r>
  <r>
    <d v="2023-12-31T00:00:00"/>
    <d v="2023-12-31T00:00:00"/>
    <n v="12"/>
    <x v="2"/>
    <m/>
    <m/>
    <m/>
    <m/>
    <m/>
    <m/>
    <m/>
    <n v="-6967.17"/>
    <n v="3060.857399999988"/>
    <x v="0"/>
    <m/>
    <x v="0"/>
    <s v="CAPITAUX PROPRES ET PASSIF"/>
    <s v="A. CAPITAUX PROPRES"/>
    <s v="VI. Résultats de l'exercise"/>
    <m/>
    <s v="Résultats de l'exercise"/>
    <x v="1"/>
    <m/>
    <s v="Sombra e Agua Fresca Resort Sàrl"/>
    <m/>
    <m/>
  </r>
  <r>
    <d v="2023-12-31T00:00:00"/>
    <d v="2023-12-31T00:00:00"/>
    <n v="12"/>
    <x v="2"/>
    <m/>
    <m/>
    <m/>
    <m/>
    <m/>
    <m/>
    <m/>
    <n v="-6967.17"/>
    <n v="-3906.312600000012"/>
    <x v="0"/>
    <m/>
    <x v="0"/>
    <s v="CAPITAUX PROPRES ET PASSIF"/>
    <s v="A. CAPITAUX PROPRES"/>
    <s v="V. Résultats reportés"/>
    <m/>
    <s v="Résultats reportés"/>
    <x v="44"/>
    <m/>
    <m/>
    <m/>
    <m/>
  </r>
  <r>
    <d v="2023-12-31T00:00:00"/>
    <d v="2023-12-31T00:00:00"/>
    <n v="12"/>
    <x v="2"/>
    <m/>
    <m/>
    <m/>
    <m/>
    <m/>
    <m/>
    <m/>
    <n v="6967.17"/>
    <n v="3060.857399999988"/>
    <x v="0"/>
    <m/>
    <x v="0"/>
    <s v="CAPITAUX PROPRES ET PASSIF"/>
    <s v="A. CAPITAUX PROPRES"/>
    <s v="V. Résultats reportés"/>
    <m/>
    <s v="Résultats reportés"/>
    <x v="1"/>
    <m/>
    <s v="Sombra e Agua Fresca Resort Sàrl"/>
    <m/>
    <m/>
  </r>
  <r>
    <d v="2023-12-31T00:00:00"/>
    <d v="2023-12-31T00:00:00"/>
    <n v="12"/>
    <x v="2"/>
    <m/>
    <m/>
    <m/>
    <m/>
    <m/>
    <m/>
    <m/>
    <n v="-7041.2"/>
    <n v="-3980.3426000000118"/>
    <x v="0"/>
    <m/>
    <x v="0"/>
    <s v="CAPITAUX PROPRES ET PASSIF"/>
    <s v="A. CAPITAUX PROPRES"/>
    <s v="VI. Résultats de l'exercise"/>
    <m/>
    <s v="Résultats de l'exercise"/>
    <x v="19"/>
    <m/>
    <m/>
    <m/>
    <m/>
  </r>
  <r>
    <d v="2023-12-31T00:00:00"/>
    <d v="2023-12-31T00:00:00"/>
    <n v="12"/>
    <x v="2"/>
    <m/>
    <m/>
    <m/>
    <m/>
    <m/>
    <m/>
    <m/>
    <n v="7041.2"/>
    <n v="3060.857399999988"/>
    <x v="0"/>
    <m/>
    <x v="0"/>
    <s v="CAPITAUX PROPRES ET PASSIF"/>
    <s v="A. CAPITAUX PROPRES"/>
    <s v="VI. Résultats de l'exercise"/>
    <m/>
    <s v="Résultats de l'exercise"/>
    <x v="1"/>
    <m/>
    <s v="Sombra e Agua Fresca Resort Sàrl"/>
    <m/>
    <m/>
  </r>
  <r>
    <d v="2024-01-02T00:00:00"/>
    <d v="2024-01-02T00:00:00"/>
    <n v="1"/>
    <x v="3"/>
    <m/>
    <m/>
    <m/>
    <m/>
    <m/>
    <m/>
    <m/>
    <n v="-19.899999999999999"/>
    <n v="3040.957399999988"/>
    <x v="0"/>
    <m/>
    <x v="1"/>
    <s v="COSTS"/>
    <m/>
    <s v="6133300 - FRAIS DE COMPTES ET COMMISSIONS BANCAIRES"/>
    <m/>
    <s v="Commissions"/>
    <x v="33"/>
    <s v="Olkypay"/>
    <s v="Olkypay"/>
    <m/>
    <m/>
  </r>
  <r>
    <d v="2024-01-02T00:00:00"/>
    <d v="2024-01-02T00:00:00"/>
    <n v="1"/>
    <x v="3"/>
    <m/>
    <m/>
    <m/>
    <m/>
    <m/>
    <m/>
    <m/>
    <n v="-43.4"/>
    <n v="2997.5573999999879"/>
    <x v="0"/>
    <m/>
    <x v="1"/>
    <s v="COSTS"/>
    <m/>
    <s v="6133300 - FRAIS DE COMPTES ET COMMISSIONS BANCAIRES"/>
    <m/>
    <s v="Commissions"/>
    <x v="33"/>
    <s v="Olkypay"/>
    <s v="Olkypay"/>
    <m/>
    <m/>
  </r>
  <r>
    <d v="2024-02-01T00:00:00"/>
    <d v="2024-02-01T00:00:00"/>
    <n v="2"/>
    <x v="3"/>
    <m/>
    <m/>
    <m/>
    <m/>
    <m/>
    <m/>
    <m/>
    <n v="-1203.75"/>
    <n v="1793.8073999999879"/>
    <x v="0"/>
    <m/>
    <x v="1"/>
    <s v="COSTS"/>
    <s v="IMPOT FORTUNE"/>
    <s v="6811000 - IF - EXERCICE COURANT"/>
    <s v="IMPOT FORTUNE"/>
    <s v="Impôt Fortune 2024"/>
    <x v="38"/>
    <s v="Olkypay"/>
    <s v="Olkypay"/>
    <n v="2024"/>
    <m/>
  </r>
  <r>
    <d v="2024-02-01T00:00:00"/>
    <d v="2024-02-01T00:00:00"/>
    <n v="2"/>
    <x v="3"/>
    <m/>
    <m/>
    <m/>
    <m/>
    <m/>
    <m/>
    <m/>
    <n v="-19.899999999999999"/>
    <n v="1773.9073999999878"/>
    <x v="0"/>
    <m/>
    <x v="1"/>
    <s v="COSTS"/>
    <m/>
    <s v="6133300 - FRAIS DE COMPTES ET COMMISSIONS BANCAIRES"/>
    <m/>
    <s v="Commissions"/>
    <x v="33"/>
    <s v="Olkypay"/>
    <s v="Olkypay"/>
    <m/>
    <m/>
  </r>
  <r>
    <d v="2024-03-01T00:00:00"/>
    <d v="2024-03-01T00:00:00"/>
    <n v="3"/>
    <x v="3"/>
    <m/>
    <m/>
    <m/>
    <m/>
    <m/>
    <m/>
    <m/>
    <n v="-20.100000000000001"/>
    <n v="1753.8073999999879"/>
    <x v="0"/>
    <m/>
    <x v="1"/>
    <s v="COSTS"/>
    <m/>
    <s v="6133300 - FRAIS DE COMPTES ET COMMISSIONS BANCAIRES"/>
    <m/>
    <s v="Commissions"/>
    <x v="33"/>
    <s v="Olkypay"/>
    <s v="Olkypay"/>
    <m/>
    <m/>
  </r>
  <r>
    <d v="2024-04-01T00:00:00"/>
    <d v="2024-04-01T00:00:00"/>
    <n v="4"/>
    <x v="3"/>
    <m/>
    <m/>
    <m/>
    <m/>
    <m/>
    <m/>
    <m/>
    <n v="-19.899999999999999"/>
    <n v="1733.9073999999878"/>
    <x v="0"/>
    <m/>
    <x v="1"/>
    <s v="COSTS"/>
    <m/>
    <s v="6133300 - FRAIS DE COMPTES ET COMMISSIONS BANCAIRES"/>
    <m/>
    <s v="Commissions"/>
    <x v="33"/>
    <s v="Olkypay"/>
    <s v="Olkypay"/>
    <m/>
    <m/>
  </r>
  <r>
    <d v="2024-04-01T00:00:00"/>
    <d v="2024-04-01T00:00:00"/>
    <n v="4"/>
    <x v="3"/>
    <m/>
    <m/>
    <m/>
    <m/>
    <m/>
    <m/>
    <m/>
    <n v="-44.24"/>
    <n v="1689.6673999999878"/>
    <x v="0"/>
    <m/>
    <x v="1"/>
    <s v="COSTS"/>
    <m/>
    <s v="6133300 - FRAIS DE COMPTES ET COMMISSIONS BANCAIRES"/>
    <m/>
    <s v="Commissions"/>
    <x v="33"/>
    <s v="Olkypay"/>
    <s v="Olkypay"/>
    <m/>
    <m/>
  </r>
  <r>
    <d v="2024-04-02T00:00:00"/>
    <d v="2024-04-02T00:00:00"/>
    <n v="4"/>
    <x v="3"/>
    <m/>
    <m/>
    <m/>
    <m/>
    <m/>
    <m/>
    <m/>
    <n v="4.24"/>
    <n v="1693.9073999999878"/>
    <x v="0"/>
    <m/>
    <x v="1"/>
    <s v="COSTS"/>
    <m/>
    <s v="6133300 - FRAIS DE COMPTES ET COMMISSIONS BANCAIRES"/>
    <m/>
    <s v="Commissions"/>
    <x v="33"/>
    <s v="Olkypay"/>
    <s v="Olkypay"/>
    <m/>
    <m/>
  </r>
  <r>
    <d v="2024-05-01T00:00:00"/>
    <d v="2024-05-01T00:00:00"/>
    <n v="5"/>
    <x v="3"/>
    <m/>
    <m/>
    <m/>
    <m/>
    <m/>
    <m/>
    <m/>
    <n v="-1203.75"/>
    <n v="490.15739999998777"/>
    <x v="0"/>
    <m/>
    <x v="1"/>
    <s v="COSTS"/>
    <s v="IMPOT FORTUNE"/>
    <s v="6811000 - IF - EXERCICE COURANT"/>
    <s v="IMPOT FORTUNE"/>
    <s v="Impôt Fortune 2024"/>
    <x v="38"/>
    <s v="Olkypay"/>
    <s v="Olkypay"/>
    <n v="2024"/>
    <m/>
  </r>
  <r>
    <d v="2024-05-01T00:00:00"/>
    <d v="2024-05-01T00:00:00"/>
    <n v="5"/>
    <x v="3"/>
    <m/>
    <m/>
    <m/>
    <m/>
    <m/>
    <m/>
    <m/>
    <n v="-19.899999999999999"/>
    <n v="470.2573999999878"/>
    <x v="0"/>
    <m/>
    <x v="1"/>
    <s v="COSTS"/>
    <m/>
    <s v="6133300 - FRAIS DE COMPTES ET COMMISSIONS BANCAIRES"/>
    <m/>
    <s v="Commissions"/>
    <x v="33"/>
    <s v="Olkypay"/>
    <s v="Olkypay"/>
    <m/>
    <m/>
  </r>
  <r>
    <d v="2024-05-15T00:00:00"/>
    <d v="2024-05-15T00:00:00"/>
    <n v="5"/>
    <x v="3"/>
    <m/>
    <m/>
    <m/>
    <m/>
    <m/>
    <m/>
    <m/>
    <n v="3210"/>
    <n v="3680.2573999999877"/>
    <x v="0"/>
    <m/>
    <x v="1"/>
    <s v="COSTS"/>
    <s v="IMPOT FORTUNE"/>
    <s v="6811000 - IF - EXERCICE COURANT"/>
    <s v="IMPOT FORTUNE"/>
    <s v="Regularisation Impôt Fortune 2023"/>
    <x v="38"/>
    <s v="Olkypay"/>
    <s v="Olkypay"/>
    <n v="2023"/>
    <m/>
  </r>
  <r>
    <d v="2024-06-01T00:00:00"/>
    <d v="2024-06-01T00:00:00"/>
    <n v="6"/>
    <x v="3"/>
    <m/>
    <m/>
    <m/>
    <m/>
    <m/>
    <m/>
    <m/>
    <n v="-20.100000000000001"/>
    <n v="3660.1573999999878"/>
    <x v="0"/>
    <m/>
    <x v="1"/>
    <s v="COSTS"/>
    <m/>
    <s v="6133300 - FRAIS DE COMPTES ET COMMISSIONS BANCAIRES"/>
    <m/>
    <s v="Commissions"/>
    <x v="33"/>
    <s v="Olkypay"/>
    <s v="Olkypay"/>
    <m/>
    <m/>
  </r>
  <r>
    <d v="2024-07-01T00:00:00"/>
    <d v="2024-07-01T00:00:00"/>
    <n v="7"/>
    <x v="3"/>
    <m/>
    <m/>
    <m/>
    <m/>
    <m/>
    <m/>
    <m/>
    <n v="-19.899999999999999"/>
    <n v="3640.2573999999877"/>
    <x v="0"/>
    <m/>
    <x v="1"/>
    <s v="COSTS"/>
    <m/>
    <s v="6133300 - FRAIS DE COMPTES ET COMMISSIONS BANCAIRES"/>
    <m/>
    <s v="Commissions"/>
    <x v="33"/>
    <s v="Olkypay"/>
    <s v="Olkypay"/>
    <m/>
    <m/>
  </r>
  <r>
    <d v="2024-07-01T00:00:00"/>
    <d v="2024-07-01T00:00:00"/>
    <n v="7"/>
    <x v="3"/>
    <m/>
    <m/>
    <m/>
    <m/>
    <m/>
    <m/>
    <m/>
    <n v="-40"/>
    <n v="3600.2573999999877"/>
    <x v="0"/>
    <m/>
    <x v="1"/>
    <s v="COSTS"/>
    <m/>
    <s v="6133300 - FRAIS DE COMPTES ET COMMISSIONS BANCAIRES"/>
    <m/>
    <s v="Commissions"/>
    <x v="33"/>
    <s v="Olkypay"/>
    <s v="Olkypay"/>
    <m/>
    <m/>
  </r>
  <r>
    <d v="2024-07-17T00:00:00"/>
    <d v="2024-07-17T00:00:00"/>
    <n v="7"/>
    <x v="3"/>
    <m/>
    <m/>
    <m/>
    <m/>
    <m/>
    <m/>
    <m/>
    <n v="-350"/>
    <n v="3250.2573999999877"/>
    <x v="0"/>
    <m/>
    <x v="1"/>
    <s v="COSTS"/>
    <m/>
    <s v="6187000 - COTISATIONS AUX ASSOCIATIONS PROFESSIONNELLES"/>
    <m/>
    <s v="Cotisation 2022"/>
    <x v="43"/>
    <s v="Olkypay"/>
    <s v="Olkypay"/>
    <m/>
    <m/>
  </r>
  <r>
    <d v="2024-08-01T00:00:00"/>
    <d v="2024-08-01T00:00:00"/>
    <n v="8"/>
    <x v="3"/>
    <m/>
    <m/>
    <m/>
    <m/>
    <m/>
    <m/>
    <m/>
    <n v="-20.100000000000001"/>
    <n v="3230.1573999999878"/>
    <x v="0"/>
    <m/>
    <x v="1"/>
    <s v="COSTS"/>
    <m/>
    <s v="6133300 - FRAIS DE COMPTES ET COMMISSIONS BANCAIRES"/>
    <m/>
    <s v="Commissions"/>
    <x v="33"/>
    <s v="Olkypay"/>
    <s v="Olkypay"/>
    <m/>
    <m/>
  </r>
  <r>
    <d v="2024-09-02T00:00:00"/>
    <d v="2024-09-02T00:00:00"/>
    <n v="9"/>
    <x v="3"/>
    <m/>
    <m/>
    <m/>
    <m/>
    <m/>
    <m/>
    <m/>
    <n v="-19.899999999999999"/>
    <n v="3210.2573999999877"/>
    <x v="0"/>
    <m/>
    <x v="1"/>
    <s v="COSTS"/>
    <m/>
    <s v="6133300 - FRAIS DE COMPTES ET COMMISSIONS BANCAIRES"/>
    <m/>
    <s v="Commissions"/>
    <x v="33"/>
    <s v="Olkypay"/>
    <s v="Olkypay"/>
    <m/>
    <m/>
  </r>
  <r>
    <d v="2024-10-01T00:00:00"/>
    <d v="2024-10-01T00:00:00"/>
    <n v="10"/>
    <x v="3"/>
    <m/>
    <m/>
    <m/>
    <m/>
    <m/>
    <m/>
    <m/>
    <n v="-19.899999999999999"/>
    <n v="3190.3573999999876"/>
    <x v="0"/>
    <m/>
    <x v="1"/>
    <s v="COSTS"/>
    <m/>
    <s v="6133300 - FRAIS DE COMPTES ET COMMISSIONS BANCAIRES"/>
    <m/>
    <s v="Commissions"/>
    <x v="33"/>
    <s v="Olkypay"/>
    <s v="Olkypay"/>
    <m/>
    <m/>
  </r>
  <r>
    <d v="2024-10-01T00:00:00"/>
    <d v="2024-10-01T00:00:00"/>
    <n v="10"/>
    <x v="3"/>
    <m/>
    <m/>
    <m/>
    <m/>
    <m/>
    <m/>
    <m/>
    <n v="-40"/>
    <n v="3150.3573999999876"/>
    <x v="0"/>
    <m/>
    <x v="1"/>
    <s v="COSTS"/>
    <m/>
    <s v="6133300 - FRAIS DE COMPTES ET COMMISSIONS BANCAIRES"/>
    <m/>
    <s v="Commissions"/>
    <x v="33"/>
    <s v="Olkypay"/>
    <s v="Olkypay"/>
    <m/>
    <m/>
  </r>
  <r>
    <d v="2024-11-01T00:00:00"/>
    <d v="2024-11-01T00:00:00"/>
    <n v="11"/>
    <x v="3"/>
    <m/>
    <m/>
    <m/>
    <m/>
    <m/>
    <m/>
    <m/>
    <n v="-19.899999999999999"/>
    <n v="3130.4573999999875"/>
    <x v="0"/>
    <m/>
    <x v="1"/>
    <s v="COSTS"/>
    <m/>
    <s v="6133300 - FRAIS DE COMPTES ET COMMISSIONS BANCAIRES"/>
    <m/>
    <s v="Commissions"/>
    <x v="33"/>
    <s v="Olkypay"/>
    <s v="Olkypay"/>
    <m/>
    <m/>
  </r>
  <r>
    <d v="2024-11-28T00:00:00"/>
    <d v="2024-11-28T00:00:00"/>
    <n v="11"/>
    <x v="3"/>
    <m/>
    <m/>
    <m/>
    <m/>
    <m/>
    <m/>
    <m/>
    <n v="-520"/>
    <n v="2610.4573999999875"/>
    <x v="7"/>
    <n v="-520"/>
    <x v="0"/>
    <s v="CAPITAUX PROPRES ET PASSIF"/>
    <s v="A. CAPITAUX PROPRES"/>
    <s v="I. CAPITAL SOUSCRIT"/>
    <m/>
    <s v="1010000 - Capital Souscrit"/>
    <x v="22"/>
    <m/>
    <s v="New Life Sàrl"/>
    <m/>
    <m/>
  </r>
  <r>
    <d v="2024-11-28T00:00:00"/>
    <d v="2024-11-28T00:00:00"/>
    <n v="11"/>
    <x v="3"/>
    <m/>
    <m/>
    <m/>
    <m/>
    <m/>
    <m/>
    <m/>
    <n v="520"/>
    <n v="3130.4573999999875"/>
    <x v="7"/>
    <n v="520"/>
    <x v="0"/>
    <s v="CAPITAUX PROPRES ET PASSIF"/>
    <s v="A. CAPITAUX PROPRES"/>
    <s v="I. CAPITAL SOUSCRIT"/>
    <m/>
    <s v="1010000 - Capital Souscrit"/>
    <x v="23"/>
    <m/>
    <s v="Tubia Edoardo"/>
    <m/>
    <m/>
  </r>
  <r>
    <d v="2024-11-28T00:00:00"/>
    <d v="2024-11-28T00:00:00"/>
    <n v="11"/>
    <x v="3"/>
    <m/>
    <m/>
    <m/>
    <m/>
    <m/>
    <m/>
    <m/>
    <n v="-34497.86"/>
    <n v="-31367.402600000012"/>
    <x v="7"/>
    <m/>
    <x v="0"/>
    <s v="CAPITAUX PROPRES ET PASSIF"/>
    <s v="C. DETTES"/>
    <s v="SHAREHOLDERS LOANS"/>
    <m/>
    <s v="Financement Associés"/>
    <x v="14"/>
    <m/>
    <s v="New Life Sàrl"/>
    <m/>
    <m/>
  </r>
  <r>
    <d v="2024-11-28T00:00:00"/>
    <d v="2024-11-28T00:00:00"/>
    <n v="11"/>
    <x v="3"/>
    <m/>
    <m/>
    <m/>
    <m/>
    <m/>
    <m/>
    <m/>
    <n v="34497.86"/>
    <n v="3130.4573999999884"/>
    <x v="7"/>
    <m/>
    <x v="0"/>
    <s v="CAPITAUX PROPRES ET PASSIF"/>
    <s v="C. DETTES"/>
    <s v="SHAREHOLDERS LOANS"/>
    <m/>
    <s v="Financement Associés"/>
    <x v="11"/>
    <m/>
    <s v="Edoardo Tubia"/>
    <m/>
    <m/>
  </r>
  <r>
    <d v="2024-12-02T00:00:00"/>
    <d v="2024-12-02T00:00:00"/>
    <n v="12"/>
    <x v="3"/>
    <m/>
    <m/>
    <m/>
    <m/>
    <m/>
    <m/>
    <m/>
    <n v="-19.899999999999999"/>
    <n v="3110.5573999999883"/>
    <x v="0"/>
    <m/>
    <x v="1"/>
    <s v="COSTS"/>
    <m/>
    <s v="6133300 - FRAIS DE COMPTES ET COMMISSIONS BANCAIRES"/>
    <m/>
    <s v="Commissions"/>
    <x v="33"/>
    <s v="Olkypay"/>
    <s v="Olkypay"/>
    <m/>
    <m/>
  </r>
  <r>
    <d v="2024-12-12T00:00:00"/>
    <d v="2024-12-12T00:00:00"/>
    <n v="12"/>
    <x v="3"/>
    <m/>
    <m/>
    <m/>
    <m/>
    <m/>
    <m/>
    <m/>
    <n v="5000"/>
    <n v="8110.5573999999888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4-12-12T00:00:00"/>
    <d v="2024-12-12T00:00:00"/>
    <n v="12"/>
    <x v="3"/>
    <m/>
    <m/>
    <m/>
    <s v="LUX"/>
    <n v="-4000"/>
    <n v="0.16"/>
    <n v="-640"/>
    <n v="-4640"/>
    <n v="3470.5573999999888"/>
    <x v="0"/>
    <m/>
    <x v="1"/>
    <s v="COSTS"/>
    <m/>
    <s v="6134200 - HONORAIRES COMPTABLES, FISCAUX, D'AUDIT ET ASSIMILES"/>
    <m/>
    <s v="Invoice CUSTOM (Comptabilité 2023)"/>
    <x v="45"/>
    <s v="Olkypay"/>
    <s v="Olkypay"/>
    <m/>
    <s v="X"/>
  </r>
  <r>
    <d v="2024-12-23T00:00:00"/>
    <d v="2024-12-23T00:00:00"/>
    <n v="12"/>
    <x v="3"/>
    <m/>
    <m/>
    <m/>
    <m/>
    <m/>
    <m/>
    <m/>
    <n v="802.5"/>
    <n v="4273.0573999999888"/>
    <x v="0"/>
    <m/>
    <x v="1"/>
    <s v="COSTS"/>
    <s v="IMPOT FORTUNE"/>
    <s v="6811000 - IF - EXERCICE COURANT"/>
    <s v="IMPOT FORTUNE"/>
    <s v="Regularisation Impôt Fortune 2024"/>
    <x v="38"/>
    <s v="Olkypay"/>
    <s v="Olkypay"/>
    <n v="2024"/>
    <m/>
  </r>
  <r>
    <d v="2024-12-31T00:00:00"/>
    <d v="2024-12-31T00:00:00"/>
    <n v="12"/>
    <x v="3"/>
    <m/>
    <m/>
    <m/>
    <m/>
    <m/>
    <m/>
    <m/>
    <n v="-43.4"/>
    <n v="4229.6573999999891"/>
    <x v="0"/>
    <m/>
    <x v="1"/>
    <s v="COSTS"/>
    <m/>
    <s v="6133300 - FRAIS DE COMPTES ET COMMISSIONS BANCAIRES"/>
    <m/>
    <s v="Commissions"/>
    <x v="33"/>
    <s v="Olkypay"/>
    <s v="Olkypay"/>
    <m/>
    <m/>
  </r>
  <r>
    <d v="2024-12-31T00:00:00"/>
    <d v="2024-12-31T00:00:00"/>
    <n v="12"/>
    <x v="3"/>
    <m/>
    <m/>
    <m/>
    <m/>
    <m/>
    <m/>
    <m/>
    <n v="-0.2"/>
    <n v="4229.4573999999893"/>
    <x v="0"/>
    <m/>
    <x v="1"/>
    <s v="COSTS"/>
    <m/>
    <s v="6133300 - FRAIS DE COMPTES ET COMMISSIONS BANCAIRES"/>
    <m/>
    <s v="Commissions"/>
    <x v="33"/>
    <s v="Olkypay"/>
    <s v="Olkypay"/>
    <m/>
    <m/>
  </r>
  <r>
    <d v="2024-12-31T00:00:00"/>
    <d v="2024-12-31T00:00:00"/>
    <n v="12"/>
    <x v="3"/>
    <m/>
    <m/>
    <m/>
    <m/>
    <m/>
    <m/>
    <m/>
    <n v="-3210"/>
    <n v="1019.4573999999893"/>
    <x v="0"/>
    <m/>
    <x v="0"/>
    <s v="ACTIF"/>
    <s v="D. ACTIF CIRCULANT"/>
    <s v="II. Créances"/>
    <m/>
    <s v="Actif circulant"/>
    <x v="46"/>
    <m/>
    <m/>
    <m/>
    <m/>
  </r>
  <r>
    <d v="2024-12-31T00:00:00"/>
    <d v="2024-12-31T00:00:00"/>
    <n v="12"/>
    <x v="3"/>
    <m/>
    <m/>
    <m/>
    <m/>
    <m/>
    <m/>
    <m/>
    <n v="3210"/>
    <n v="4229.4573999999893"/>
    <x v="0"/>
    <m/>
    <x v="0"/>
    <s v="ACTIF"/>
    <s v="D. ACTIF CIRCULANT"/>
    <s v="II. Créances"/>
    <m/>
    <s v="Actif circulant"/>
    <x v="1"/>
    <m/>
    <s v="Sombra e Agua Fresca Resort Sàrl"/>
    <m/>
    <m/>
  </r>
  <r>
    <d v="2024-12-31T00:00:00"/>
    <d v="2024-12-31T00:00:00"/>
    <n v="12"/>
    <x v="3"/>
    <m/>
    <m/>
    <m/>
    <m/>
    <m/>
    <m/>
    <m/>
    <n v="1168.5999999999999"/>
    <n v="5398.0573999999888"/>
    <x v="0"/>
    <m/>
    <x v="0"/>
    <s v="ACTIF"/>
    <s v="D. ACTIF CIRCULANT"/>
    <s v="IV. Avoirs en Banques et CCP: Olky"/>
    <m/>
    <s v="Actif circulant"/>
    <x v="2"/>
    <m/>
    <m/>
    <m/>
    <m/>
  </r>
  <r>
    <d v="2024-12-31T00:00:00"/>
    <d v="2024-12-31T00:00:00"/>
    <n v="12"/>
    <x v="3"/>
    <m/>
    <m/>
    <m/>
    <m/>
    <m/>
    <m/>
    <m/>
    <n v="-1168.5999999999999"/>
    <n v="4229.4573999999884"/>
    <x v="0"/>
    <m/>
    <x v="0"/>
    <s v="ACTIF"/>
    <s v="D. ACTIF CIRCULANT"/>
    <s v="IV. Avoirs en Banques et CCP: Olky"/>
    <m/>
    <s v="Actif circulant"/>
    <x v="1"/>
    <m/>
    <s v="Sombra e Agua Fresca Resort Sàrl"/>
    <m/>
    <m/>
  </r>
  <r>
    <d v="2024-12-31T00:00:00"/>
    <d v="2024-12-31T00:00:00"/>
    <n v="12"/>
    <x v="3"/>
    <m/>
    <m/>
    <m/>
    <m/>
    <m/>
    <m/>
    <m/>
    <n v="-4655"/>
    <n v="-425.54260000001159"/>
    <x v="0"/>
    <m/>
    <x v="0"/>
    <s v="CAPITAUX PROPRES ET PASSIF"/>
    <s v="C. DETTES"/>
    <s v="4411200 - Fournisseurs - Factures non parvenues"/>
    <m/>
    <s v="Dettes"/>
    <x v="16"/>
    <m/>
    <m/>
    <m/>
    <m/>
  </r>
  <r>
    <d v="2024-12-31T00:00:00"/>
    <d v="2024-12-31T00:00:00"/>
    <n v="12"/>
    <x v="3"/>
    <m/>
    <m/>
    <m/>
    <m/>
    <m/>
    <m/>
    <m/>
    <n v="4655"/>
    <n v="4229.4573999999884"/>
    <x v="0"/>
    <m/>
    <x v="0"/>
    <s v="CAPITAUX PROPRES ET PASSIF"/>
    <s v="C. DETTES"/>
    <s v="Divers"/>
    <m/>
    <s v="Dettes"/>
    <x v="1"/>
    <m/>
    <s v="Sombra e Agua Fresca Resort Sàrl"/>
    <m/>
    <m/>
  </r>
  <r>
    <d v="2024-12-31T00:00:00"/>
    <d v="2024-12-31T00:00:00"/>
    <n v="12"/>
    <x v="3"/>
    <m/>
    <m/>
    <m/>
    <m/>
    <m/>
    <m/>
    <m/>
    <n v="-1605"/>
    <n v="2624.4573999999884"/>
    <x v="0"/>
    <m/>
    <x v="0"/>
    <s v="CAPITAUX PROPRES ET PASSIF"/>
    <s v="DETTES"/>
    <s v="4612320 - IF - dette fiscale à payer"/>
    <m/>
    <s v="Dettes"/>
    <x v="38"/>
    <m/>
    <m/>
    <m/>
    <m/>
  </r>
  <r>
    <d v="2024-12-31T00:00:00"/>
    <d v="2024-12-31T00:00:00"/>
    <n v="12"/>
    <x v="3"/>
    <m/>
    <m/>
    <m/>
    <m/>
    <m/>
    <m/>
    <m/>
    <n v="1605"/>
    <n v="4229.4573999999884"/>
    <x v="0"/>
    <m/>
    <x v="0"/>
    <s v="CAPITAUX PROPRES ET PASSIF"/>
    <s v="C. DETTES"/>
    <s v="Divers"/>
    <m/>
    <s v="Dettes"/>
    <x v="1"/>
    <m/>
    <s v="Sombra e Agua Fresca Resort Sàrl"/>
    <m/>
    <m/>
  </r>
  <r>
    <d v="2024-12-31T00:00:00"/>
    <d v="2024-12-31T00:00:00"/>
    <n v="12"/>
    <x v="3"/>
    <m/>
    <m/>
    <m/>
    <m/>
    <m/>
    <m/>
    <m/>
    <n v="13596.1"/>
    <n v="17825.557399999991"/>
    <x v="0"/>
    <m/>
    <x v="0"/>
    <s v="CAPITAUX PROPRES ET PASSIF"/>
    <s v="A. CAPITAUX PROPRES"/>
    <s v="VI. Résultats de l'exercise"/>
    <m/>
    <s v="Résultats de l'exercise"/>
    <x v="19"/>
    <m/>
    <m/>
    <m/>
    <m/>
  </r>
  <r>
    <d v="2024-12-31T00:00:00"/>
    <d v="2024-12-31T00:00:00"/>
    <n v="12"/>
    <x v="3"/>
    <m/>
    <m/>
    <m/>
    <m/>
    <m/>
    <m/>
    <m/>
    <n v="-13596.1"/>
    <n v="4229.4573999999902"/>
    <x v="0"/>
    <m/>
    <x v="0"/>
    <s v="CAPITAUX PROPRES ET PASSIF"/>
    <s v="A. CAPITAUX PROPRES"/>
    <s v="VI. Résultats de l'exercise"/>
    <m/>
    <s v="Résultats de l'exercise"/>
    <x v="1"/>
    <m/>
    <s v="Sombra e Agua Fresca Resort Sàrl"/>
    <m/>
    <m/>
  </r>
  <r>
    <d v="2024-12-31T00:00:00"/>
    <d v="2024-12-31T00:00:00"/>
    <n v="12"/>
    <x v="3"/>
    <m/>
    <m/>
    <m/>
    <m/>
    <m/>
    <m/>
    <m/>
    <n v="-13596.1"/>
    <n v="-9366.6426000000101"/>
    <x v="0"/>
    <m/>
    <x v="0"/>
    <s v="CAPITAUX PROPRES ET PASSIF"/>
    <s v="A. CAPITAUX PROPRES"/>
    <s v="V. Résultats reportés"/>
    <m/>
    <s v="Résultats reportés"/>
    <x v="44"/>
    <m/>
    <m/>
    <m/>
    <m/>
  </r>
  <r>
    <d v="2024-12-31T00:00:00"/>
    <d v="2024-12-31T00:00:00"/>
    <n v="12"/>
    <x v="3"/>
    <m/>
    <m/>
    <m/>
    <m/>
    <m/>
    <m/>
    <m/>
    <n v="13596.1"/>
    <n v="4229.4573999999902"/>
    <x v="0"/>
    <m/>
    <x v="0"/>
    <s v="CAPITAUX PROPRES ET PASSIF"/>
    <s v="A. CAPITAUX PROPRES"/>
    <s v="V. Résultats reportés"/>
    <m/>
    <s v="Résultats reportés"/>
    <x v="1"/>
    <m/>
    <s v="Sombra e Agua Fresca Resort Sàrl"/>
    <m/>
    <m/>
  </r>
  <r>
    <d v="2024-12-31T00:00:00"/>
    <d v="2024-12-31T00:00:00"/>
    <n v="12"/>
    <x v="3"/>
    <m/>
    <m/>
    <m/>
    <m/>
    <m/>
    <m/>
    <m/>
    <n v="-6967.17"/>
    <n v="-2737.7126000000098"/>
    <x v="0"/>
    <m/>
    <x v="0"/>
    <s v="CAPITAUX PROPRES ET PASSIF"/>
    <s v="A. CAPITAUX PROPRES"/>
    <s v="VI. Résultats de l'exercise"/>
    <m/>
    <s v="Résultats de l'exercise"/>
    <x v="19"/>
    <m/>
    <m/>
    <m/>
    <m/>
  </r>
  <r>
    <d v="2024-12-31T00:00:00"/>
    <d v="2024-12-31T00:00:00"/>
    <n v="12"/>
    <x v="3"/>
    <m/>
    <m/>
    <m/>
    <m/>
    <m/>
    <m/>
    <m/>
    <n v="6967.17"/>
    <n v="4229.4573999999902"/>
    <x v="0"/>
    <m/>
    <x v="0"/>
    <s v="CAPITAUX PROPRES ET PASSIF"/>
    <s v="A. CAPITAUX PROPRES"/>
    <s v="VI. Résultats de l'exercise"/>
    <m/>
    <s v="Résultats de l'exercise"/>
    <x v="1"/>
    <m/>
    <s v="Sombra e Agua Fresca Resort Sàrl"/>
    <m/>
    <m/>
  </r>
  <r>
    <d v="2025-01-01T00:00:00"/>
    <d v="2025-01-01T00:00:00"/>
    <n v="1"/>
    <x v="4"/>
    <m/>
    <m/>
    <m/>
    <m/>
    <m/>
    <m/>
    <m/>
    <n v="-19.899999999999999"/>
    <n v="4209.5573999999906"/>
    <x v="0"/>
    <m/>
    <x v="1"/>
    <s v="COSTS"/>
    <m/>
    <s v="6133300 - FRAIS DE COMPTES ET COMMISSIONS BANCAIRES"/>
    <m/>
    <s v="Commissions"/>
    <x v="33"/>
    <s v="Olkypay"/>
    <s v="Olkypay"/>
    <m/>
    <m/>
  </r>
  <r>
    <d v="2025-01-14T00:00:00"/>
    <d v="2025-01-14T00:00:00"/>
    <n v="1"/>
    <x v="4"/>
    <m/>
    <m/>
    <m/>
    <s v="LUX"/>
    <n v="-10.43"/>
    <n v="0.17"/>
    <n v="-1.7731000000000001"/>
    <n v="-12.2"/>
    <n v="4197.3573999999908"/>
    <x v="0"/>
    <m/>
    <x v="1"/>
    <s v="COSTS"/>
    <m/>
    <s v="6153100 - FRAIS POSTAUX"/>
    <m/>
    <s v="Frais d'extrait RCS"/>
    <x v="47"/>
    <s v="Olkypay"/>
    <s v="Sombra e Agua Fresca Resort Sàrl"/>
    <m/>
    <s v="X"/>
  </r>
  <r>
    <d v="2025-02-01T00:00:00"/>
    <d v="2025-02-01T00:00:00"/>
    <n v="2"/>
    <x v="4"/>
    <m/>
    <m/>
    <m/>
    <m/>
    <m/>
    <m/>
    <m/>
    <n v="-20.100000000000001"/>
    <n v="4177.2573999999904"/>
    <x v="0"/>
    <m/>
    <x v="1"/>
    <s v="COSTS"/>
    <m/>
    <s v="6133300 - FRAIS DE COMPTES ET COMMISSIONS BANCAIRES"/>
    <m/>
    <s v="Commissions"/>
    <x v="33"/>
    <s v="Olkypay"/>
    <s v="Olkypay"/>
    <m/>
    <m/>
  </r>
  <r>
    <d v="2025-02-10T00:00:00"/>
    <d v="2025-02-10T00:00:00"/>
    <n v="2"/>
    <x v="4"/>
    <m/>
    <m/>
    <m/>
    <m/>
    <m/>
    <m/>
    <m/>
    <n v="-401.25"/>
    <n v="3776.0073999999904"/>
    <x v="0"/>
    <m/>
    <x v="1"/>
    <s v="COSTS"/>
    <m/>
    <s v="6811000 - IF - EXERCICE COURANT"/>
    <s v="IMPOT FORTUNE"/>
    <s v="Impôt Fortune 2025"/>
    <x v="38"/>
    <s v="Olkypay"/>
    <s v="Olkypay"/>
    <n v="2025"/>
    <m/>
  </r>
  <r>
    <d v="2025-03-01T00:00:00"/>
    <d v="2025-03-01T00:00:00"/>
    <n v="3"/>
    <x v="4"/>
    <m/>
    <m/>
    <m/>
    <m/>
    <m/>
    <m/>
    <m/>
    <n v="-20.100000000000001"/>
    <n v="3755.9073999999905"/>
    <x v="0"/>
    <m/>
    <x v="1"/>
    <s v="COSTS"/>
    <m/>
    <s v="6133300 - FRAIS DE COMPTES ET COMMISSIONS BANCAIRES"/>
    <m/>
    <s v="Commissions"/>
    <x v="33"/>
    <s v="Olkypay"/>
    <s v="Olkypay"/>
    <m/>
    <m/>
  </r>
  <r>
    <d v="2025-04-01T00:00:00"/>
    <d v="2025-04-01T00:00:00"/>
    <n v="4"/>
    <x v="4"/>
    <m/>
    <m/>
    <m/>
    <m/>
    <m/>
    <m/>
    <m/>
    <n v="-19.899999999999999"/>
    <n v="3736.0073999999904"/>
    <x v="0"/>
    <m/>
    <x v="1"/>
    <s v="COSTS"/>
    <m/>
    <s v="6133300 - FRAIS DE COMPTES ET COMMISSIONS BANCAIRES"/>
    <m/>
    <s v="Commissions"/>
    <x v="33"/>
    <s v="Olkypay"/>
    <s v="Olkypay"/>
    <m/>
    <m/>
  </r>
  <r>
    <d v="2025-04-01T00:00:00"/>
    <d v="2025-04-01T00:00:00"/>
    <n v="4"/>
    <x v="4"/>
    <m/>
    <m/>
    <m/>
    <m/>
    <m/>
    <m/>
    <m/>
    <n v="-40"/>
    <n v="3696.0073999999904"/>
    <x v="0"/>
    <m/>
    <x v="1"/>
    <s v="COSTS"/>
    <m/>
    <s v="6133300 - FRAIS DE COMPTES ET COMMISSIONS BANCAIRES"/>
    <m/>
    <s v="Commissions"/>
    <x v="33"/>
    <s v="Olkypay"/>
    <s v="Olkypay"/>
    <m/>
    <m/>
  </r>
  <r>
    <d v="2025-04-15T00:00:00"/>
    <d v="2025-04-15T00:00:00"/>
    <n v="4"/>
    <x v="4"/>
    <m/>
    <m/>
    <m/>
    <s v="LUX"/>
    <n v="-10.43"/>
    <n v="0.17"/>
    <n v="-1.7731000000000001"/>
    <n v="-12.2"/>
    <n v="3683.8073999999906"/>
    <x v="0"/>
    <m/>
    <x v="1"/>
    <s v="COSTS"/>
    <m/>
    <s v="6153100 - FRAIS POSTAUX"/>
    <m/>
    <s v="Frais d'extrait RCS"/>
    <x v="47"/>
    <s v="Olkypay"/>
    <s v="Sombra e Agua Fresca Resort Sàrl"/>
    <m/>
    <s v="X"/>
  </r>
  <r>
    <d v="2025-05-01T00:00:00"/>
    <d v="2025-05-01T00:00:00"/>
    <n v="5"/>
    <x v="4"/>
    <m/>
    <m/>
    <m/>
    <m/>
    <m/>
    <m/>
    <m/>
    <n v="-20.309999999999999"/>
    <n v="3663.4973999999906"/>
    <x v="0"/>
    <m/>
    <x v="1"/>
    <s v="COSTS"/>
    <m/>
    <s v="6133300 - FRAIS DE COMPTES ET COMMISSIONS BANCAIRES"/>
    <m/>
    <s v="Commissions"/>
    <x v="33"/>
    <s v="Olkypay"/>
    <s v="Olkypay"/>
    <m/>
    <m/>
  </r>
  <r>
    <d v="2025-06-01T00:00:00"/>
    <d v="2025-06-01T00:00:00"/>
    <n v="6"/>
    <x v="4"/>
    <m/>
    <m/>
    <m/>
    <m/>
    <m/>
    <m/>
    <m/>
    <n v="-19.899999999999999"/>
    <n v="3643.5973999999906"/>
    <x v="0"/>
    <m/>
    <x v="1"/>
    <s v="COSTS"/>
    <m/>
    <s v="6133300 - FRAIS DE COMPTES ET COMMISSIONS BANCAIRES"/>
    <m/>
    <s v="Commissions"/>
    <x v="33"/>
    <s v="Olkypay"/>
    <s v="Olkypay"/>
    <m/>
    <m/>
  </r>
  <r>
    <d v="2025-06-13T00:00:00"/>
    <d v="2025-06-13T00:00:00"/>
    <n v="6"/>
    <x v="4"/>
    <m/>
    <m/>
    <m/>
    <m/>
    <m/>
    <m/>
    <m/>
    <n v="-401.25"/>
    <n v="3242.3473999999906"/>
    <x v="0"/>
    <m/>
    <x v="1"/>
    <s v="COSTS"/>
    <m/>
    <s v="6811000 - IF - EXERCICE COURANT"/>
    <s v="IMPOT FORTUNE"/>
    <s v="Impôt Fortune 2025"/>
    <x v="38"/>
    <s v="Olkypay"/>
    <s v="Olkypay"/>
    <n v="2025"/>
    <m/>
  </r>
  <r>
    <d v="2025-07-01T00:00:00"/>
    <d v="2025-07-01T00:00:00"/>
    <n v="7"/>
    <x v="4"/>
    <m/>
    <m/>
    <m/>
    <m/>
    <m/>
    <m/>
    <m/>
    <n v="-20.5"/>
    <n v="3221.8473999999906"/>
    <x v="0"/>
    <m/>
    <x v="1"/>
    <s v="COSTS"/>
    <m/>
    <s v="6133300 - FRAIS DE COMPTES ET COMMISSIONS BANCAIRES"/>
    <m/>
    <s v="Commissions"/>
    <x v="33"/>
    <s v="Olkypay"/>
    <s v="Olkypay"/>
    <m/>
    <m/>
  </r>
  <r>
    <d v="2025-07-01T00:00:00"/>
    <d v="2025-07-01T00:00:00"/>
    <n v="7"/>
    <x v="4"/>
    <m/>
    <m/>
    <m/>
    <m/>
    <m/>
    <m/>
    <m/>
    <n v="-40"/>
    <n v="3181.8473999999906"/>
    <x v="0"/>
    <m/>
    <x v="1"/>
    <s v="COSTS"/>
    <m/>
    <s v="6133300 - FRAIS DE COMPTES ET COMMISSIONS BANCAIRES"/>
    <m/>
    <s v="Commissions"/>
    <x v="33"/>
    <s v="Olkypay"/>
    <s v="Olkypay"/>
    <m/>
    <m/>
  </r>
  <r>
    <d v="2025-07-10T00:00:00"/>
    <d v="2025-07-10T00:00:00"/>
    <n v="7"/>
    <x v="4"/>
    <m/>
    <m/>
    <m/>
    <m/>
    <m/>
    <m/>
    <m/>
    <n v="-350"/>
    <n v="2831.8473999999906"/>
    <x v="0"/>
    <m/>
    <x v="1"/>
    <s v="COSTS"/>
    <m/>
    <s v="6187000 - COTISATIONS AUX ASSOCIATIONS PROFESSIONNELLES"/>
    <m/>
    <s v="Cotisation 2022"/>
    <x v="43"/>
    <s v="Olkypay"/>
    <s v="Olkypay"/>
    <m/>
    <m/>
  </r>
  <r>
    <d v="2025-07-22T00:00:00"/>
    <d v="2025-07-22T00:00:00"/>
    <n v="7"/>
    <x v="4"/>
    <m/>
    <m/>
    <m/>
    <m/>
    <m/>
    <m/>
    <m/>
    <n v="-401.25"/>
    <n v="2430.5973999999906"/>
    <x v="0"/>
    <m/>
    <x v="1"/>
    <s v="COSTS"/>
    <m/>
    <s v="6811000 - IF - EXERCICE COURANT"/>
    <s v="IMPOT FORTUNE"/>
    <s v="Impôt Fortune 2025"/>
    <x v="38"/>
    <s v="Olkypay"/>
    <s v="Olkypay"/>
    <n v="2025"/>
    <m/>
  </r>
  <r>
    <d v="2025-08-01T00:00:00"/>
    <d v="2025-08-01T00:00:00"/>
    <n v="8"/>
    <x v="4"/>
    <m/>
    <m/>
    <m/>
    <m/>
    <m/>
    <m/>
    <m/>
    <n v="-21.08"/>
    <n v="2409.5173999999906"/>
    <x v="0"/>
    <m/>
    <x v="1"/>
    <s v="COSTS"/>
    <m/>
    <s v="6133300 - FRAIS DE COMPTES ET COMMISSIONS BANCAIRES"/>
    <m/>
    <s v="Commissions"/>
    <x v="33"/>
    <s v="Olkypay"/>
    <s v="Olkypay"/>
    <m/>
    <m/>
  </r>
  <r>
    <d v="2025-09-01T00:00:00"/>
    <d v="2025-09-01T00:00:00"/>
    <n v="9"/>
    <x v="4"/>
    <m/>
    <m/>
    <m/>
    <m/>
    <m/>
    <m/>
    <m/>
    <n v="-19.899999999999999"/>
    <n v="2389.6173999999905"/>
    <x v="0"/>
    <m/>
    <x v="1"/>
    <s v="COSTS"/>
    <m/>
    <s v="6133300 - FRAIS DE COMPTES ET COMMISSIONS BANCAIRES"/>
    <m/>
    <s v="Commissions"/>
    <x v="33"/>
    <s v="Olkypay"/>
    <s v="Olkypay"/>
    <m/>
    <m/>
  </r>
  <r>
    <d v="2025-10-01T00:00:00"/>
    <d v="2025-10-01T00:00:00"/>
    <n v="10"/>
    <x v="4"/>
    <m/>
    <m/>
    <m/>
    <m/>
    <m/>
    <m/>
    <m/>
    <n v="-19.899999999999999"/>
    <n v="2369.7173999999904"/>
    <x v="0"/>
    <m/>
    <x v="1"/>
    <s v="COSTS"/>
    <m/>
    <s v="6133300 - FRAIS DE COMPTES ET COMMISSIONS BANCAIRES"/>
    <m/>
    <s v="Commissions"/>
    <x v="33"/>
    <s v="Olkypay"/>
    <s v="Olkypay"/>
    <m/>
    <m/>
  </r>
  <r>
    <d v="2025-10-31T00:00:00"/>
    <d v="2025-10-31T00:00:00"/>
    <n v="10"/>
    <x v="4"/>
    <m/>
    <m/>
    <m/>
    <m/>
    <m/>
    <m/>
    <m/>
    <n v="4000"/>
    <n v="6369.7173999999904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5-11-01T00:00:00"/>
    <d v="2025-11-01T00:00:00"/>
    <n v="11"/>
    <x v="4"/>
    <m/>
    <m/>
    <m/>
    <m/>
    <m/>
    <m/>
    <m/>
    <n v="-19.899999999999999"/>
    <n v="6349.8173999999908"/>
    <x v="0"/>
    <m/>
    <x v="1"/>
    <s v="COSTS"/>
    <m/>
    <s v="6133300 - FRAIS DE COMPTES ET COMMISSIONS BANCAIRES"/>
    <m/>
    <s v="Commissions"/>
    <x v="33"/>
    <s v="Olkypay"/>
    <s v="Olkypay"/>
    <m/>
    <m/>
  </r>
  <r>
    <d v="2025-11-03T00:00:00"/>
    <d v="2025-11-03T00:00:00"/>
    <n v="11"/>
    <x v="4"/>
    <m/>
    <m/>
    <m/>
    <s v="LUX"/>
    <n v="-4000"/>
    <n v="0.17"/>
    <n v="-680"/>
    <n v="-4680"/>
    <n v="1669.8173999999908"/>
    <x v="0"/>
    <m/>
    <x v="1"/>
    <s v="COSTS"/>
    <m/>
    <s v="6134200 - HONORAIRES COMPTABLES, FISCAUX, D'AUDIT ET ASSIMILES"/>
    <m/>
    <s v="Invoice CUSTOM (Comptabilité 2024)"/>
    <x v="45"/>
    <s v="Olkypay"/>
    <s v="Olkypay"/>
    <m/>
    <s v="X"/>
  </r>
  <r>
    <d v="2025-11-03T00:00:00"/>
    <d v="2025-11-03T00:00:00"/>
    <n v="11"/>
    <x v="4"/>
    <m/>
    <m/>
    <m/>
    <m/>
    <m/>
    <m/>
    <m/>
    <n v="-401.25"/>
    <n v="1268.5673999999908"/>
    <x v="0"/>
    <m/>
    <x v="1"/>
    <s v="COSTS"/>
    <m/>
    <s v="6811000 - IF - EXERCICE COURANT"/>
    <s v="IMPOT FORTUNE"/>
    <s v="Impôt Fortune 2025"/>
    <x v="38"/>
    <s v="Olkypay"/>
    <s v="Olkypay"/>
    <n v="2025"/>
    <m/>
  </r>
  <r>
    <d v="2025-12-01T00:00:00"/>
    <d v="2025-12-01T00:00:00"/>
    <n v="12"/>
    <x v="4"/>
    <m/>
    <m/>
    <m/>
    <m/>
    <m/>
    <m/>
    <m/>
    <n v="-23.24"/>
    <n v="1245.3273999999908"/>
    <x v="0"/>
    <m/>
    <x v="1"/>
    <s v="COSTS"/>
    <m/>
    <s v="6133300 - FRAIS DE COMPTES ET COMMISSIONS BANCAIRES"/>
    <m/>
    <s v="Commissions"/>
    <x v="33"/>
    <s v="Olkypay"/>
    <s v="Olkypay"/>
    <m/>
    <m/>
  </r>
  <r>
    <d v="2025-12-08T00:00:00"/>
    <d v="2025-12-08T00:00:00"/>
    <n v="12"/>
    <x v="4"/>
    <n v="-62000"/>
    <m/>
    <n v="6.2"/>
    <m/>
    <m/>
    <m/>
    <m/>
    <n v="10000"/>
    <n v="11245.327399999991"/>
    <x v="0"/>
    <m/>
    <x v="0"/>
    <m/>
    <m/>
    <m/>
    <m/>
    <s v="Cessione di Credito"/>
    <x v="48"/>
    <s v="Olkypay"/>
    <s v="Olkypay"/>
    <m/>
    <m/>
  </r>
  <r>
    <d v="2025-12-30T00:00:00"/>
    <d v="2025-12-30T00:00:00"/>
    <n v="12"/>
    <x v="4"/>
    <m/>
    <m/>
    <m/>
    <m/>
    <m/>
    <m/>
    <m/>
    <n v="-1000"/>
    <n v="10245.327399999991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5-12-31T00:00:00"/>
    <d v="2025-12-31T00:00:00"/>
    <n v="12"/>
    <x v="4"/>
    <m/>
    <m/>
    <m/>
    <m/>
    <m/>
    <m/>
    <m/>
    <n v="-51.2"/>
    <n v="10194.12739999999"/>
    <x v="0"/>
    <m/>
    <x v="1"/>
    <s v="COSTS"/>
    <m/>
    <s v="6133300 - FRAIS DE COMPTES ET COMMISSIONS BANCAIRES"/>
    <m/>
    <s v="Commissions"/>
    <x v="33"/>
    <s v="Olkypay"/>
    <s v="Olkypay"/>
    <m/>
    <m/>
  </r>
  <r>
    <d v="2025-12-31T00:00:00"/>
    <d v="2025-12-31T00:00:00"/>
    <n v="12"/>
    <x v="4"/>
    <m/>
    <m/>
    <m/>
    <m/>
    <m/>
    <m/>
    <m/>
    <n v="-0.9"/>
    <n v="10193.227399999991"/>
    <x v="0"/>
    <m/>
    <x v="1"/>
    <s v="COSTS"/>
    <m/>
    <s v="6133300 - FRAIS DE COMPTES ET COMMISSIONS BANCAIRES"/>
    <m/>
    <s v="Commissions"/>
    <x v="33"/>
    <s v="Olkypay"/>
    <s v="Olkypay"/>
    <m/>
    <m/>
  </r>
  <r>
    <d v="2026-01-01T00:00:00"/>
    <d v="2026-01-01T00:00:00"/>
    <n v="1"/>
    <x v="5"/>
    <m/>
    <m/>
    <m/>
    <m/>
    <m/>
    <m/>
    <m/>
    <n v="-19.899999999999999"/>
    <n v="10173.327399999991"/>
    <x v="0"/>
    <m/>
    <x v="1"/>
    <s v="COSTS"/>
    <m/>
    <s v="6133300 - FRAIS DE COMPTES ET COMMISSIONS BANCAIRES"/>
    <m/>
    <s v="Commissions"/>
    <x v="33"/>
    <s v="Olkypay"/>
    <s v="Olkypay"/>
    <m/>
    <m/>
  </r>
  <r>
    <d v="2026-01-30T00:00:00"/>
    <d v="2026-01-30T00:00:00"/>
    <n v="1"/>
    <x v="5"/>
    <m/>
    <m/>
    <m/>
    <m/>
    <m/>
    <m/>
    <m/>
    <n v="-40"/>
    <n v="10133.327399999991"/>
    <x v="0"/>
    <m/>
    <x v="1"/>
    <s v="COSTS"/>
    <m/>
    <s v="6133300 - FRAIS DE COMPTES ET COMMISSIONS BANCAIRES"/>
    <m/>
    <s v="Commissions"/>
    <x v="33"/>
    <s v="Olkypay"/>
    <s v="Olkypay"/>
    <m/>
    <m/>
  </r>
  <r>
    <d v="2026-02-01T00:00:00"/>
    <d v="2026-02-01T00:00:00"/>
    <n v="2"/>
    <x v="5"/>
    <m/>
    <m/>
    <m/>
    <m/>
    <m/>
    <m/>
    <m/>
    <n v="-19.899999999999999"/>
    <n v="10113.427399999991"/>
    <x v="0"/>
    <m/>
    <x v="1"/>
    <s v="COSTS"/>
    <m/>
    <s v="6133300 - FRAIS DE COMPTES ET COMMISSIONS BANCAIRES"/>
    <m/>
    <s v="Commissions"/>
    <x v="33"/>
    <s v="Olkypay"/>
    <s v="Olkypay"/>
    <m/>
    <m/>
  </r>
  <r>
    <d v="2026-02-10T00:00:00"/>
    <d v="2026-02-10T00:00:00"/>
    <n v="2"/>
    <x v="5"/>
    <m/>
    <m/>
    <m/>
    <m/>
    <m/>
    <m/>
    <m/>
    <n v="-401.25"/>
    <n v="9712.1773999999914"/>
    <x v="0"/>
    <m/>
    <x v="1"/>
    <s v="COSTS"/>
    <m/>
    <s v="6811000 - IF - EXERCICE COURANT"/>
    <s v="IMPOT FORTUNE"/>
    <s v="Impôt Fortune 2026"/>
    <x v="38"/>
    <s v="Olkypay"/>
    <s v="Sombra e Agua Fresca Resort Sàrl"/>
    <n v="2026"/>
    <m/>
  </r>
  <r>
    <d v="2026-03-02T00:00:00"/>
    <d v="2026-03-02T00:00:00"/>
    <n v="3"/>
    <x v="5"/>
    <m/>
    <m/>
    <m/>
    <m/>
    <m/>
    <m/>
    <m/>
    <n v="-20.5"/>
    <n v="9691.6773999999914"/>
    <x v="0"/>
    <m/>
    <x v="1"/>
    <s v="COSTS"/>
    <m/>
    <s v="6133300 - FRAIS DE COMPTES ET COMMISSIONS BANCAIRES"/>
    <m/>
    <s v="Commissions"/>
    <x v="33"/>
    <s v="Olkypay"/>
    <s v="Olkypay"/>
    <m/>
    <m/>
  </r>
  <r>
    <d v="2026-03-04T00:00:00"/>
    <d v="2026-03-04T00:00:00"/>
    <n v="3"/>
    <x v="5"/>
    <m/>
    <m/>
    <m/>
    <m/>
    <m/>
    <m/>
    <m/>
    <n v="-1000"/>
    <n v="8691.6773999999914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6-03-04T00:00:00"/>
    <d v="2026-03-04T00:00:00"/>
    <n v="3"/>
    <x v="5"/>
    <m/>
    <m/>
    <m/>
    <m/>
    <m/>
    <m/>
    <m/>
    <n v="1000"/>
    <n v="9691.6773999999914"/>
    <x v="0"/>
    <m/>
    <x v="0"/>
    <s v="CAPITAUX PROPRES ET PASSIF"/>
    <s v="C. DETTES"/>
    <s v="4718001 - Autres dettes diverses - Tubia Edoardo"/>
    <m/>
    <s v="Financement Associés"/>
    <x v="17"/>
    <s v="Revolut"/>
    <s v="Edoardo Tubia"/>
    <m/>
    <m/>
  </r>
  <r>
    <d v="2026-03-04T00:00:00"/>
    <d v="2026-03-04T00:00:00"/>
    <n v="3"/>
    <x v="5"/>
    <m/>
    <m/>
    <m/>
    <m/>
    <m/>
    <m/>
    <m/>
    <n v="-10"/>
    <n v="9681.6773999999914"/>
    <x v="0"/>
    <m/>
    <x v="1"/>
    <s v="COSTS"/>
    <m/>
    <s v="6133300 - FRAIS DE COMPTES ET COMMISSIONS BANCAIRES"/>
    <m/>
    <s v="Commissions"/>
    <x v="49"/>
    <s v="Revolut"/>
    <s v="Revolut"/>
    <m/>
    <m/>
  </r>
  <r>
    <d v="2026-03-06T00:00:00"/>
    <d v="2026-03-06T00:00:00"/>
    <n v="3"/>
    <x v="5"/>
    <m/>
    <m/>
    <m/>
    <m/>
    <m/>
    <m/>
    <m/>
    <n v="-4000"/>
    <n v="5681.6773999999914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6-03-09T00:00:00"/>
    <d v="2026-03-09T00:00:00"/>
    <n v="3"/>
    <x v="5"/>
    <m/>
    <m/>
    <m/>
    <m/>
    <m/>
    <m/>
    <m/>
    <n v="4000"/>
    <n v="9681.6773999999914"/>
    <x v="0"/>
    <m/>
    <x v="0"/>
    <s v="CAPITAUX PROPRES ET PASSIF"/>
    <s v="C. DETTES"/>
    <s v="4718001 - Autres dettes diverses - Tubia Edoardo"/>
    <m/>
    <s v="Financement Associés"/>
    <x v="17"/>
    <s v="Revolut"/>
    <s v="Edoardo Tubia"/>
    <m/>
    <m/>
  </r>
  <r>
    <d v="2026-03-09T00:00:00"/>
    <d v="2026-03-09T00:00:00"/>
    <n v="3"/>
    <x v="5"/>
    <m/>
    <m/>
    <m/>
    <m/>
    <m/>
    <m/>
    <m/>
    <n v="-4000"/>
    <n v="5681.6773999999914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6-03-09T00:00:00"/>
    <d v="2026-03-09T00:00:00"/>
    <n v="3"/>
    <x v="5"/>
    <m/>
    <m/>
    <m/>
    <m/>
    <m/>
    <m/>
    <m/>
    <n v="4000"/>
    <n v="9681.6773999999914"/>
    <x v="0"/>
    <m/>
    <x v="0"/>
    <s v="CAPITAUX PROPRES ET PASSIF"/>
    <s v="C. DETTES"/>
    <s v="4718001 - Autres dettes diverses - Tubia Edoardo"/>
    <m/>
    <s v="Financement Associés"/>
    <x v="17"/>
    <s v="Revolut"/>
    <s v="Edoardo Tubia"/>
    <m/>
    <m/>
  </r>
  <r>
    <d v="2026-03-11T00:00:00"/>
    <d v="2026-03-11T00:00:00"/>
    <n v="3"/>
    <x v="5"/>
    <m/>
    <m/>
    <m/>
    <m/>
    <m/>
    <m/>
    <m/>
    <n v="-5.7"/>
    <n v="9675.9773999999907"/>
    <x v="0"/>
    <m/>
    <x v="1"/>
    <s v="COSTS"/>
    <m/>
    <s v="6133300 - FRAIS DE COMPTES ET COMMISSIONS BANCAIRES"/>
    <m/>
    <s v="Commissions"/>
    <x v="33"/>
    <s v="Olkypay"/>
    <s v="Olkypay"/>
    <m/>
    <m/>
  </r>
  <r>
    <d v="2026-03-11T00:00:00"/>
    <d v="2026-03-11T00:00:00"/>
    <n v="3"/>
    <x v="5"/>
    <m/>
    <m/>
    <m/>
    <m/>
    <m/>
    <m/>
    <m/>
    <n v="585.98"/>
    <n v="10261.95739999999"/>
    <x v="0"/>
    <m/>
    <x v="0"/>
    <s v="CAPITAUX PROPRES ET PASSIF"/>
    <s v="C. DETTES"/>
    <s v="4718001 - Autres dettes diverses - Tubia Edoardo"/>
    <m/>
    <s v="Financement Associés"/>
    <x v="17"/>
    <s v="Revolut"/>
    <s v="Edoardo Tubia"/>
    <m/>
    <m/>
  </r>
  <r>
    <d v="2026-03-12T00:00:00"/>
    <d v="2026-03-12T00:00:00"/>
    <n v="3"/>
    <x v="5"/>
    <m/>
    <m/>
    <m/>
    <m/>
    <m/>
    <m/>
    <m/>
    <n v="-585.98"/>
    <n v="9675.9773999999907"/>
    <x v="0"/>
    <m/>
    <x v="0"/>
    <s v="CAPITAUX PROPRES ET PASSIF"/>
    <s v="C. DETTES"/>
    <s v="4718001 - Autres dettes diverses - Tubia Edoardo"/>
    <m/>
    <s v="Financement Associés"/>
    <x v="17"/>
    <s v="Olkypay"/>
    <s v="Edoardo Tubia"/>
    <m/>
    <m/>
  </r>
  <r>
    <d v="2026-04-01T00:00:00"/>
    <d v="2026-04-01T00:00:00"/>
    <n v="4"/>
    <x v="5"/>
    <m/>
    <m/>
    <m/>
    <m/>
    <m/>
    <m/>
    <m/>
    <n v="-40"/>
    <n v="9635.9773999999907"/>
    <x v="0"/>
    <m/>
    <x v="1"/>
    <s v="COSTS"/>
    <m/>
    <s v="6133300 - FRAIS DE COMPTES ET COMMISSIONS BANCAIRES"/>
    <m/>
    <s v="Commissions"/>
    <x v="33"/>
    <s v="Olkypay"/>
    <s v="Olkypay"/>
    <m/>
    <m/>
  </r>
  <r>
    <d v="2026-04-01T00:00:00"/>
    <d v="2026-04-01T00:00:00"/>
    <n v="4"/>
    <x v="5"/>
    <m/>
    <m/>
    <m/>
    <m/>
    <m/>
    <m/>
    <m/>
    <n v="-0.69"/>
    <n v="9635.2873999999902"/>
    <x v="0"/>
    <m/>
    <x v="1"/>
    <s v="COSTS"/>
    <m/>
    <s v="6133300 - FRAIS DE COMPTES ET COMMISSIONS BANCAIRES"/>
    <m/>
    <s v="Commissions"/>
    <x v="33"/>
    <s v="Olkypay"/>
    <s v="Olkypay"/>
    <m/>
    <m/>
  </r>
  <r>
    <d v="2026-04-01T00:00:00"/>
    <d v="2026-04-01T00:00:00"/>
    <n v="4"/>
    <x v="5"/>
    <m/>
    <m/>
    <m/>
    <m/>
    <m/>
    <m/>
    <m/>
    <n v="-19.899999999999999"/>
    <n v="9615.3873999999905"/>
    <x v="0"/>
    <m/>
    <x v="1"/>
    <s v="COSTS"/>
    <m/>
    <s v="6133300 - FRAIS DE COMPTES ET COMMISSIONS BANCAIRES"/>
    <m/>
    <s v="Commissions"/>
    <x v="33"/>
    <s v="Olkypay"/>
    <s v="Olkypay"/>
    <m/>
    <m/>
  </r>
  <r>
    <d v="2026-04-02T00:00:00"/>
    <d v="2026-04-02T00:00:00"/>
    <n v="4"/>
    <x v="5"/>
    <m/>
    <m/>
    <m/>
    <m/>
    <m/>
    <m/>
    <m/>
    <n v="-10"/>
    <n v="9605.3873999999905"/>
    <x v="0"/>
    <m/>
    <x v="1"/>
    <s v="COSTS"/>
    <m/>
    <s v="6133300 - FRAIS DE COMPTES ET COMMISSIONS BANCAIRES"/>
    <m/>
    <s v="Commissions"/>
    <x v="49"/>
    <s v="Revolut"/>
    <s v="Revolut"/>
    <m/>
    <m/>
  </r>
  <r>
    <d v="2026-04-02T00:00:00"/>
    <d v="2026-04-02T00:00:00"/>
    <n v="4"/>
    <x v="5"/>
    <m/>
    <m/>
    <m/>
    <m/>
    <m/>
    <m/>
    <m/>
    <n v="-16"/>
    <n v="9589.3873999999905"/>
    <x v="0"/>
    <m/>
    <x v="1"/>
    <s v="COSTS"/>
    <m/>
    <s v="6133300 - FRAIS DE COMPTES ET COMMISSIONS BANCAIRES"/>
    <m/>
    <s v="Commissions"/>
    <x v="49"/>
    <s v="Revolut"/>
    <s v="Revolut"/>
    <m/>
    <m/>
  </r>
  <r>
    <d v="2026-05-02T00:00:00"/>
    <d v="2026-05-02T00:00:00"/>
    <n v="5"/>
    <x v="5"/>
    <m/>
    <m/>
    <m/>
    <m/>
    <m/>
    <m/>
    <m/>
    <n v="-19.899999999999999"/>
    <n v="9569.4873999999909"/>
    <x v="0"/>
    <m/>
    <x v="1"/>
    <s v="COSTS"/>
    <m/>
    <s v="6133300 - FRAIS DE COMPTES ET COMMISSIONS BANCAIRES"/>
    <m/>
    <s v="Commissions"/>
    <x v="33"/>
    <s v="Olkypay"/>
    <s v="Olkypay"/>
    <m/>
    <m/>
  </r>
  <r>
    <d v="2026-05-02T00:00:00"/>
    <d v="2026-05-02T00:00:00"/>
    <n v="5"/>
    <x v="5"/>
    <m/>
    <m/>
    <m/>
    <m/>
    <m/>
    <m/>
    <m/>
    <n v="-10"/>
    <n v="9559.4873999999909"/>
    <x v="0"/>
    <m/>
    <x v="1"/>
    <s v="COSTS"/>
    <m/>
    <s v="6133300 - FRAIS DE COMPTES ET COMMISSIONS BANCAIRES"/>
    <m/>
    <s v="Commissions"/>
    <x v="49"/>
    <s v="Revolut"/>
    <s v="Revolut"/>
    <m/>
    <m/>
  </r>
  <r>
    <d v="2026-05-02T00:00:00"/>
    <d v="2026-05-02T00:00:00"/>
    <n v="5"/>
    <x v="5"/>
    <m/>
    <m/>
    <m/>
    <m/>
    <m/>
    <m/>
    <m/>
    <n v="-8"/>
    <n v="9551.4873999999909"/>
    <x v="0"/>
    <m/>
    <x v="1"/>
    <s v="COSTS"/>
    <m/>
    <s v="6133300 - FRAIS DE COMPTES ET COMMISSIONS BANCAIRES"/>
    <m/>
    <s v="Commissions"/>
    <x v="49"/>
    <s v="Revolut"/>
    <s v="Revolut"/>
    <m/>
    <m/>
  </r>
  <r>
    <d v="2026-05-19T00:00:00"/>
    <d v="2026-05-19T00:00:00"/>
    <n v="5"/>
    <x v="5"/>
    <m/>
    <m/>
    <m/>
    <m/>
    <m/>
    <m/>
    <m/>
    <n v="-19.510000000000002"/>
    <n v="9531.9773999999907"/>
    <x v="0"/>
    <m/>
    <x v="1"/>
    <s v="COSTS"/>
    <m/>
    <s v="6133300 - FRAIS DE COMPTES ET COMMISSIONS BANCAIRES"/>
    <m/>
    <s v="Commissions"/>
    <x v="33"/>
    <s v="Olkypay"/>
    <s v="Olkypay"/>
    <m/>
    <m/>
  </r>
  <r>
    <d v="2026-05-21T00:00:00"/>
    <d v="2026-05-21T00:00:00"/>
    <n v="5"/>
    <x v="5"/>
    <m/>
    <m/>
    <m/>
    <m/>
    <m/>
    <m/>
    <m/>
    <n v="19.510000000000002"/>
    <n v="9551.4873999999909"/>
    <x v="0"/>
    <m/>
    <x v="1"/>
    <s v="COSTS"/>
    <m/>
    <s v="6133300 - FRAIS DE COMPTES ET COMMISSIONS BANCAIRES"/>
    <m/>
    <s v="Commissions"/>
    <x v="49"/>
    <s v="Revolut"/>
    <s v="Olkypay"/>
    <m/>
    <m/>
  </r>
  <r>
    <d v="2026-05-21T00:00:00"/>
    <d v="2026-05-21T00:00:00"/>
    <n v="5"/>
    <x v="5"/>
    <m/>
    <m/>
    <m/>
    <m/>
    <m/>
    <m/>
    <m/>
    <n v="-401.25"/>
    <n v="9150.2373999999909"/>
    <x v="0"/>
    <m/>
    <x v="1"/>
    <s v="COSTS"/>
    <m/>
    <s v="6811000 - IF - EXERCICE COURANT"/>
    <s v="IMPOT FORTUNE"/>
    <s v="Impôt Fortune 2026"/>
    <x v="38"/>
    <s v="Revolut"/>
    <s v="Sombra e Agua Fresca Resort Sàrl"/>
    <n v="2026"/>
    <m/>
  </r>
  <r>
    <d v="2026-06-02T00:00:00"/>
    <d v="2026-06-02T00:00:00"/>
    <n v="6"/>
    <x v="5"/>
    <m/>
    <m/>
    <m/>
    <m/>
    <m/>
    <m/>
    <m/>
    <n v="-10"/>
    <n v="9140.2373999999909"/>
    <x v="0"/>
    <m/>
    <x v="1"/>
    <s v="COSTS"/>
    <m/>
    <s v="6133300 - FRAIS DE COMPTES ET COMMISSIONS BANCAIRES"/>
    <m/>
    <s v="Commissions"/>
    <x v="49"/>
    <s v="Revolut"/>
    <s v="Revolut"/>
    <m/>
    <m/>
  </r>
  <r>
    <d v="2026-06-02T00:00:00"/>
    <d v="2026-06-02T00:00:00"/>
    <n v="6"/>
    <x v="5"/>
    <m/>
    <m/>
    <m/>
    <m/>
    <m/>
    <m/>
    <m/>
    <n v="-8"/>
    <n v="9132.2373999999909"/>
    <x v="0"/>
    <m/>
    <x v="1"/>
    <s v="COSTS"/>
    <m/>
    <s v="6133300 - FRAIS DE COMPTES ET COMMISSIONS BANCAIRES"/>
    <m/>
    <s v="Commissions"/>
    <x v="49"/>
    <s v="Revolut"/>
    <s v="Revolut"/>
    <m/>
    <m/>
  </r>
  <r>
    <d v="2026-06-30T00:00:00"/>
    <d v="2026-06-30T00:00:00"/>
    <n v="6"/>
    <x v="5"/>
    <m/>
    <m/>
    <m/>
    <m/>
    <m/>
    <m/>
    <m/>
    <n v="-43434.36"/>
    <n v="-34302.12260000001"/>
    <x v="7"/>
    <m/>
    <x v="0"/>
    <s v="CAPITAUX PROPRES ET PASSIF"/>
    <s v="C. DETTES"/>
    <s v="SHAREHOLDERS LOANS"/>
    <m/>
    <s v="Financement Associés"/>
    <x v="11"/>
    <m/>
    <s v="Edoardo Tubia"/>
    <m/>
    <m/>
  </r>
  <r>
    <d v="2026-06-30T00:00:00"/>
    <d v="2026-06-30T00:00:00"/>
    <n v="6"/>
    <x v="5"/>
    <m/>
    <m/>
    <m/>
    <m/>
    <m/>
    <m/>
    <m/>
    <n v="43434.36"/>
    <n v="9132.2373999999909"/>
    <x v="7"/>
    <m/>
    <x v="0"/>
    <s v="CAPITAUX PROPRES ET PASSIF"/>
    <s v="C. DETTES"/>
    <s v="SHAREHOLDERS LOANS"/>
    <m/>
    <s v="Financement Associés"/>
    <x v="14"/>
    <m/>
    <s v="New Life Sàrl"/>
    <m/>
    <m/>
  </r>
  <r>
    <d v="2026-06-30T00:00:00"/>
    <d v="2026-06-30T00:00:00"/>
    <n v="6"/>
    <x v="5"/>
    <m/>
    <m/>
    <m/>
    <m/>
    <m/>
    <m/>
    <m/>
    <n v="-520"/>
    <n v="8612.2373999999909"/>
    <x v="7"/>
    <n v="-520"/>
    <x v="0"/>
    <s v="CAPITAUX PROPRES ET PASSIF"/>
    <s v="A. CAPITAUX PROPRES"/>
    <s v="I. CAPITAL SOUSCRIT"/>
    <m/>
    <s v="1010000 - Capital Souscrit"/>
    <x v="23"/>
    <m/>
    <s v="Tubia Edoardo"/>
    <m/>
    <m/>
  </r>
  <r>
    <d v="2026-06-30T00:00:00"/>
    <d v="2026-06-30T00:00:00"/>
    <n v="6"/>
    <x v="5"/>
    <m/>
    <m/>
    <m/>
    <m/>
    <m/>
    <m/>
    <m/>
    <n v="520"/>
    <n v="9132.2373999999909"/>
    <x v="7"/>
    <n v="520"/>
    <x v="0"/>
    <s v="CAPITAUX PROPRES ET PASSIF"/>
    <s v="A. CAPITAUX PROPRES"/>
    <s v="I. CAPITAL SOUSCRIT"/>
    <m/>
    <s v="1010000 - Capital Souscrit"/>
    <x v="22"/>
    <m/>
    <s v="New Life Sàrl"/>
    <m/>
    <m/>
  </r>
  <r>
    <d v="2026-06-30T00:00:00"/>
    <d v="2026-06-30T00:00:00"/>
    <n v="6"/>
    <x v="5"/>
    <m/>
    <m/>
    <m/>
    <m/>
    <m/>
    <m/>
    <m/>
    <n v="-135"/>
    <n v="8997.2373999999909"/>
    <x v="5"/>
    <n v="-135"/>
    <x v="0"/>
    <s v="CAPITAUX PROPRES ET PASSIF"/>
    <s v="A. CAPITAUX PROPRES"/>
    <s v="I. CAPITAL SOUSCRIT"/>
    <m/>
    <s v="1010000 - Capital Souscrit"/>
    <x v="23"/>
    <m/>
    <s v="Tubia Edoardo"/>
    <m/>
    <m/>
  </r>
  <r>
    <d v="2026-06-30T00:00:00"/>
    <d v="2026-06-30T00:00:00"/>
    <n v="6"/>
    <x v="5"/>
    <m/>
    <m/>
    <m/>
    <m/>
    <m/>
    <m/>
    <m/>
    <n v="135"/>
    <n v="9132.2373999999909"/>
    <x v="5"/>
    <n v="135"/>
    <x v="0"/>
    <s v="CAPITAUX PROPRES ET PASSIF"/>
    <s v="A. CAPITAUX PROPRES"/>
    <s v="I. CAPITAL SOUSCRIT"/>
    <m/>
    <s v="1010000 - Capital Souscrit"/>
    <x v="22"/>
    <m/>
    <s v="New Life Sàrl"/>
    <m/>
    <m/>
  </r>
  <r>
    <d v="2026-07-02T00:00:00"/>
    <d v="2026-07-02T00:00:00"/>
    <n v="7"/>
    <x v="5"/>
    <m/>
    <m/>
    <m/>
    <m/>
    <m/>
    <m/>
    <m/>
    <n v="-10"/>
    <n v="9122.2373999999909"/>
    <x v="0"/>
    <m/>
    <x v="1"/>
    <s v="COSTS"/>
    <m/>
    <s v="6133300 - FRAIS DE COMPTES ET COMMISSIONS BANCAIRES"/>
    <m/>
    <s v="Commissions"/>
    <x v="49"/>
    <s v="Revolut"/>
    <s v="Revolut"/>
    <m/>
    <m/>
  </r>
  <r>
    <d v="2026-07-02T00:00:00"/>
    <d v="2026-07-02T00:00:00"/>
    <n v="7"/>
    <x v="5"/>
    <m/>
    <m/>
    <m/>
    <m/>
    <m/>
    <m/>
    <m/>
    <n v="-8"/>
    <n v="9114.2373999999909"/>
    <x v="0"/>
    <m/>
    <x v="1"/>
    <s v="COSTS"/>
    <m/>
    <s v="6133300 - FRAIS DE COMPTES ET COMMISSIONS BANCAIRES"/>
    <m/>
    <s v="Commissions"/>
    <x v="49"/>
    <s v="Revolut"/>
    <s v="Revolut"/>
    <m/>
    <m/>
  </r>
  <r>
    <d v="2026-07-09T00:00:00"/>
    <d v="2026-07-09T00:00:00"/>
    <n v="7"/>
    <x v="5"/>
    <m/>
    <m/>
    <m/>
    <m/>
    <m/>
    <m/>
    <m/>
    <n v="-350"/>
    <n v="8764.2373999999909"/>
    <x v="0"/>
    <m/>
    <x v="1"/>
    <s v="COSTS"/>
    <m/>
    <s v="6187000 - COTISATIONS AUX ASSOCIATIONS PROFESSIONNELLES"/>
    <m/>
    <s v="Cotisation 2022"/>
    <x v="43"/>
    <s v="Revolut"/>
    <s v="Revolut"/>
    <m/>
    <m/>
  </r>
  <r>
    <m/>
    <m/>
    <m/>
    <x v="6"/>
    <m/>
    <m/>
    <m/>
    <m/>
    <m/>
    <m/>
    <m/>
    <m/>
    <m/>
    <x v="0"/>
    <m/>
    <x v="2"/>
    <m/>
    <m/>
    <m/>
    <m/>
    <m/>
    <x v="50"/>
    <m/>
    <m/>
    <m/>
    <m/>
  </r>
  <r>
    <m/>
    <m/>
    <m/>
    <x v="6"/>
    <n v="-62000"/>
    <n v="-3081.75"/>
    <m/>
    <m/>
    <m/>
    <m/>
    <m/>
    <n v="8764.2373999999909"/>
    <m/>
    <x v="0"/>
    <m/>
    <x v="2"/>
    <m/>
    <m/>
    <m/>
    <m/>
    <m/>
    <x v="5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d v="2021-12-31T00:00:00"/>
    <d v="2021-12-31T00:00:00"/>
    <n v="12"/>
    <x v="0"/>
    <m/>
    <m/>
    <m/>
    <m/>
    <m/>
    <m/>
    <m/>
    <n v="1004968.24"/>
    <n v="1004968.24"/>
    <m/>
    <m/>
    <x v="0"/>
    <x v="0"/>
    <x v="0"/>
    <x v="0"/>
    <x v="0"/>
    <x v="0"/>
    <x v="0"/>
    <x v="0"/>
    <m/>
    <x v="0"/>
    <m/>
  </r>
  <r>
    <d v="2021-12-31T00:00:00"/>
    <d v="2021-12-31T00:00:00"/>
    <n v="12"/>
    <x v="0"/>
    <m/>
    <m/>
    <m/>
    <m/>
    <m/>
    <m/>
    <m/>
    <n v="-1004968.24"/>
    <n v="0"/>
    <m/>
    <m/>
    <x v="0"/>
    <x v="0"/>
    <x v="0"/>
    <x v="0"/>
    <x v="0"/>
    <x v="0"/>
    <x v="1"/>
    <x v="0"/>
    <s v="Sombra e Agua Fresca Resort Sàrl"/>
    <x v="0"/>
    <m/>
  </r>
  <r>
    <d v="2021-12-31T00:00:00"/>
    <d v="2021-12-31T00:00:00"/>
    <n v="12"/>
    <x v="0"/>
    <m/>
    <m/>
    <m/>
    <m/>
    <m/>
    <m/>
    <m/>
    <n v="16257.32"/>
    <n v="16257.32"/>
    <m/>
    <m/>
    <x v="0"/>
    <x v="0"/>
    <x v="1"/>
    <x v="1"/>
    <x v="0"/>
    <x v="1"/>
    <x v="2"/>
    <x v="0"/>
    <m/>
    <x v="0"/>
    <m/>
  </r>
  <r>
    <d v="2021-12-31T00:00:00"/>
    <d v="2021-12-31T00:00:00"/>
    <n v="12"/>
    <x v="0"/>
    <m/>
    <m/>
    <m/>
    <m/>
    <m/>
    <m/>
    <m/>
    <n v="-16257.32"/>
    <n v="0"/>
    <m/>
    <m/>
    <x v="0"/>
    <x v="0"/>
    <x v="1"/>
    <x v="1"/>
    <x v="0"/>
    <x v="1"/>
    <x v="1"/>
    <x v="0"/>
    <s v="Sombra e Agua Fresca Resort Sàrl"/>
    <x v="0"/>
    <m/>
  </r>
  <r>
    <d v="2021-12-31T00:00:00"/>
    <d v="2021-12-31T00:00:00"/>
    <n v="12"/>
    <x v="0"/>
    <m/>
    <m/>
    <m/>
    <m/>
    <m/>
    <m/>
    <m/>
    <n v="43249.57"/>
    <n v="43249.57"/>
    <s v="A"/>
    <m/>
    <x v="0"/>
    <x v="1"/>
    <x v="2"/>
    <x v="2"/>
    <x v="0"/>
    <x v="2"/>
    <x v="3"/>
    <x v="0"/>
    <s v="Christine Oliveira"/>
    <x v="0"/>
    <m/>
  </r>
  <r>
    <d v="2021-12-31T00:00:00"/>
    <d v="2021-12-31T00:00:00"/>
    <n v="12"/>
    <x v="0"/>
    <m/>
    <m/>
    <m/>
    <m/>
    <m/>
    <m/>
    <m/>
    <n v="43249.57"/>
    <n v="86499.14"/>
    <s v="A"/>
    <m/>
    <x v="0"/>
    <x v="1"/>
    <x v="2"/>
    <x v="2"/>
    <x v="0"/>
    <x v="2"/>
    <x v="4"/>
    <x v="0"/>
    <s v="Jens Liesen"/>
    <x v="0"/>
    <m/>
  </r>
  <r>
    <d v="2021-12-31T00:00:00"/>
    <d v="2021-12-31T00:00:00"/>
    <n v="12"/>
    <x v="0"/>
    <m/>
    <m/>
    <m/>
    <m/>
    <m/>
    <m/>
    <m/>
    <n v="42266.62"/>
    <n v="128765.76000000001"/>
    <s v="B"/>
    <m/>
    <x v="0"/>
    <x v="1"/>
    <x v="2"/>
    <x v="2"/>
    <x v="0"/>
    <x v="2"/>
    <x v="5"/>
    <x v="0"/>
    <s v="Giorgio Vignolle"/>
    <x v="0"/>
    <m/>
  </r>
  <r>
    <d v="2021-12-31T00:00:00"/>
    <d v="2021-12-31T00:00:00"/>
    <n v="12"/>
    <x v="0"/>
    <m/>
    <m/>
    <m/>
    <m/>
    <m/>
    <m/>
    <m/>
    <n v="97311.53"/>
    <n v="226077.29"/>
    <s v="B"/>
    <m/>
    <x v="0"/>
    <x v="1"/>
    <x v="2"/>
    <x v="2"/>
    <x v="0"/>
    <x v="2"/>
    <x v="6"/>
    <x v="0"/>
    <s v="Gabriel Vignolle"/>
    <x v="0"/>
    <m/>
  </r>
  <r>
    <d v="2021-12-31T00:00:00"/>
    <d v="2021-12-31T00:00:00"/>
    <n v="12"/>
    <x v="0"/>
    <m/>
    <m/>
    <m/>
    <m/>
    <m/>
    <m/>
    <m/>
    <n v="97311.53"/>
    <n v="323388.82"/>
    <s v="B"/>
    <m/>
    <x v="0"/>
    <x v="1"/>
    <x v="2"/>
    <x v="2"/>
    <x v="0"/>
    <x v="2"/>
    <x v="7"/>
    <x v="0"/>
    <s v="Matteo Vignolle"/>
    <x v="0"/>
    <m/>
  </r>
  <r>
    <d v="2021-12-31T00:00:00"/>
    <d v="2021-12-31T00:00:00"/>
    <n v="12"/>
    <x v="0"/>
    <m/>
    <m/>
    <m/>
    <m/>
    <m/>
    <m/>
    <m/>
    <n v="49147.24"/>
    <n v="372536.06"/>
    <s v="D"/>
    <m/>
    <x v="0"/>
    <x v="1"/>
    <x v="2"/>
    <x v="2"/>
    <x v="0"/>
    <x v="2"/>
    <x v="8"/>
    <x v="0"/>
    <s v="Giancarlo Raggi"/>
    <x v="0"/>
    <m/>
  </r>
  <r>
    <d v="2021-12-31T00:00:00"/>
    <d v="2021-12-31T00:00:00"/>
    <n v="12"/>
    <x v="0"/>
    <m/>
    <m/>
    <m/>
    <m/>
    <m/>
    <m/>
    <m/>
    <n v="50130.18"/>
    <n v="422666.23999999999"/>
    <s v="D"/>
    <m/>
    <x v="0"/>
    <x v="1"/>
    <x v="2"/>
    <x v="2"/>
    <x v="0"/>
    <x v="2"/>
    <x v="9"/>
    <x v="0"/>
    <s v="Ingrid Lambert"/>
    <x v="0"/>
    <m/>
  </r>
  <r>
    <d v="2021-12-31T00:00:00"/>
    <d v="2021-12-31T00:00:00"/>
    <n v="12"/>
    <x v="0"/>
    <m/>
    <m/>
    <m/>
    <m/>
    <m/>
    <m/>
    <m/>
    <n v="95345.63"/>
    <n v="518011.87"/>
    <s v="E"/>
    <m/>
    <x v="0"/>
    <x v="1"/>
    <x v="2"/>
    <x v="2"/>
    <x v="0"/>
    <x v="2"/>
    <x v="10"/>
    <x v="0"/>
    <s v="Enrico Tubia"/>
    <x v="0"/>
    <m/>
  </r>
  <r>
    <d v="2021-12-31T00:00:00"/>
    <d v="2021-12-31T00:00:00"/>
    <n v="12"/>
    <x v="0"/>
    <m/>
    <m/>
    <m/>
    <m/>
    <m/>
    <m/>
    <m/>
    <n v="8846.5"/>
    <n v="526858.37"/>
    <s v="F"/>
    <m/>
    <x v="0"/>
    <x v="1"/>
    <x v="2"/>
    <x v="2"/>
    <x v="0"/>
    <x v="2"/>
    <x v="11"/>
    <x v="0"/>
    <s v="Edoardo Tubia"/>
    <x v="0"/>
    <m/>
  </r>
  <r>
    <d v="2021-12-31T00:00:00"/>
    <d v="2021-12-31T00:00:00"/>
    <n v="12"/>
    <x v="0"/>
    <m/>
    <m/>
    <m/>
    <m/>
    <m/>
    <m/>
    <m/>
    <n v="95345.63"/>
    <n v="622204"/>
    <s v="F"/>
    <m/>
    <x v="0"/>
    <x v="1"/>
    <x v="2"/>
    <x v="2"/>
    <x v="0"/>
    <x v="2"/>
    <x v="12"/>
    <x v="0"/>
    <s v="Silvia Tubia"/>
    <x v="0"/>
    <m/>
  </r>
  <r>
    <d v="2021-12-31T00:00:00"/>
    <d v="2021-12-31T00:00:00"/>
    <n v="12"/>
    <x v="0"/>
    <m/>
    <m/>
    <m/>
    <m/>
    <m/>
    <m/>
    <m/>
    <n v="117953.36"/>
    <n v="740157.36"/>
    <s v="G"/>
    <m/>
    <x v="0"/>
    <x v="1"/>
    <x v="2"/>
    <x v="2"/>
    <x v="0"/>
    <x v="2"/>
    <x v="13"/>
    <x v="0"/>
    <s v="Susik Hemawiti"/>
    <x v="0"/>
    <m/>
  </r>
  <r>
    <d v="2021-12-31T00:00:00"/>
    <d v="2021-12-31T00:00:00"/>
    <n v="12"/>
    <x v="0"/>
    <m/>
    <m/>
    <m/>
    <m/>
    <m/>
    <m/>
    <m/>
    <n v="147441.71"/>
    <n v="887599.07"/>
    <s v="H"/>
    <m/>
    <x v="0"/>
    <x v="1"/>
    <x v="2"/>
    <x v="2"/>
    <x v="0"/>
    <x v="2"/>
    <x v="14"/>
    <x v="0"/>
    <s v="New Life Sàrl"/>
    <x v="0"/>
    <m/>
  </r>
  <r>
    <d v="2021-12-31T00:00:00"/>
    <d v="2021-12-31T00:00:00"/>
    <n v="12"/>
    <x v="0"/>
    <m/>
    <m/>
    <m/>
    <m/>
    <m/>
    <m/>
    <m/>
    <n v="97311.53"/>
    <n v="984910.6"/>
    <s v="I"/>
    <m/>
    <x v="0"/>
    <x v="1"/>
    <x v="2"/>
    <x v="2"/>
    <x v="0"/>
    <x v="2"/>
    <x v="15"/>
    <x v="0"/>
    <s v="Michel Barbancey"/>
    <x v="0"/>
    <m/>
  </r>
  <r>
    <d v="2021-12-31T00:00:00"/>
    <d v="2021-12-31T00:00:00"/>
    <n v="12"/>
    <x v="0"/>
    <m/>
    <m/>
    <m/>
    <m/>
    <m/>
    <m/>
    <m/>
    <n v="-984910.6"/>
    <n v="0"/>
    <m/>
    <m/>
    <x v="0"/>
    <x v="1"/>
    <x v="2"/>
    <x v="2"/>
    <x v="0"/>
    <x v="2"/>
    <x v="1"/>
    <x v="0"/>
    <s v="Sombra e Agua Fresca Resort Sàrl"/>
    <x v="0"/>
    <m/>
  </r>
  <r>
    <d v="2021-12-31T00:00:00"/>
    <d v="2021-12-31T00:00:00"/>
    <n v="12"/>
    <x v="0"/>
    <m/>
    <m/>
    <m/>
    <m/>
    <m/>
    <m/>
    <m/>
    <n v="3154.39"/>
    <n v="3154.39"/>
    <m/>
    <m/>
    <x v="0"/>
    <x v="1"/>
    <x v="2"/>
    <x v="3"/>
    <x v="0"/>
    <x v="3"/>
    <x v="16"/>
    <x v="0"/>
    <m/>
    <x v="0"/>
    <m/>
  </r>
  <r>
    <d v="2021-12-31T00:00:00"/>
    <d v="2021-12-31T00:00:00"/>
    <n v="12"/>
    <x v="0"/>
    <m/>
    <m/>
    <m/>
    <m/>
    <m/>
    <m/>
    <m/>
    <n v="-3154.39"/>
    <n v="0"/>
    <m/>
    <m/>
    <x v="0"/>
    <x v="1"/>
    <x v="2"/>
    <x v="4"/>
    <x v="0"/>
    <x v="3"/>
    <x v="1"/>
    <x v="0"/>
    <s v="Sombra e Agua Fresca Resort Sàrl"/>
    <x v="0"/>
    <m/>
  </r>
  <r>
    <d v="2021-12-31T00:00:00"/>
    <d v="2021-12-31T00:00:00"/>
    <n v="12"/>
    <x v="0"/>
    <m/>
    <m/>
    <m/>
    <m/>
    <m/>
    <m/>
    <m/>
    <n v="1755"/>
    <n v="1755"/>
    <m/>
    <m/>
    <x v="0"/>
    <x v="1"/>
    <x v="2"/>
    <x v="5"/>
    <x v="0"/>
    <x v="3"/>
    <x v="16"/>
    <x v="0"/>
    <m/>
    <x v="0"/>
    <m/>
  </r>
  <r>
    <d v="2021-12-31T00:00:00"/>
    <d v="2021-12-31T00:00:00"/>
    <n v="12"/>
    <x v="0"/>
    <m/>
    <m/>
    <m/>
    <m/>
    <m/>
    <m/>
    <m/>
    <n v="-1755"/>
    <n v="0"/>
    <m/>
    <m/>
    <x v="0"/>
    <x v="1"/>
    <x v="2"/>
    <x v="4"/>
    <x v="0"/>
    <x v="3"/>
    <x v="1"/>
    <x v="0"/>
    <s v="Sombra e Agua Fresca Resort Sàrl"/>
    <x v="0"/>
    <m/>
  </r>
  <r>
    <d v="2021-12-31T00:00:00"/>
    <d v="2021-12-31T00:00:00"/>
    <n v="12"/>
    <x v="0"/>
    <m/>
    <m/>
    <m/>
    <m/>
    <m/>
    <m/>
    <m/>
    <n v="19168.79"/>
    <n v="19168.79"/>
    <m/>
    <m/>
    <x v="0"/>
    <x v="1"/>
    <x v="2"/>
    <x v="6"/>
    <x v="0"/>
    <x v="2"/>
    <x v="17"/>
    <x v="0"/>
    <s v="Edoardo Tubia"/>
    <x v="0"/>
    <m/>
  </r>
  <r>
    <d v="2021-12-31T00:00:00"/>
    <d v="2021-12-31T00:00:00"/>
    <n v="12"/>
    <x v="0"/>
    <m/>
    <m/>
    <m/>
    <m/>
    <m/>
    <m/>
    <m/>
    <n v="-19168.79"/>
    <n v="0"/>
    <m/>
    <m/>
    <x v="0"/>
    <x v="1"/>
    <x v="2"/>
    <x v="7"/>
    <x v="0"/>
    <x v="3"/>
    <x v="1"/>
    <x v="0"/>
    <s v="Sombra e Agua Fresca Resort Sàrl"/>
    <x v="0"/>
    <m/>
  </r>
  <r>
    <d v="2021-12-31T00:00:00"/>
    <d v="2021-12-31T00:00:00"/>
    <n v="12"/>
    <x v="0"/>
    <m/>
    <m/>
    <m/>
    <m/>
    <m/>
    <m/>
    <m/>
    <n v="888.85"/>
    <n v="888.85"/>
    <m/>
    <m/>
    <x v="0"/>
    <x v="1"/>
    <x v="3"/>
    <x v="8"/>
    <x v="0"/>
    <x v="4"/>
    <x v="18"/>
    <x v="0"/>
    <m/>
    <x v="0"/>
    <m/>
  </r>
  <r>
    <d v="2021-12-31T00:00:00"/>
    <d v="2021-12-31T00:00:00"/>
    <n v="12"/>
    <x v="0"/>
    <m/>
    <m/>
    <m/>
    <m/>
    <m/>
    <m/>
    <m/>
    <n v="-888.85"/>
    <n v="0"/>
    <m/>
    <m/>
    <x v="0"/>
    <x v="1"/>
    <x v="3"/>
    <x v="8"/>
    <x v="0"/>
    <x v="4"/>
    <x v="1"/>
    <x v="0"/>
    <s v="Sombra e Agua Fresca Resort Sàrl"/>
    <x v="0"/>
    <m/>
  </r>
  <r>
    <d v="2021-12-31T00:00:00"/>
    <d v="2021-12-31T00:00:00"/>
    <n v="12"/>
    <x v="0"/>
    <m/>
    <m/>
    <m/>
    <m/>
    <m/>
    <m/>
    <m/>
    <n v="-5652.07"/>
    <n v="-5652.07"/>
    <m/>
    <m/>
    <x v="0"/>
    <x v="1"/>
    <x v="3"/>
    <x v="9"/>
    <x v="0"/>
    <x v="5"/>
    <x v="19"/>
    <x v="0"/>
    <m/>
    <x v="0"/>
    <m/>
  </r>
  <r>
    <d v="2021-12-31T00:00:00"/>
    <d v="2021-12-31T00:00:00"/>
    <n v="12"/>
    <x v="0"/>
    <m/>
    <m/>
    <m/>
    <m/>
    <m/>
    <m/>
    <m/>
    <n v="5652.07"/>
    <n v="0"/>
    <m/>
    <m/>
    <x v="0"/>
    <x v="1"/>
    <x v="3"/>
    <x v="9"/>
    <x v="0"/>
    <x v="5"/>
    <x v="1"/>
    <x v="0"/>
    <s v="Sombra e Agua Fresca Resort Sàrl"/>
    <x v="0"/>
    <m/>
  </r>
  <r>
    <d v="2021-10-11T00:00:00"/>
    <d v="2021-10-11T00:00:00"/>
    <n v="10"/>
    <x v="0"/>
    <m/>
    <m/>
    <m/>
    <m/>
    <m/>
    <m/>
    <m/>
    <n v="2000"/>
    <n v="2000"/>
    <m/>
    <m/>
    <x v="0"/>
    <x v="1"/>
    <x v="2"/>
    <x v="6"/>
    <x v="0"/>
    <x v="2"/>
    <x v="17"/>
    <x v="1"/>
    <s v="Edoardo Tubia"/>
    <x v="0"/>
    <m/>
  </r>
  <r>
    <d v="2021-10-22T00:00:00"/>
    <d v="2021-10-22T00:00:00"/>
    <n v="10"/>
    <x v="0"/>
    <m/>
    <m/>
    <m/>
    <m/>
    <m/>
    <m/>
    <m/>
    <n v="1452.1"/>
    <n v="3452.1"/>
    <s v="F"/>
    <n v="1452"/>
    <x v="0"/>
    <x v="1"/>
    <x v="3"/>
    <x v="10"/>
    <x v="0"/>
    <x v="6"/>
    <x v="20"/>
    <x v="1"/>
    <s v="Silvia Tubia"/>
    <x v="0"/>
    <m/>
  </r>
  <r>
    <d v="2021-10-25T00:00:00"/>
    <d v="2021-10-25T00:00:00"/>
    <n v="10"/>
    <x v="0"/>
    <m/>
    <m/>
    <m/>
    <m/>
    <m/>
    <m/>
    <m/>
    <n v="748.5"/>
    <n v="4200.6000000000004"/>
    <s v="D"/>
    <n v="749"/>
    <x v="0"/>
    <x v="1"/>
    <x v="3"/>
    <x v="10"/>
    <x v="0"/>
    <x v="6"/>
    <x v="21"/>
    <x v="1"/>
    <s v="Giancarlo Raggi"/>
    <x v="0"/>
    <m/>
  </r>
  <r>
    <d v="2021-10-25T00:00:00"/>
    <d v="2021-10-25T00:00:00"/>
    <n v="10"/>
    <x v="0"/>
    <m/>
    <m/>
    <m/>
    <m/>
    <m/>
    <m/>
    <m/>
    <n v="2245.5100000000002"/>
    <n v="6446.1100000000006"/>
    <s v="H"/>
    <n v="2245"/>
    <x v="0"/>
    <x v="1"/>
    <x v="3"/>
    <x v="10"/>
    <x v="0"/>
    <x v="6"/>
    <x v="22"/>
    <x v="1"/>
    <s v="New Life Sàrl"/>
    <x v="0"/>
    <m/>
  </r>
  <r>
    <d v="2021-10-25T00:00:00"/>
    <d v="2021-10-25T00:00:00"/>
    <n v="10"/>
    <x v="0"/>
    <m/>
    <m/>
    <m/>
    <m/>
    <m/>
    <m/>
    <m/>
    <n v="134.72999999999999"/>
    <n v="6580.84"/>
    <s v="F"/>
    <n v="135"/>
    <x v="0"/>
    <x v="1"/>
    <x v="3"/>
    <x v="10"/>
    <x v="0"/>
    <x v="6"/>
    <x v="23"/>
    <x v="1"/>
    <s v="Edoardo Tubia"/>
    <x v="0"/>
    <m/>
  </r>
  <r>
    <d v="2021-10-25T00:00:00"/>
    <d v="2021-10-25T00:00:00"/>
    <n v="10"/>
    <x v="0"/>
    <m/>
    <m/>
    <m/>
    <m/>
    <m/>
    <m/>
    <m/>
    <n v="1796.41"/>
    <n v="8377.25"/>
    <s v="G"/>
    <n v="1796"/>
    <x v="0"/>
    <x v="1"/>
    <x v="3"/>
    <x v="10"/>
    <x v="0"/>
    <x v="6"/>
    <x v="24"/>
    <x v="1"/>
    <s v="Susik Hemawiti"/>
    <x v="0"/>
    <m/>
  </r>
  <r>
    <d v="2021-10-25T00:00:00"/>
    <d v="2021-10-25T00:00:00"/>
    <n v="10"/>
    <x v="0"/>
    <m/>
    <m/>
    <m/>
    <m/>
    <m/>
    <m/>
    <m/>
    <n v="1452.1"/>
    <n v="9829.35"/>
    <s v="E"/>
    <n v="1452"/>
    <x v="0"/>
    <x v="1"/>
    <x v="3"/>
    <x v="10"/>
    <x v="0"/>
    <x v="6"/>
    <x v="25"/>
    <x v="1"/>
    <s v="Enrico Tubia"/>
    <x v="0"/>
    <m/>
  </r>
  <r>
    <d v="2021-10-26T00:00:00"/>
    <d v="2021-10-26T00:00:00"/>
    <n v="10"/>
    <x v="0"/>
    <m/>
    <m/>
    <m/>
    <m/>
    <m/>
    <m/>
    <m/>
    <n v="658.68"/>
    <n v="10488.03"/>
    <s v="A"/>
    <n v="659"/>
    <x v="0"/>
    <x v="1"/>
    <x v="3"/>
    <x v="10"/>
    <x v="0"/>
    <x v="6"/>
    <x v="26"/>
    <x v="1"/>
    <s v="Christine Oliveira"/>
    <x v="0"/>
    <m/>
  </r>
  <r>
    <d v="2021-10-26T00:00:00"/>
    <d v="2021-10-26T00:00:00"/>
    <n v="10"/>
    <x v="0"/>
    <m/>
    <m/>
    <m/>
    <m/>
    <m/>
    <m/>
    <m/>
    <n v="658.68"/>
    <n v="11146.710000000001"/>
    <s v="A"/>
    <n v="659"/>
    <x v="0"/>
    <x v="1"/>
    <x v="3"/>
    <x v="10"/>
    <x v="0"/>
    <x v="6"/>
    <x v="27"/>
    <x v="1"/>
    <s v="Jens Liesen"/>
    <x v="0"/>
    <m/>
  </r>
  <r>
    <d v="2021-10-27T00:00:00"/>
    <d v="2021-10-27T00:00:00"/>
    <n v="10"/>
    <x v="0"/>
    <m/>
    <m/>
    <m/>
    <m/>
    <m/>
    <m/>
    <m/>
    <n v="89.71"/>
    <n v="11236.42"/>
    <s v="B"/>
    <n v="90"/>
    <x v="0"/>
    <x v="1"/>
    <x v="3"/>
    <x v="10"/>
    <x v="0"/>
    <x v="6"/>
    <x v="28"/>
    <x v="1"/>
    <s v="Giorgio Vignolle"/>
    <x v="0"/>
    <m/>
  </r>
  <r>
    <d v="2021-10-27T00:00:00"/>
    <d v="2021-10-27T00:00:00"/>
    <n v="10"/>
    <x v="0"/>
    <m/>
    <m/>
    <m/>
    <m/>
    <m/>
    <m/>
    <m/>
    <n v="554"/>
    <n v="11790.42"/>
    <s v="C"/>
    <n v="554"/>
    <x v="0"/>
    <x v="1"/>
    <x v="3"/>
    <x v="10"/>
    <x v="0"/>
    <x v="6"/>
    <x v="28"/>
    <x v="1"/>
    <s v="Giorgio Vignolle"/>
    <x v="0"/>
    <m/>
  </r>
  <r>
    <d v="2021-10-27T00:00:00"/>
    <d v="2021-10-27T00:00:00"/>
    <n v="10"/>
    <x v="0"/>
    <m/>
    <m/>
    <m/>
    <m/>
    <m/>
    <m/>
    <m/>
    <n v="1482.04"/>
    <n v="13272.46"/>
    <s v="C"/>
    <n v="1482"/>
    <x v="0"/>
    <x v="1"/>
    <x v="3"/>
    <x v="10"/>
    <x v="0"/>
    <x v="6"/>
    <x v="29"/>
    <x v="1"/>
    <s v="Matteo Vignolle"/>
    <x v="0"/>
    <m/>
  </r>
  <r>
    <d v="2021-10-27T00:00:00"/>
    <d v="2021-10-27T00:00:00"/>
    <n v="10"/>
    <x v="0"/>
    <m/>
    <m/>
    <m/>
    <m/>
    <m/>
    <m/>
    <m/>
    <n v="1482.04"/>
    <n v="14754.5"/>
    <s v="B"/>
    <n v="1482"/>
    <x v="0"/>
    <x v="1"/>
    <x v="3"/>
    <x v="10"/>
    <x v="0"/>
    <x v="6"/>
    <x v="30"/>
    <x v="1"/>
    <s v="Gabriel Vignolle"/>
    <x v="0"/>
    <m/>
  </r>
  <r>
    <d v="2021-10-28T00:00:00"/>
    <d v="2021-10-28T00:00:00"/>
    <n v="10"/>
    <x v="0"/>
    <m/>
    <m/>
    <m/>
    <m/>
    <m/>
    <m/>
    <m/>
    <n v="1482.04"/>
    <n v="16236.54"/>
    <s v="I"/>
    <n v="1482"/>
    <x v="0"/>
    <x v="1"/>
    <x v="3"/>
    <x v="10"/>
    <x v="0"/>
    <x v="6"/>
    <x v="31"/>
    <x v="1"/>
    <s v="Michel Barbancey"/>
    <x v="0"/>
    <m/>
  </r>
  <r>
    <d v="2021-11-05T00:00:00"/>
    <d v="2021-11-05T00:00:00"/>
    <n v="11"/>
    <x v="0"/>
    <m/>
    <m/>
    <m/>
    <m/>
    <m/>
    <m/>
    <m/>
    <n v="763.47"/>
    <n v="17000.010000000002"/>
    <s v="D"/>
    <n v="763"/>
    <x v="0"/>
    <x v="1"/>
    <x v="3"/>
    <x v="10"/>
    <x v="0"/>
    <x v="6"/>
    <x v="32"/>
    <x v="1"/>
    <s v="Ingrid Lambert"/>
    <x v="0"/>
    <m/>
  </r>
  <r>
    <d v="2021-11-10T00:00:00"/>
    <d v="2021-11-10T00:00:00"/>
    <n v="11"/>
    <x v="0"/>
    <m/>
    <m/>
    <m/>
    <m/>
    <m/>
    <m/>
    <m/>
    <n v="-117"/>
    <n v="16883.010000000002"/>
    <m/>
    <m/>
    <x v="1"/>
    <x v="2"/>
    <x v="4"/>
    <x v="11"/>
    <x v="0"/>
    <x v="7"/>
    <x v="33"/>
    <x v="1"/>
    <s v="Olkypay"/>
    <x v="0"/>
    <m/>
  </r>
  <r>
    <d v="2021-12-30T00:00:00"/>
    <d v="2021-12-30T00:00:00"/>
    <n v="12"/>
    <x v="0"/>
    <m/>
    <m/>
    <m/>
    <m/>
    <m/>
    <m/>
    <m/>
    <n v="-585"/>
    <n v="16298.010000000002"/>
    <m/>
    <m/>
    <x v="1"/>
    <x v="2"/>
    <x v="4"/>
    <x v="11"/>
    <x v="0"/>
    <x v="7"/>
    <x v="33"/>
    <x v="1"/>
    <s v="Olkypay"/>
    <x v="0"/>
    <m/>
  </r>
  <r>
    <d v="2021-12-31T00:00:00"/>
    <d v="2021-12-31T00:00:00"/>
    <n v="12"/>
    <x v="0"/>
    <m/>
    <m/>
    <m/>
    <m/>
    <m/>
    <m/>
    <m/>
    <n v="-40.69"/>
    <n v="16257.320000000002"/>
    <m/>
    <m/>
    <x v="1"/>
    <x v="2"/>
    <x v="4"/>
    <x v="11"/>
    <x v="0"/>
    <x v="7"/>
    <x v="33"/>
    <x v="1"/>
    <s v="Olkypay"/>
    <x v="0"/>
    <m/>
  </r>
  <r>
    <d v="2022-01-03T00:00:00"/>
    <d v="2022-01-03T00:00:00"/>
    <n v="1"/>
    <x v="1"/>
    <m/>
    <m/>
    <m/>
    <m/>
    <m/>
    <m/>
    <m/>
    <n v="-19.899999999999999"/>
    <n v="16237.420000000002"/>
    <m/>
    <m/>
    <x v="1"/>
    <x v="2"/>
    <x v="4"/>
    <x v="11"/>
    <x v="0"/>
    <x v="7"/>
    <x v="33"/>
    <x v="1"/>
    <s v="Olkypay"/>
    <x v="0"/>
    <m/>
  </r>
  <r>
    <d v="2022-01-10T00:00:00"/>
    <d v="2022-01-10T00:00:00"/>
    <n v="1"/>
    <x v="1"/>
    <m/>
    <m/>
    <m/>
    <m/>
    <m/>
    <m/>
    <m/>
    <n v="-1482.04"/>
    <n v="14755.380000000001"/>
    <s v="C"/>
    <n v="-1482"/>
    <x v="0"/>
    <x v="1"/>
    <x v="3"/>
    <x v="10"/>
    <x v="0"/>
    <x v="6"/>
    <x v="29"/>
    <x v="0"/>
    <s v="Matteo Vignolle"/>
    <x v="0"/>
    <m/>
  </r>
  <r>
    <d v="2022-01-10T00:00:00"/>
    <d v="2022-01-10T00:00:00"/>
    <n v="1"/>
    <x v="1"/>
    <m/>
    <m/>
    <m/>
    <m/>
    <m/>
    <m/>
    <m/>
    <n v="600"/>
    <n v="15355.380000000001"/>
    <s v="B"/>
    <n v="600"/>
    <x v="0"/>
    <x v="1"/>
    <x v="3"/>
    <x v="10"/>
    <x v="0"/>
    <x v="6"/>
    <x v="29"/>
    <x v="0"/>
    <s v="Matteo Vignolle"/>
    <x v="0"/>
    <m/>
  </r>
  <r>
    <d v="2022-01-10T00:00:00"/>
    <d v="2022-01-10T00:00:00"/>
    <n v="1"/>
    <x v="1"/>
    <m/>
    <m/>
    <m/>
    <m/>
    <m/>
    <m/>
    <m/>
    <n v="882.04"/>
    <n v="16237.420000000002"/>
    <s v="C"/>
    <n v="882"/>
    <x v="0"/>
    <x v="1"/>
    <x v="3"/>
    <x v="10"/>
    <x v="0"/>
    <x v="6"/>
    <x v="34"/>
    <x v="0"/>
    <s v="Baguenier Henri"/>
    <x v="0"/>
    <m/>
  </r>
  <r>
    <d v="2022-01-10T00:00:00"/>
    <d v="2022-01-10T00:00:00"/>
    <n v="1"/>
    <x v="1"/>
    <m/>
    <m/>
    <m/>
    <m/>
    <m/>
    <m/>
    <m/>
    <n v="-1482.04"/>
    <n v="14755.380000000001"/>
    <s v="B"/>
    <n v="-1482"/>
    <x v="0"/>
    <x v="1"/>
    <x v="3"/>
    <x v="10"/>
    <x v="0"/>
    <x v="6"/>
    <x v="30"/>
    <x v="0"/>
    <s v="Gabriel Vignolle"/>
    <x v="0"/>
    <m/>
  </r>
  <r>
    <d v="2022-01-10T00:00:00"/>
    <d v="2022-01-10T00:00:00"/>
    <n v="1"/>
    <x v="1"/>
    <m/>
    <m/>
    <m/>
    <m/>
    <m/>
    <m/>
    <m/>
    <n v="600"/>
    <n v="15355.380000000001"/>
    <s v="B"/>
    <n v="600"/>
    <x v="0"/>
    <x v="1"/>
    <x v="3"/>
    <x v="10"/>
    <x v="0"/>
    <x v="6"/>
    <x v="30"/>
    <x v="0"/>
    <s v="Gabriel Vignolle"/>
    <x v="0"/>
    <m/>
  </r>
  <r>
    <d v="2022-01-10T00:00:00"/>
    <d v="2022-01-10T00:00:00"/>
    <n v="1"/>
    <x v="1"/>
    <m/>
    <m/>
    <m/>
    <m/>
    <m/>
    <m/>
    <m/>
    <n v="882.04"/>
    <n v="16237.420000000002"/>
    <s v="C"/>
    <n v="882"/>
    <x v="0"/>
    <x v="1"/>
    <x v="3"/>
    <x v="10"/>
    <x v="0"/>
    <x v="6"/>
    <x v="34"/>
    <x v="0"/>
    <s v="Baguenier Henri"/>
    <x v="0"/>
    <m/>
  </r>
  <r>
    <d v="2022-01-10T00:00:00"/>
    <d v="2022-01-10T00:00:00"/>
    <n v="1"/>
    <x v="1"/>
    <m/>
    <m/>
    <m/>
    <m/>
    <m/>
    <m/>
    <m/>
    <n v="-554"/>
    <n v="15683.420000000002"/>
    <s v="C"/>
    <n v="-554"/>
    <x v="0"/>
    <x v="1"/>
    <x v="3"/>
    <x v="10"/>
    <x v="0"/>
    <x v="6"/>
    <x v="28"/>
    <x v="0"/>
    <s v="Giorgio Vignolle"/>
    <x v="0"/>
    <m/>
  </r>
  <r>
    <d v="2022-01-10T00:00:00"/>
    <d v="2022-01-10T00:00:00"/>
    <n v="1"/>
    <x v="1"/>
    <m/>
    <m/>
    <m/>
    <m/>
    <m/>
    <m/>
    <m/>
    <n v="271.95999999999998"/>
    <n v="15955.380000000001"/>
    <s v="C"/>
    <n v="272"/>
    <x v="0"/>
    <x v="1"/>
    <x v="3"/>
    <x v="10"/>
    <x v="0"/>
    <x v="6"/>
    <x v="34"/>
    <x v="0"/>
    <s v="Baguenier Henri"/>
    <x v="0"/>
    <m/>
  </r>
  <r>
    <d v="2022-01-10T00:00:00"/>
    <d v="2022-01-10T00:00:00"/>
    <n v="1"/>
    <x v="1"/>
    <m/>
    <m/>
    <m/>
    <m/>
    <m/>
    <m/>
    <m/>
    <n v="282.04000000000002"/>
    <n v="16237.420000000002"/>
    <s v="B"/>
    <n v="282"/>
    <x v="0"/>
    <x v="1"/>
    <x v="3"/>
    <x v="10"/>
    <x v="0"/>
    <x v="6"/>
    <x v="28"/>
    <x v="0"/>
    <s v="Giorgio Vignolle"/>
    <x v="0"/>
    <m/>
  </r>
  <r>
    <d v="2022-01-11T00:00:00"/>
    <d v="2022-01-11T00:00:00"/>
    <n v="1"/>
    <x v="1"/>
    <m/>
    <m/>
    <m/>
    <m/>
    <m/>
    <m/>
    <m/>
    <n v="-2036.04"/>
    <n v="14201.380000000001"/>
    <s v="C"/>
    <n v="-2036"/>
    <x v="0"/>
    <x v="1"/>
    <x v="3"/>
    <x v="10"/>
    <x v="0"/>
    <x v="6"/>
    <x v="34"/>
    <x v="0"/>
    <s v="Baguenier Henri"/>
    <x v="0"/>
    <m/>
  </r>
  <r>
    <d v="2022-01-11T00:00:00"/>
    <d v="2022-01-11T00:00:00"/>
    <n v="1"/>
    <x v="1"/>
    <m/>
    <m/>
    <m/>
    <m/>
    <m/>
    <m/>
    <m/>
    <n v="2036.04"/>
    <n v="16237.420000000002"/>
    <s v="C"/>
    <n v="2036"/>
    <x v="0"/>
    <x v="1"/>
    <x v="3"/>
    <x v="10"/>
    <x v="0"/>
    <x v="6"/>
    <x v="35"/>
    <x v="0"/>
    <s v="Cofre Luxembourg Wind SA"/>
    <x v="0"/>
    <m/>
  </r>
  <r>
    <d v="2022-01-13T00:00:00"/>
    <d v="2022-01-13T00:00:00"/>
    <n v="1"/>
    <x v="1"/>
    <m/>
    <m/>
    <m/>
    <m/>
    <m/>
    <m/>
    <m/>
    <n v="1496.16"/>
    <n v="17733.580000000002"/>
    <s v="H"/>
    <m/>
    <x v="0"/>
    <x v="1"/>
    <x v="2"/>
    <x v="2"/>
    <x v="0"/>
    <x v="2"/>
    <x v="14"/>
    <x v="1"/>
    <s v="New Life Sàrl"/>
    <x v="0"/>
    <m/>
  </r>
  <r>
    <d v="2022-01-13T00:00:00"/>
    <d v="2022-01-13T00:00:00"/>
    <n v="1"/>
    <x v="1"/>
    <m/>
    <m/>
    <m/>
    <m/>
    <m/>
    <m/>
    <m/>
    <n v="987.96"/>
    <n v="18721.54"/>
    <s v="I"/>
    <m/>
    <x v="0"/>
    <x v="1"/>
    <x v="2"/>
    <x v="2"/>
    <x v="0"/>
    <x v="2"/>
    <x v="15"/>
    <x v="1"/>
    <s v="Michel Barbancey"/>
    <x v="0"/>
    <m/>
  </r>
  <r>
    <d v="2022-01-13T00:00:00"/>
    <d v="2022-01-13T00:00:00"/>
    <n v="1"/>
    <x v="1"/>
    <m/>
    <m/>
    <m/>
    <m/>
    <m/>
    <m/>
    <m/>
    <n v="967.9"/>
    <n v="19689.440000000002"/>
    <s v="F"/>
    <m/>
    <x v="0"/>
    <x v="1"/>
    <x v="2"/>
    <x v="2"/>
    <x v="0"/>
    <x v="2"/>
    <x v="12"/>
    <x v="1"/>
    <s v="Silvia Tubia"/>
    <x v="0"/>
    <m/>
  </r>
  <r>
    <d v="2022-01-13T00:00:00"/>
    <d v="2022-01-13T00:00:00"/>
    <n v="1"/>
    <x v="1"/>
    <m/>
    <m/>
    <m/>
    <m/>
    <m/>
    <m/>
    <m/>
    <n v="90.27"/>
    <n v="19779.710000000003"/>
    <s v="F"/>
    <m/>
    <x v="0"/>
    <x v="1"/>
    <x v="2"/>
    <x v="2"/>
    <x v="0"/>
    <x v="2"/>
    <x v="11"/>
    <x v="1"/>
    <s v="Edoardo Tubia"/>
    <x v="0"/>
    <m/>
  </r>
  <r>
    <d v="2022-01-14T00:00:00"/>
    <d v="2022-01-14T00:00:00"/>
    <n v="1"/>
    <x v="1"/>
    <m/>
    <m/>
    <m/>
    <m/>
    <m/>
    <m/>
    <m/>
    <n v="967.9"/>
    <n v="20747.610000000004"/>
    <s v="E"/>
    <m/>
    <x v="0"/>
    <x v="1"/>
    <x v="2"/>
    <x v="2"/>
    <x v="0"/>
    <x v="2"/>
    <x v="10"/>
    <x v="1"/>
    <s v="Enrico Tubia"/>
    <x v="0"/>
    <m/>
  </r>
  <r>
    <d v="2022-01-17T00:00:00"/>
    <d v="2022-01-17T00:00:00"/>
    <n v="1"/>
    <x v="1"/>
    <m/>
    <m/>
    <m/>
    <m/>
    <m/>
    <m/>
    <m/>
    <n v="439.65"/>
    <n v="21187.260000000006"/>
    <s v="A"/>
    <m/>
    <x v="0"/>
    <x v="1"/>
    <x v="2"/>
    <x v="2"/>
    <x v="0"/>
    <x v="2"/>
    <x v="3"/>
    <x v="1"/>
    <s v="Christine Oliveira"/>
    <x v="0"/>
    <m/>
  </r>
  <r>
    <d v="2022-01-17T00:00:00"/>
    <d v="2022-01-17T00:00:00"/>
    <n v="1"/>
    <x v="1"/>
    <m/>
    <m/>
    <m/>
    <m/>
    <m/>
    <m/>
    <m/>
    <n v="439.65"/>
    <n v="21626.910000000007"/>
    <s v="A"/>
    <m/>
    <x v="0"/>
    <x v="1"/>
    <x v="2"/>
    <x v="2"/>
    <x v="0"/>
    <x v="2"/>
    <x v="4"/>
    <x v="1"/>
    <s v="Jens Liesen"/>
    <x v="0"/>
    <m/>
  </r>
  <r>
    <d v="2022-01-28T00:00:00"/>
    <d v="2022-01-28T00:00:00"/>
    <n v="1"/>
    <x v="1"/>
    <m/>
    <m/>
    <m/>
    <m/>
    <m/>
    <m/>
    <m/>
    <n v="-6397"/>
    <n v="15229.910000000007"/>
    <m/>
    <m/>
    <x v="0"/>
    <x v="1"/>
    <x v="2"/>
    <x v="6"/>
    <x v="0"/>
    <x v="2"/>
    <x v="17"/>
    <x v="1"/>
    <s v="Edoardo Tubia"/>
    <x v="0"/>
    <m/>
  </r>
  <r>
    <d v="2022-01-28T00:00:00"/>
    <d v="2022-01-28T00:00:00"/>
    <n v="1"/>
    <x v="1"/>
    <m/>
    <m/>
    <m/>
    <m/>
    <m/>
    <m/>
    <m/>
    <n v="-2000"/>
    <n v="13229.910000000007"/>
    <m/>
    <m/>
    <x v="0"/>
    <x v="1"/>
    <x v="2"/>
    <x v="6"/>
    <x v="0"/>
    <x v="2"/>
    <x v="17"/>
    <x v="1"/>
    <s v="Edoardo Tubia"/>
    <x v="0"/>
    <m/>
  </r>
  <r>
    <d v="2022-01-28T00:00:00"/>
    <d v="2022-01-28T00:00:00"/>
    <n v="1"/>
    <x v="1"/>
    <m/>
    <m/>
    <m/>
    <s v="LUX"/>
    <n v="-2500"/>
    <n v="0"/>
    <n v="0"/>
    <n v="-2500"/>
    <n v="10729.910000000007"/>
    <m/>
    <m/>
    <x v="1"/>
    <x v="2"/>
    <x v="4"/>
    <x v="3"/>
    <x v="0"/>
    <x v="8"/>
    <x v="36"/>
    <x v="1"/>
    <s v="Sombra e Agua Fresca Resort Sàrl"/>
    <x v="0"/>
    <s v="X"/>
  </r>
  <r>
    <d v="2022-01-31T00:00:00"/>
    <d v="2022-01-31T00:00:00"/>
    <n v="1"/>
    <x v="1"/>
    <m/>
    <m/>
    <m/>
    <m/>
    <m/>
    <m/>
    <m/>
    <n v="1196.92"/>
    <n v="11926.830000000007"/>
    <s v="G"/>
    <m/>
    <x v="0"/>
    <x v="1"/>
    <x v="2"/>
    <x v="2"/>
    <x v="0"/>
    <x v="2"/>
    <x v="13"/>
    <x v="1"/>
    <s v="Susik Hemawiti"/>
    <x v="0"/>
    <m/>
  </r>
  <r>
    <d v="2022-02-01T00:00:00"/>
    <d v="2022-02-01T00:00:00"/>
    <n v="2"/>
    <x v="1"/>
    <m/>
    <m/>
    <m/>
    <m/>
    <m/>
    <m/>
    <m/>
    <n v="-20.5"/>
    <n v="11906.330000000007"/>
    <m/>
    <m/>
    <x v="1"/>
    <x v="2"/>
    <x v="4"/>
    <x v="11"/>
    <x v="0"/>
    <x v="7"/>
    <x v="33"/>
    <x v="1"/>
    <s v="Olkypay"/>
    <x v="0"/>
    <m/>
  </r>
  <r>
    <d v="2022-02-01T00:00:00"/>
    <d v="2022-02-01T00:00:00"/>
    <n v="2"/>
    <x v="1"/>
    <m/>
    <m/>
    <m/>
    <m/>
    <m/>
    <m/>
    <m/>
    <n v="1048.25"/>
    <n v="12954.580000000007"/>
    <s v="B"/>
    <m/>
    <x v="0"/>
    <x v="1"/>
    <x v="2"/>
    <x v="2"/>
    <x v="0"/>
    <x v="2"/>
    <x v="5"/>
    <x v="1"/>
    <s v="Giorgio Vignolle"/>
    <x v="0"/>
    <m/>
  </r>
  <r>
    <d v="2022-02-07T00:00:00"/>
    <d v="2022-02-07T00:00:00"/>
    <n v="2"/>
    <x v="1"/>
    <m/>
    <m/>
    <m/>
    <m/>
    <m/>
    <m/>
    <m/>
    <n v="1357.29"/>
    <n v="14311.870000000006"/>
    <s v="C"/>
    <m/>
    <x v="0"/>
    <x v="1"/>
    <x v="2"/>
    <x v="2"/>
    <x v="0"/>
    <x v="2"/>
    <x v="37"/>
    <x v="1"/>
    <s v="Cofre Luxembourg Wind SA"/>
    <x v="0"/>
    <m/>
  </r>
  <r>
    <d v="2022-03-01T00:00:00"/>
    <d v="2022-03-01T00:00:00"/>
    <n v="3"/>
    <x v="1"/>
    <m/>
    <m/>
    <m/>
    <m/>
    <m/>
    <m/>
    <m/>
    <n v="-19.899999999999999"/>
    <n v="14291.970000000007"/>
    <m/>
    <m/>
    <x v="1"/>
    <x v="2"/>
    <x v="4"/>
    <x v="11"/>
    <x v="0"/>
    <x v="7"/>
    <x v="33"/>
    <x v="1"/>
    <s v="Olkypay"/>
    <x v="0"/>
    <m/>
  </r>
  <r>
    <d v="2022-03-01T00:00:00"/>
    <d v="2022-03-01T00:00:00"/>
    <n v="3"/>
    <x v="1"/>
    <m/>
    <m/>
    <m/>
    <s v="LUX"/>
    <n v="-58.4"/>
    <n v="0.17"/>
    <n v="-9.9280000000000008"/>
    <n v="-68.328000000000003"/>
    <n v="14223.642000000007"/>
    <m/>
    <m/>
    <x v="1"/>
    <x v="2"/>
    <x v="4"/>
    <x v="12"/>
    <x v="0"/>
    <x v="9"/>
    <x v="36"/>
    <x v="1"/>
    <s v="Sombra e Agua Fresca Resort Sàrl"/>
    <x v="0"/>
    <s v="X"/>
  </r>
  <r>
    <d v="2022-03-01T00:00:00"/>
    <d v="2022-03-01T00:00:00"/>
    <n v="3"/>
    <x v="1"/>
    <m/>
    <m/>
    <m/>
    <s v="LUX"/>
    <n v="-56"/>
    <n v="0"/>
    <n v="0"/>
    <n v="-56"/>
    <n v="14167.642000000007"/>
    <m/>
    <m/>
    <x v="1"/>
    <x v="2"/>
    <x v="4"/>
    <x v="12"/>
    <x v="0"/>
    <x v="9"/>
    <x v="36"/>
    <x v="1"/>
    <s v="Sombra e Agua Fresca Resort Sàrl"/>
    <x v="0"/>
    <s v="X"/>
  </r>
  <r>
    <d v="2022-03-07T00:00:00"/>
    <d v="2022-03-07T00:00:00"/>
    <n v="3"/>
    <x v="1"/>
    <m/>
    <m/>
    <m/>
    <m/>
    <m/>
    <m/>
    <m/>
    <n v="-2938.37"/>
    <n v="11229.272000000008"/>
    <m/>
    <m/>
    <x v="0"/>
    <x v="1"/>
    <x v="2"/>
    <x v="6"/>
    <x v="0"/>
    <x v="2"/>
    <x v="17"/>
    <x v="1"/>
    <s v="Edoardo Tubia"/>
    <x v="0"/>
    <m/>
  </r>
  <r>
    <d v="2022-03-07T00:00:00"/>
    <d v="2022-03-07T00:00:00"/>
    <n v="3"/>
    <x v="1"/>
    <m/>
    <m/>
    <m/>
    <m/>
    <m/>
    <m/>
    <m/>
    <n v="-319.86"/>
    <n v="10909.412000000008"/>
    <m/>
    <m/>
    <x v="0"/>
    <x v="1"/>
    <x v="2"/>
    <x v="6"/>
    <x v="0"/>
    <x v="2"/>
    <x v="17"/>
    <x v="1"/>
    <s v="Edoardo Tubia"/>
    <x v="0"/>
    <m/>
  </r>
  <r>
    <d v="2022-03-11T00:00:00"/>
    <d v="2022-03-11T00:00:00"/>
    <n v="3"/>
    <x v="1"/>
    <m/>
    <m/>
    <m/>
    <m/>
    <m/>
    <m/>
    <m/>
    <n v="-3506.66"/>
    <n v="7402.7520000000077"/>
    <m/>
    <m/>
    <x v="0"/>
    <x v="1"/>
    <x v="2"/>
    <x v="6"/>
    <x v="0"/>
    <x v="2"/>
    <x v="17"/>
    <x v="1"/>
    <s v="Edoardo Tubia"/>
    <x v="0"/>
    <m/>
  </r>
  <r>
    <d v="2022-03-11T00:00:00"/>
    <d v="2022-03-11T00:00:00"/>
    <n v="3"/>
    <x v="1"/>
    <m/>
    <m/>
    <m/>
    <m/>
    <m/>
    <m/>
    <m/>
    <n v="499.83"/>
    <n v="7902.5820000000076"/>
    <s v="D"/>
    <m/>
    <x v="0"/>
    <x v="1"/>
    <x v="2"/>
    <x v="2"/>
    <x v="0"/>
    <x v="2"/>
    <x v="8"/>
    <x v="1"/>
    <s v="Giancarlo Raggi"/>
    <x v="0"/>
    <m/>
  </r>
  <r>
    <d v="2022-03-21T00:00:00"/>
    <d v="2022-03-21T00:00:00"/>
    <n v="3"/>
    <x v="1"/>
    <m/>
    <m/>
    <m/>
    <s v="LUX"/>
    <n v="2500"/>
    <n v="0"/>
    <n v="0"/>
    <n v="2500"/>
    <n v="10402.582000000008"/>
    <m/>
    <m/>
    <x v="1"/>
    <x v="2"/>
    <x v="4"/>
    <x v="3"/>
    <x v="0"/>
    <x v="8"/>
    <x v="36"/>
    <x v="1"/>
    <s v="Sombra e Agua Fresca Resort Sàrl"/>
    <x v="0"/>
    <s v="X"/>
  </r>
  <r>
    <d v="2022-03-21T00:00:00"/>
    <d v="2022-03-21T00:00:00"/>
    <n v="3"/>
    <x v="1"/>
    <m/>
    <m/>
    <m/>
    <s v="LUX"/>
    <n v="-2314.0100000000002"/>
    <n v="0.17"/>
    <n v="-393.38170000000008"/>
    <n v="-2707.3917000000001"/>
    <n v="7695.1903000000075"/>
    <m/>
    <m/>
    <x v="1"/>
    <x v="2"/>
    <x v="4"/>
    <x v="3"/>
    <x v="0"/>
    <x v="9"/>
    <x v="36"/>
    <x v="1"/>
    <s v="Sombra e Agua Fresca Resort Sàrl"/>
    <x v="0"/>
    <s v="X"/>
  </r>
  <r>
    <d v="2022-03-21T00:00:00"/>
    <d v="2022-03-21T00:00:00"/>
    <n v="3"/>
    <x v="1"/>
    <m/>
    <m/>
    <m/>
    <s v="LUX"/>
    <n v="-447"/>
    <n v="0"/>
    <n v="0"/>
    <n v="-447"/>
    <n v="7248.1903000000075"/>
    <m/>
    <m/>
    <x v="1"/>
    <x v="2"/>
    <x v="4"/>
    <x v="3"/>
    <x v="0"/>
    <x v="9"/>
    <x v="36"/>
    <x v="1"/>
    <s v="Sombra e Agua Fresca Resort Sàrl"/>
    <x v="0"/>
    <s v="X"/>
  </r>
  <r>
    <d v="2022-03-21T00:00:00"/>
    <d v="2022-03-21T00:00:00"/>
    <n v="3"/>
    <x v="1"/>
    <m/>
    <m/>
    <m/>
    <m/>
    <m/>
    <m/>
    <m/>
    <n v="-178.33"/>
    <n v="7069.8603000000076"/>
    <m/>
    <m/>
    <x v="1"/>
    <x v="2"/>
    <x v="5"/>
    <x v="13"/>
    <x v="1"/>
    <x v="10"/>
    <x v="38"/>
    <x v="1"/>
    <s v="Olkypay"/>
    <x v="1"/>
    <m/>
  </r>
  <r>
    <d v="2022-03-24T00:00:00"/>
    <d v="2022-03-24T00:00:00"/>
    <n v="3"/>
    <x v="1"/>
    <m/>
    <m/>
    <m/>
    <m/>
    <m/>
    <m/>
    <m/>
    <n v="508.2"/>
    <n v="7578.0603000000074"/>
    <s v="D"/>
    <m/>
    <x v="0"/>
    <x v="1"/>
    <x v="2"/>
    <x v="2"/>
    <x v="0"/>
    <x v="2"/>
    <x v="9"/>
    <x v="1"/>
    <s v="Ingrid Lambert"/>
    <x v="0"/>
    <m/>
  </r>
  <r>
    <d v="2022-03-25T00:00:00"/>
    <d v="2022-03-25T00:00:00"/>
    <n v="3"/>
    <x v="1"/>
    <m/>
    <m/>
    <m/>
    <m/>
    <m/>
    <m/>
    <m/>
    <n v="-3997.87"/>
    <n v="3580.1903000000075"/>
    <m/>
    <m/>
    <x v="0"/>
    <x v="1"/>
    <x v="2"/>
    <x v="6"/>
    <x v="0"/>
    <x v="2"/>
    <x v="17"/>
    <x v="1"/>
    <s v="Edoardo Tubia"/>
    <x v="0"/>
    <m/>
  </r>
  <r>
    <d v="2022-03-31T00:00:00"/>
    <d v="2022-03-31T00:00:00"/>
    <n v="3"/>
    <x v="1"/>
    <m/>
    <m/>
    <m/>
    <m/>
    <m/>
    <m/>
    <m/>
    <n v="-69.150000000000006"/>
    <n v="3511.0403000000074"/>
    <m/>
    <m/>
    <x v="1"/>
    <x v="2"/>
    <x v="4"/>
    <x v="11"/>
    <x v="0"/>
    <x v="7"/>
    <x v="33"/>
    <x v="1"/>
    <s v="Olkypay"/>
    <x v="0"/>
    <m/>
  </r>
  <r>
    <d v="2022-03-31T00:00:00"/>
    <d v="2022-03-31T00:00:00"/>
    <n v="3"/>
    <x v="1"/>
    <m/>
    <m/>
    <m/>
    <m/>
    <m/>
    <m/>
    <m/>
    <n v="-1.4"/>
    <n v="3509.6403000000073"/>
    <m/>
    <m/>
    <x v="1"/>
    <x v="2"/>
    <x v="4"/>
    <x v="11"/>
    <x v="0"/>
    <x v="7"/>
    <x v="33"/>
    <x v="1"/>
    <s v="Olkypay"/>
    <x v="0"/>
    <m/>
  </r>
  <r>
    <d v="2022-04-01T00:00:00"/>
    <d v="2022-04-01T00:00:00"/>
    <n v="4"/>
    <x v="1"/>
    <m/>
    <m/>
    <m/>
    <m/>
    <m/>
    <m/>
    <m/>
    <n v="-19.899999999999999"/>
    <n v="3489.7403000000072"/>
    <m/>
    <m/>
    <x v="1"/>
    <x v="2"/>
    <x v="4"/>
    <x v="11"/>
    <x v="0"/>
    <x v="7"/>
    <x v="33"/>
    <x v="1"/>
    <s v="Olkypay"/>
    <x v="0"/>
    <m/>
  </r>
  <r>
    <d v="2022-04-19T00:00:00"/>
    <d v="2022-04-19T00:00:00"/>
    <n v="4"/>
    <x v="1"/>
    <m/>
    <m/>
    <m/>
    <s v="LUX"/>
    <n v="-75"/>
    <n v="0.17"/>
    <n v="-12.750000000000002"/>
    <n v="-87.75"/>
    <n v="3401.9903000000072"/>
    <m/>
    <m/>
    <x v="1"/>
    <x v="2"/>
    <x v="4"/>
    <x v="14"/>
    <x v="0"/>
    <x v="11"/>
    <x v="39"/>
    <x v="1"/>
    <s v="Sombra e Agua Fresca Resort Sàrl"/>
    <x v="0"/>
    <s v="X"/>
  </r>
  <r>
    <d v="2022-04-21T00:00:00"/>
    <d v="2022-04-21T00:00:00"/>
    <n v="4"/>
    <x v="1"/>
    <m/>
    <m/>
    <m/>
    <m/>
    <m/>
    <m/>
    <m/>
    <n v="-2465.1"/>
    <n v="936.8903000000073"/>
    <m/>
    <m/>
    <x v="1"/>
    <x v="2"/>
    <x v="5"/>
    <x v="13"/>
    <x v="1"/>
    <x v="12"/>
    <x v="38"/>
    <x v="1"/>
    <s v="Olkypay"/>
    <x v="1"/>
    <m/>
  </r>
  <r>
    <d v="2022-04-21T00:00:00"/>
    <d v="2022-04-21T00:00:00"/>
    <n v="4"/>
    <x v="1"/>
    <m/>
    <m/>
    <m/>
    <m/>
    <m/>
    <m/>
    <m/>
    <n v="2465.1"/>
    <n v="3401.9903000000072"/>
    <m/>
    <m/>
    <x v="1"/>
    <x v="2"/>
    <x v="5"/>
    <x v="13"/>
    <x v="1"/>
    <x v="12"/>
    <x v="38"/>
    <x v="1"/>
    <s v="Olkypay"/>
    <x v="1"/>
    <m/>
  </r>
  <r>
    <d v="2022-05-02T00:00:00"/>
    <d v="2022-05-02T00:00:00"/>
    <n v="5"/>
    <x v="1"/>
    <m/>
    <m/>
    <m/>
    <m/>
    <m/>
    <m/>
    <m/>
    <n v="-20.3"/>
    <n v="3381.690300000007"/>
    <m/>
    <m/>
    <x v="1"/>
    <x v="2"/>
    <x v="4"/>
    <x v="11"/>
    <x v="0"/>
    <x v="7"/>
    <x v="33"/>
    <x v="1"/>
    <s v="Olkypay"/>
    <x v="0"/>
    <m/>
  </r>
  <r>
    <d v="2022-05-18T00:00:00"/>
    <d v="2022-05-18T00:00:00"/>
    <n v="5"/>
    <x v="1"/>
    <m/>
    <m/>
    <m/>
    <s v="LUX"/>
    <n v="-21.37"/>
    <n v="0.17"/>
    <n v="-3.6329000000000002"/>
    <n v="-25.0029"/>
    <n v="3356.6874000000071"/>
    <m/>
    <m/>
    <x v="1"/>
    <x v="2"/>
    <x v="4"/>
    <x v="15"/>
    <x v="0"/>
    <x v="9"/>
    <x v="36"/>
    <x v="1"/>
    <s v="Sombra e Agua Fresca Resort Sàrl"/>
    <x v="0"/>
    <s v="X"/>
  </r>
  <r>
    <d v="2022-05-20T00:00:00"/>
    <d v="2022-05-20T00:00:00"/>
    <n v="5"/>
    <x v="1"/>
    <m/>
    <m/>
    <m/>
    <m/>
    <m/>
    <m/>
    <m/>
    <n v="-20"/>
    <n v="3336.6874000000071"/>
    <m/>
    <m/>
    <x v="1"/>
    <x v="2"/>
    <x v="4"/>
    <x v="15"/>
    <x v="0"/>
    <x v="13"/>
    <x v="40"/>
    <x v="1"/>
    <s v="Sombra e Agua Fresca Resort Sàrl"/>
    <x v="0"/>
    <m/>
  </r>
  <r>
    <d v="2022-05-27T00:00:00"/>
    <d v="2022-05-27T00:00:00"/>
    <n v="5"/>
    <x v="1"/>
    <m/>
    <m/>
    <m/>
    <s v="LUX"/>
    <n v="-72"/>
    <n v="0"/>
    <n v="0"/>
    <n v="-72"/>
    <n v="3264.6874000000071"/>
    <m/>
    <m/>
    <x v="1"/>
    <x v="2"/>
    <x v="4"/>
    <x v="15"/>
    <x v="0"/>
    <x v="9"/>
    <x v="36"/>
    <x v="1"/>
    <s v="Sombra e Agua Fresca Resort Sàrl"/>
    <x v="0"/>
    <s v="X"/>
  </r>
  <r>
    <d v="2022-05-27T00:00:00"/>
    <d v="2022-05-27T00:00:00"/>
    <n v="5"/>
    <x v="1"/>
    <m/>
    <m/>
    <m/>
    <s v="LUX"/>
    <n v="-70"/>
    <n v="0.17"/>
    <n v="-11.9"/>
    <n v="-81.900000000000006"/>
    <n v="3182.787400000007"/>
    <m/>
    <m/>
    <x v="1"/>
    <x v="2"/>
    <x v="4"/>
    <x v="15"/>
    <x v="0"/>
    <x v="9"/>
    <x v="36"/>
    <x v="1"/>
    <s v="Sombra e Agua Fresca Resort Sàrl"/>
    <x v="0"/>
    <s v="X"/>
  </r>
  <r>
    <d v="2022-06-01T00:00:00"/>
    <d v="2022-06-01T00:00:00"/>
    <n v="6"/>
    <x v="1"/>
    <m/>
    <m/>
    <m/>
    <m/>
    <m/>
    <m/>
    <m/>
    <n v="-20.5"/>
    <n v="3162.287400000007"/>
    <m/>
    <m/>
    <x v="1"/>
    <x v="2"/>
    <x v="4"/>
    <x v="11"/>
    <x v="0"/>
    <x v="7"/>
    <x v="33"/>
    <x v="1"/>
    <s v="Olkypay"/>
    <x v="0"/>
    <m/>
  </r>
  <r>
    <d v="2022-06-14T00:00:00"/>
    <d v="2022-06-14T00:00:00"/>
    <n v="6"/>
    <x v="1"/>
    <m/>
    <m/>
    <m/>
    <m/>
    <m/>
    <m/>
    <m/>
    <n v="0"/>
    <n v="3162.287400000007"/>
    <m/>
    <m/>
    <x v="0"/>
    <x v="1"/>
    <x v="2"/>
    <x v="6"/>
    <x v="0"/>
    <x v="2"/>
    <x v="17"/>
    <x v="0"/>
    <s v="Edoardo Tubia"/>
    <x v="0"/>
    <m/>
  </r>
  <r>
    <d v="2022-06-14T00:00:00"/>
    <d v="2022-06-14T00:00:00"/>
    <n v="6"/>
    <x v="1"/>
    <m/>
    <n v="-3081.75"/>
    <n v="1.0762"/>
    <s v="INTR"/>
    <n v="-2863.5476677197544"/>
    <n v="0"/>
    <n v="0"/>
    <n v="0"/>
    <n v="3162.287400000007"/>
    <m/>
    <m/>
    <x v="1"/>
    <x v="2"/>
    <x v="4"/>
    <x v="3"/>
    <x v="0"/>
    <x v="14"/>
    <x v="41"/>
    <x v="1"/>
    <s v="Sombra e Agua Fresca Resort Sàrl"/>
    <x v="0"/>
    <s v="X"/>
  </r>
  <r>
    <d v="2022-06-17T00:00:00"/>
    <d v="2022-06-17T00:00:00"/>
    <n v="6"/>
    <x v="1"/>
    <m/>
    <m/>
    <m/>
    <s v="LUX"/>
    <n v="-75"/>
    <n v="0"/>
    <n v="0"/>
    <n v="-75"/>
    <n v="3087.287400000007"/>
    <m/>
    <m/>
    <x v="1"/>
    <x v="2"/>
    <x v="4"/>
    <x v="16"/>
    <x v="0"/>
    <x v="15"/>
    <x v="42"/>
    <x v="1"/>
    <s v="Sombra e Agua Fresca Resort Sàrl"/>
    <x v="0"/>
    <s v="X"/>
  </r>
  <r>
    <d v="2022-06-30T00:00:00"/>
    <d v="2022-06-30T00:00:00"/>
    <n v="6"/>
    <x v="1"/>
    <m/>
    <m/>
    <m/>
    <m/>
    <m/>
    <m/>
    <m/>
    <n v="-47.35"/>
    <n v="3039.9374000000071"/>
    <m/>
    <m/>
    <x v="1"/>
    <x v="2"/>
    <x v="4"/>
    <x v="11"/>
    <x v="0"/>
    <x v="7"/>
    <x v="33"/>
    <x v="1"/>
    <s v="Olkypay"/>
    <x v="0"/>
    <m/>
  </r>
  <r>
    <d v="2022-06-30T00:00:00"/>
    <d v="2022-06-30T00:00:00"/>
    <n v="6"/>
    <x v="1"/>
    <m/>
    <m/>
    <m/>
    <m/>
    <m/>
    <m/>
    <m/>
    <n v="-0.2"/>
    <n v="3039.7374000000073"/>
    <m/>
    <m/>
    <x v="1"/>
    <x v="2"/>
    <x v="4"/>
    <x v="11"/>
    <x v="0"/>
    <x v="7"/>
    <x v="33"/>
    <x v="1"/>
    <s v="Olkypay"/>
    <x v="0"/>
    <m/>
  </r>
  <r>
    <d v="2022-07-01T00:00:00"/>
    <d v="2022-07-01T00:00:00"/>
    <n v="7"/>
    <x v="1"/>
    <m/>
    <m/>
    <m/>
    <m/>
    <m/>
    <m/>
    <m/>
    <n v="-19.899999999999999"/>
    <n v="3019.8374000000072"/>
    <m/>
    <m/>
    <x v="1"/>
    <x v="2"/>
    <x v="4"/>
    <x v="11"/>
    <x v="0"/>
    <x v="7"/>
    <x v="33"/>
    <x v="1"/>
    <s v="Olkypay"/>
    <x v="0"/>
    <m/>
  </r>
  <r>
    <d v="2022-07-14T00:00:00"/>
    <d v="2022-07-14T00:00:00"/>
    <n v="7"/>
    <x v="1"/>
    <m/>
    <m/>
    <m/>
    <m/>
    <m/>
    <m/>
    <m/>
    <n v="-178.33"/>
    <n v="2841.5074000000072"/>
    <m/>
    <m/>
    <x v="1"/>
    <x v="2"/>
    <x v="5"/>
    <x v="13"/>
    <x v="1"/>
    <x v="10"/>
    <x v="38"/>
    <x v="1"/>
    <s v="Olkypay"/>
    <x v="1"/>
    <m/>
  </r>
  <r>
    <d v="2022-07-14T00:00:00"/>
    <d v="2022-07-14T00:00:00"/>
    <n v="7"/>
    <x v="1"/>
    <m/>
    <m/>
    <m/>
    <m/>
    <m/>
    <m/>
    <m/>
    <n v="-350"/>
    <n v="2491.5074000000072"/>
    <m/>
    <m/>
    <x v="1"/>
    <x v="2"/>
    <x v="4"/>
    <x v="17"/>
    <x v="0"/>
    <x v="16"/>
    <x v="43"/>
    <x v="1"/>
    <s v="Olkypay"/>
    <x v="0"/>
    <m/>
  </r>
  <r>
    <d v="2022-08-01T00:00:00"/>
    <d v="2022-08-01T00:00:00"/>
    <n v="8"/>
    <x v="1"/>
    <m/>
    <m/>
    <m/>
    <m/>
    <m/>
    <m/>
    <m/>
    <n v="-20.3"/>
    <n v="2471.2074000000071"/>
    <m/>
    <m/>
    <x v="1"/>
    <x v="2"/>
    <x v="4"/>
    <x v="11"/>
    <x v="0"/>
    <x v="7"/>
    <x v="33"/>
    <x v="1"/>
    <s v="Olkypay"/>
    <x v="0"/>
    <m/>
  </r>
  <r>
    <d v="2022-09-01T00:00:00"/>
    <d v="2022-09-01T00:00:00"/>
    <n v="9"/>
    <x v="1"/>
    <m/>
    <m/>
    <m/>
    <m/>
    <m/>
    <m/>
    <m/>
    <n v="-19.899999999999999"/>
    <n v="2451.307400000007"/>
    <m/>
    <m/>
    <x v="1"/>
    <x v="2"/>
    <x v="4"/>
    <x v="11"/>
    <x v="0"/>
    <x v="7"/>
    <x v="33"/>
    <x v="1"/>
    <s v="Olkypay"/>
    <x v="0"/>
    <m/>
  </r>
  <r>
    <d v="2022-09-30T00:00:00"/>
    <d v="2022-09-30T00:00:00"/>
    <n v="9"/>
    <x v="1"/>
    <m/>
    <m/>
    <m/>
    <m/>
    <m/>
    <m/>
    <m/>
    <n v="-42.47"/>
    <n v="2408.8374000000072"/>
    <m/>
    <m/>
    <x v="1"/>
    <x v="2"/>
    <x v="4"/>
    <x v="11"/>
    <x v="0"/>
    <x v="7"/>
    <x v="33"/>
    <x v="1"/>
    <s v="Olkypay"/>
    <x v="0"/>
    <m/>
  </r>
  <r>
    <d v="2022-10-01T00:00:00"/>
    <d v="2022-10-01T00:00:00"/>
    <n v="10"/>
    <x v="1"/>
    <m/>
    <m/>
    <m/>
    <m/>
    <m/>
    <m/>
    <m/>
    <n v="-19.899999999999999"/>
    <n v="2388.9374000000071"/>
    <m/>
    <m/>
    <x v="1"/>
    <x v="2"/>
    <x v="4"/>
    <x v="11"/>
    <x v="0"/>
    <x v="7"/>
    <x v="33"/>
    <x v="1"/>
    <s v="Olkypay"/>
    <x v="0"/>
    <m/>
  </r>
  <r>
    <d v="2022-10-31T00:00:00"/>
    <d v="2022-10-31T00:00:00"/>
    <n v="10"/>
    <x v="1"/>
    <m/>
    <m/>
    <m/>
    <m/>
    <m/>
    <m/>
    <m/>
    <n v="-178.33"/>
    <n v="2210.6074000000071"/>
    <m/>
    <m/>
    <x v="1"/>
    <x v="2"/>
    <x v="5"/>
    <x v="13"/>
    <x v="1"/>
    <x v="10"/>
    <x v="38"/>
    <x v="1"/>
    <s v="Olkypay"/>
    <x v="1"/>
    <m/>
  </r>
  <r>
    <d v="2022-11-01T00:00:00"/>
    <d v="2022-11-01T00:00:00"/>
    <n v="11"/>
    <x v="1"/>
    <m/>
    <m/>
    <m/>
    <m/>
    <m/>
    <m/>
    <m/>
    <n v="-20.100000000000001"/>
    <n v="2190.5074000000072"/>
    <m/>
    <m/>
    <x v="1"/>
    <x v="2"/>
    <x v="4"/>
    <x v="11"/>
    <x v="0"/>
    <x v="7"/>
    <x v="33"/>
    <x v="1"/>
    <s v="Olkypay"/>
    <x v="0"/>
    <m/>
  </r>
  <r>
    <d v="2022-11-01T00:00:00"/>
    <d v="2022-12-01T00:00:00"/>
    <n v="12"/>
    <x v="1"/>
    <m/>
    <m/>
    <m/>
    <m/>
    <m/>
    <m/>
    <m/>
    <n v="-19.899999999999999"/>
    <n v="2170.6074000000071"/>
    <m/>
    <m/>
    <x v="1"/>
    <x v="2"/>
    <x v="4"/>
    <x v="11"/>
    <x v="0"/>
    <x v="7"/>
    <x v="33"/>
    <x v="1"/>
    <s v="Olkypay"/>
    <x v="0"/>
    <m/>
  </r>
  <r>
    <d v="2022-12-31T00:00:00"/>
    <d v="2022-12-31T00:00:00"/>
    <n v="12"/>
    <x v="1"/>
    <m/>
    <m/>
    <m/>
    <m/>
    <m/>
    <m/>
    <m/>
    <n v="-40"/>
    <n v="2130.6074000000071"/>
    <m/>
    <m/>
    <x v="1"/>
    <x v="2"/>
    <x v="4"/>
    <x v="11"/>
    <x v="0"/>
    <x v="7"/>
    <x v="33"/>
    <x v="1"/>
    <s v="Olkypay"/>
    <x v="0"/>
    <m/>
  </r>
  <r>
    <d v="2022-12-31T00:00:00"/>
    <d v="2022-12-31T00:00:00"/>
    <n v="12"/>
    <x v="1"/>
    <m/>
    <m/>
    <m/>
    <m/>
    <m/>
    <m/>
    <m/>
    <n v="-14126.71"/>
    <n v="-11996.102599999991"/>
    <m/>
    <m/>
    <x v="0"/>
    <x v="0"/>
    <x v="1"/>
    <x v="1"/>
    <x v="0"/>
    <x v="1"/>
    <x v="2"/>
    <x v="0"/>
    <m/>
    <x v="0"/>
    <m/>
  </r>
  <r>
    <d v="2022-12-31T00:00:00"/>
    <d v="2022-12-31T00:00:00"/>
    <n v="12"/>
    <x v="1"/>
    <m/>
    <m/>
    <m/>
    <m/>
    <m/>
    <m/>
    <m/>
    <n v="14126.71"/>
    <n v="2130.6074000000081"/>
    <m/>
    <m/>
    <x v="0"/>
    <x v="0"/>
    <x v="1"/>
    <x v="1"/>
    <x v="0"/>
    <x v="1"/>
    <x v="1"/>
    <x v="0"/>
    <s v="Sombra e Agua Fresca Resort Sàrl"/>
    <x v="0"/>
    <m/>
  </r>
  <r>
    <d v="2022-12-31T00:00:00"/>
    <d v="2022-12-31T00:00:00"/>
    <n v="12"/>
    <x v="1"/>
    <m/>
    <m/>
    <m/>
    <m/>
    <m/>
    <m/>
    <m/>
    <n v="-3154.39"/>
    <n v="-1023.7825999999918"/>
    <m/>
    <m/>
    <x v="0"/>
    <x v="1"/>
    <x v="2"/>
    <x v="3"/>
    <x v="0"/>
    <x v="3"/>
    <x v="16"/>
    <x v="0"/>
    <m/>
    <x v="0"/>
    <m/>
  </r>
  <r>
    <d v="2022-12-31T00:00:00"/>
    <d v="2022-12-31T00:00:00"/>
    <n v="12"/>
    <x v="1"/>
    <m/>
    <m/>
    <m/>
    <m/>
    <m/>
    <m/>
    <m/>
    <n v="3154.39"/>
    <n v="2130.6074000000081"/>
    <m/>
    <m/>
    <x v="0"/>
    <x v="1"/>
    <x v="2"/>
    <x v="4"/>
    <x v="0"/>
    <x v="3"/>
    <x v="1"/>
    <x v="0"/>
    <s v="Sombra e Agua Fresca Resort Sàrl"/>
    <x v="0"/>
    <m/>
  </r>
  <r>
    <d v="2022-12-31T00:00:00"/>
    <d v="2022-12-31T00:00:00"/>
    <n v="12"/>
    <x v="1"/>
    <m/>
    <m/>
    <m/>
    <m/>
    <m/>
    <m/>
    <m/>
    <n v="4640"/>
    <n v="6770.6074000000081"/>
    <m/>
    <m/>
    <x v="0"/>
    <x v="1"/>
    <x v="2"/>
    <x v="5"/>
    <x v="0"/>
    <x v="3"/>
    <x v="16"/>
    <x v="0"/>
    <m/>
    <x v="0"/>
    <m/>
  </r>
  <r>
    <d v="2022-12-31T00:00:00"/>
    <d v="2022-12-31T00:00:00"/>
    <n v="12"/>
    <x v="1"/>
    <m/>
    <m/>
    <m/>
    <m/>
    <m/>
    <m/>
    <m/>
    <n v="-4640"/>
    <n v="2130.6074000000081"/>
    <m/>
    <m/>
    <x v="0"/>
    <x v="1"/>
    <x v="2"/>
    <x v="4"/>
    <x v="0"/>
    <x v="3"/>
    <x v="1"/>
    <x v="0"/>
    <s v="Sombra e Agua Fresca Resort Sàrl"/>
    <x v="0"/>
    <m/>
  </r>
  <r>
    <d v="2022-12-31T00:00:00"/>
    <d v="2022-12-31T00:00:00"/>
    <n v="12"/>
    <x v="1"/>
    <m/>
    <m/>
    <m/>
    <m/>
    <m/>
    <m/>
    <m/>
    <n v="4280.01"/>
    <n v="6410.6174000000083"/>
    <m/>
    <m/>
    <x v="0"/>
    <x v="1"/>
    <x v="6"/>
    <x v="18"/>
    <x v="0"/>
    <x v="3"/>
    <x v="38"/>
    <x v="0"/>
    <m/>
    <x v="0"/>
    <m/>
  </r>
  <r>
    <d v="2022-12-31T00:00:00"/>
    <d v="2022-12-31T00:00:00"/>
    <n v="12"/>
    <x v="1"/>
    <m/>
    <m/>
    <m/>
    <m/>
    <m/>
    <m/>
    <m/>
    <n v="-4280.01"/>
    <n v="2130.6074000000081"/>
    <m/>
    <m/>
    <x v="0"/>
    <x v="1"/>
    <x v="2"/>
    <x v="4"/>
    <x v="0"/>
    <x v="3"/>
    <x v="1"/>
    <x v="0"/>
    <s v="Sombra e Agua Fresca Resort Sàrl"/>
    <x v="0"/>
    <m/>
  </r>
  <r>
    <d v="2022-12-31T00:00:00"/>
    <d v="2022-12-31T00:00:00"/>
    <n v="12"/>
    <x v="1"/>
    <m/>
    <m/>
    <m/>
    <m/>
    <m/>
    <m/>
    <m/>
    <n v="5652.07"/>
    <n v="7782.6774000000078"/>
    <m/>
    <m/>
    <x v="0"/>
    <x v="1"/>
    <x v="3"/>
    <x v="9"/>
    <x v="0"/>
    <x v="5"/>
    <x v="19"/>
    <x v="0"/>
    <m/>
    <x v="0"/>
    <m/>
  </r>
  <r>
    <d v="2022-12-31T00:00:00"/>
    <d v="2022-12-31T00:00:00"/>
    <n v="12"/>
    <x v="1"/>
    <m/>
    <m/>
    <m/>
    <m/>
    <m/>
    <m/>
    <m/>
    <n v="-5652.07"/>
    <n v="2130.6074000000081"/>
    <m/>
    <m/>
    <x v="0"/>
    <x v="1"/>
    <x v="3"/>
    <x v="9"/>
    <x v="0"/>
    <x v="5"/>
    <x v="1"/>
    <x v="0"/>
    <s v="Sombra e Agua Fresca Resort Sàrl"/>
    <x v="0"/>
    <m/>
  </r>
  <r>
    <d v="2022-12-31T00:00:00"/>
    <d v="2022-12-31T00:00:00"/>
    <n v="12"/>
    <x v="1"/>
    <m/>
    <m/>
    <m/>
    <m/>
    <m/>
    <m/>
    <m/>
    <n v="-5652.07"/>
    <n v="-3521.4625999999917"/>
    <m/>
    <m/>
    <x v="0"/>
    <x v="1"/>
    <x v="3"/>
    <x v="19"/>
    <x v="0"/>
    <x v="17"/>
    <x v="44"/>
    <x v="0"/>
    <m/>
    <x v="0"/>
    <m/>
  </r>
  <r>
    <d v="2022-12-31T00:00:00"/>
    <d v="2022-12-31T00:00:00"/>
    <n v="12"/>
    <x v="1"/>
    <m/>
    <m/>
    <m/>
    <m/>
    <m/>
    <m/>
    <m/>
    <n v="5652.07"/>
    <n v="2130.6074000000081"/>
    <m/>
    <m/>
    <x v="0"/>
    <x v="1"/>
    <x v="3"/>
    <x v="19"/>
    <x v="0"/>
    <x v="17"/>
    <x v="1"/>
    <x v="0"/>
    <s v="Sombra e Agua Fresca Resort Sàrl"/>
    <x v="0"/>
    <m/>
  </r>
  <r>
    <d v="2022-12-31T00:00:00"/>
    <d v="2022-12-31T00:00:00"/>
    <n v="12"/>
    <x v="1"/>
    <m/>
    <m/>
    <m/>
    <m/>
    <m/>
    <m/>
    <m/>
    <n v="-13596.1"/>
    <n v="-11465.492599999992"/>
    <m/>
    <m/>
    <x v="0"/>
    <x v="1"/>
    <x v="3"/>
    <x v="9"/>
    <x v="0"/>
    <x v="5"/>
    <x v="19"/>
    <x v="0"/>
    <m/>
    <x v="0"/>
    <m/>
  </r>
  <r>
    <d v="2022-12-31T00:00:00"/>
    <d v="2022-12-31T00:00:00"/>
    <n v="12"/>
    <x v="1"/>
    <m/>
    <m/>
    <m/>
    <m/>
    <m/>
    <m/>
    <m/>
    <n v="13596.1"/>
    <n v="2130.6074000000081"/>
    <m/>
    <m/>
    <x v="0"/>
    <x v="1"/>
    <x v="3"/>
    <x v="9"/>
    <x v="0"/>
    <x v="5"/>
    <x v="1"/>
    <x v="0"/>
    <s v="Sombra e Agua Fresca Resort Sàrl"/>
    <x v="0"/>
    <m/>
  </r>
  <r>
    <d v="2023-01-01T00:00:00"/>
    <d v="2023-01-01T00:00:00"/>
    <n v="1"/>
    <x v="2"/>
    <m/>
    <m/>
    <m/>
    <m/>
    <m/>
    <m/>
    <m/>
    <n v="0.32"/>
    <n v="2130.9274000000082"/>
    <s v="A"/>
    <m/>
    <x v="0"/>
    <x v="1"/>
    <x v="3"/>
    <x v="10"/>
    <x v="0"/>
    <x v="6"/>
    <x v="26"/>
    <x v="0"/>
    <s v="Christine Oliveira"/>
    <x v="0"/>
    <m/>
  </r>
  <r>
    <d v="2023-01-01T00:00:00"/>
    <d v="2023-01-01T00:00:00"/>
    <n v="1"/>
    <x v="2"/>
    <m/>
    <m/>
    <m/>
    <m/>
    <m/>
    <m/>
    <m/>
    <n v="-0.32"/>
    <n v="2130.6074000000081"/>
    <s v="A"/>
    <m/>
    <x v="0"/>
    <x v="1"/>
    <x v="2"/>
    <x v="2"/>
    <x v="0"/>
    <x v="2"/>
    <x v="3"/>
    <x v="0"/>
    <s v="Christine Oliveira"/>
    <x v="0"/>
    <m/>
  </r>
  <r>
    <d v="2023-01-01T00:00:00"/>
    <d v="2023-01-01T00:00:00"/>
    <n v="1"/>
    <x v="2"/>
    <m/>
    <m/>
    <m/>
    <m/>
    <m/>
    <m/>
    <m/>
    <n v="0.32"/>
    <n v="2130.9274000000082"/>
    <s v="A"/>
    <m/>
    <x v="0"/>
    <x v="1"/>
    <x v="3"/>
    <x v="10"/>
    <x v="0"/>
    <x v="6"/>
    <x v="27"/>
    <x v="0"/>
    <s v="Jens Liesen"/>
    <x v="0"/>
    <m/>
  </r>
  <r>
    <d v="2023-01-01T00:00:00"/>
    <d v="2023-01-01T00:00:00"/>
    <n v="1"/>
    <x v="2"/>
    <m/>
    <m/>
    <m/>
    <m/>
    <m/>
    <m/>
    <m/>
    <n v="-0.32"/>
    <n v="2130.6074000000081"/>
    <s v="A"/>
    <m/>
    <x v="0"/>
    <x v="1"/>
    <x v="2"/>
    <x v="2"/>
    <x v="0"/>
    <x v="2"/>
    <x v="4"/>
    <x v="0"/>
    <s v="Jens Liesen"/>
    <x v="0"/>
    <m/>
  </r>
  <r>
    <d v="2023-01-01T00:00:00"/>
    <d v="2023-01-01T00:00:00"/>
    <n v="1"/>
    <x v="2"/>
    <m/>
    <m/>
    <m/>
    <m/>
    <m/>
    <m/>
    <m/>
    <n v="0.25"/>
    <n v="2130.8574000000081"/>
    <s v="B"/>
    <m/>
    <x v="0"/>
    <x v="1"/>
    <x v="3"/>
    <x v="10"/>
    <x v="0"/>
    <x v="6"/>
    <x v="28"/>
    <x v="0"/>
    <s v="Giorgio Vignolle"/>
    <x v="0"/>
    <m/>
  </r>
  <r>
    <d v="2023-01-01T00:00:00"/>
    <d v="2023-01-01T00:00:00"/>
    <n v="1"/>
    <x v="2"/>
    <m/>
    <m/>
    <m/>
    <m/>
    <m/>
    <m/>
    <m/>
    <n v="-0.25"/>
    <n v="2130.6074000000081"/>
    <s v="B"/>
    <m/>
    <x v="0"/>
    <x v="1"/>
    <x v="2"/>
    <x v="2"/>
    <x v="0"/>
    <x v="2"/>
    <x v="5"/>
    <x v="0"/>
    <s v="Giorgio Vignolle"/>
    <x v="0"/>
    <m/>
  </r>
  <r>
    <d v="2023-01-01T00:00:00"/>
    <d v="2023-01-01T00:00:00"/>
    <n v="1"/>
    <x v="2"/>
    <m/>
    <m/>
    <m/>
    <m/>
    <m/>
    <m/>
    <m/>
    <n v="0.5"/>
    <n v="2131.1074000000081"/>
    <s v="D"/>
    <m/>
    <x v="0"/>
    <x v="1"/>
    <x v="3"/>
    <x v="10"/>
    <x v="0"/>
    <x v="6"/>
    <x v="21"/>
    <x v="0"/>
    <s v="Giancarlo Raggi"/>
    <x v="0"/>
    <m/>
  </r>
  <r>
    <d v="2023-01-01T00:00:00"/>
    <d v="2023-01-01T00:00:00"/>
    <n v="1"/>
    <x v="2"/>
    <m/>
    <m/>
    <m/>
    <m/>
    <m/>
    <m/>
    <m/>
    <n v="-0.5"/>
    <n v="2130.6074000000081"/>
    <s v="D"/>
    <m/>
    <x v="0"/>
    <x v="1"/>
    <x v="2"/>
    <x v="2"/>
    <x v="0"/>
    <x v="2"/>
    <x v="8"/>
    <x v="0"/>
    <s v="Giancarlo Raggi"/>
    <x v="0"/>
    <m/>
  </r>
  <r>
    <d v="2023-01-01T00:00:00"/>
    <d v="2023-01-01T00:00:00"/>
    <n v="1"/>
    <x v="2"/>
    <m/>
    <m/>
    <m/>
    <m/>
    <m/>
    <m/>
    <m/>
    <n v="-0.47"/>
    <n v="2130.1374000000083"/>
    <s v="D"/>
    <m/>
    <x v="0"/>
    <x v="1"/>
    <x v="3"/>
    <x v="10"/>
    <x v="0"/>
    <x v="6"/>
    <x v="32"/>
    <x v="0"/>
    <s v="Ingrid Lambert"/>
    <x v="0"/>
    <m/>
  </r>
  <r>
    <d v="2023-01-01T00:00:00"/>
    <d v="2023-01-01T00:00:00"/>
    <n v="1"/>
    <x v="2"/>
    <m/>
    <m/>
    <m/>
    <m/>
    <m/>
    <m/>
    <m/>
    <n v="0.47"/>
    <n v="2130.6074000000081"/>
    <s v="D"/>
    <m/>
    <x v="0"/>
    <x v="1"/>
    <x v="2"/>
    <x v="2"/>
    <x v="0"/>
    <x v="2"/>
    <x v="9"/>
    <x v="0"/>
    <s v="Ingrid Lambert"/>
    <x v="0"/>
    <m/>
  </r>
  <r>
    <d v="2023-01-01T00:00:00"/>
    <d v="2023-01-01T00:00:00"/>
    <n v="1"/>
    <x v="2"/>
    <m/>
    <m/>
    <m/>
    <m/>
    <m/>
    <m/>
    <m/>
    <n v="-0.1"/>
    <n v="2130.5074000000081"/>
    <s v="E"/>
    <m/>
    <x v="0"/>
    <x v="1"/>
    <x v="3"/>
    <x v="10"/>
    <x v="0"/>
    <x v="6"/>
    <x v="25"/>
    <x v="0"/>
    <s v="Enrico Tubia"/>
    <x v="0"/>
    <m/>
  </r>
  <r>
    <d v="2023-01-01T00:00:00"/>
    <d v="2023-01-01T00:00:00"/>
    <n v="1"/>
    <x v="2"/>
    <m/>
    <m/>
    <m/>
    <m/>
    <m/>
    <m/>
    <m/>
    <n v="0.1"/>
    <n v="2130.6074000000081"/>
    <s v="E"/>
    <m/>
    <x v="0"/>
    <x v="1"/>
    <x v="2"/>
    <x v="2"/>
    <x v="0"/>
    <x v="2"/>
    <x v="10"/>
    <x v="0"/>
    <s v="Enrico Tubia"/>
    <x v="0"/>
    <m/>
  </r>
  <r>
    <d v="2023-01-01T00:00:00"/>
    <d v="2023-01-01T00:00:00"/>
    <n v="1"/>
    <x v="2"/>
    <m/>
    <m/>
    <m/>
    <m/>
    <m/>
    <m/>
    <m/>
    <n v="0.27"/>
    <n v="2130.877400000008"/>
    <s v="F"/>
    <m/>
    <x v="0"/>
    <x v="1"/>
    <x v="3"/>
    <x v="10"/>
    <x v="0"/>
    <x v="6"/>
    <x v="23"/>
    <x v="0"/>
    <s v="Edoardo Tubia"/>
    <x v="0"/>
    <m/>
  </r>
  <r>
    <d v="2023-01-01T00:00:00"/>
    <d v="2023-01-01T00:00:00"/>
    <n v="1"/>
    <x v="2"/>
    <m/>
    <m/>
    <m/>
    <m/>
    <m/>
    <m/>
    <m/>
    <n v="-0.27"/>
    <n v="2130.6074000000081"/>
    <s v="F"/>
    <m/>
    <x v="0"/>
    <x v="1"/>
    <x v="2"/>
    <x v="2"/>
    <x v="0"/>
    <x v="2"/>
    <x v="11"/>
    <x v="0"/>
    <s v="Edoardo Tubia"/>
    <x v="0"/>
    <m/>
  </r>
  <r>
    <d v="2023-01-01T00:00:00"/>
    <d v="2023-01-01T00:00:00"/>
    <n v="1"/>
    <x v="2"/>
    <m/>
    <m/>
    <m/>
    <m/>
    <m/>
    <m/>
    <m/>
    <n v="-0.1"/>
    <n v="2130.5074000000081"/>
    <s v="F"/>
    <m/>
    <x v="0"/>
    <x v="1"/>
    <x v="3"/>
    <x v="10"/>
    <x v="0"/>
    <x v="6"/>
    <x v="20"/>
    <x v="0"/>
    <s v="Silvia Tubia"/>
    <x v="0"/>
    <m/>
  </r>
  <r>
    <d v="2023-01-01T00:00:00"/>
    <d v="2023-01-01T00:00:00"/>
    <n v="1"/>
    <x v="2"/>
    <m/>
    <m/>
    <m/>
    <m/>
    <m/>
    <m/>
    <m/>
    <n v="0.1"/>
    <n v="2130.6074000000081"/>
    <s v="F"/>
    <m/>
    <x v="0"/>
    <x v="1"/>
    <x v="2"/>
    <x v="2"/>
    <x v="0"/>
    <x v="2"/>
    <x v="12"/>
    <x v="0"/>
    <s v="Silvia Tubia"/>
    <x v="0"/>
    <m/>
  </r>
  <r>
    <d v="2023-01-01T00:00:00"/>
    <d v="2023-01-01T00:00:00"/>
    <n v="1"/>
    <x v="2"/>
    <m/>
    <m/>
    <m/>
    <m/>
    <m/>
    <m/>
    <m/>
    <n v="-0.41"/>
    <n v="2130.1974000000082"/>
    <s v="G"/>
    <m/>
    <x v="0"/>
    <x v="1"/>
    <x v="3"/>
    <x v="10"/>
    <x v="0"/>
    <x v="6"/>
    <x v="24"/>
    <x v="0"/>
    <s v="Susik Hemawiti"/>
    <x v="0"/>
    <m/>
  </r>
  <r>
    <d v="2023-01-01T00:00:00"/>
    <d v="2023-01-01T00:00:00"/>
    <n v="1"/>
    <x v="2"/>
    <m/>
    <m/>
    <m/>
    <m/>
    <m/>
    <m/>
    <m/>
    <n v="0.41"/>
    <n v="2130.6074000000081"/>
    <s v="G"/>
    <m/>
    <x v="0"/>
    <x v="1"/>
    <x v="2"/>
    <x v="2"/>
    <x v="0"/>
    <x v="2"/>
    <x v="13"/>
    <x v="0"/>
    <s v="Susik Hemawiti"/>
    <x v="0"/>
    <m/>
  </r>
  <r>
    <d v="2023-01-01T00:00:00"/>
    <d v="2023-01-01T00:00:00"/>
    <n v="1"/>
    <x v="2"/>
    <m/>
    <m/>
    <m/>
    <m/>
    <m/>
    <m/>
    <m/>
    <n v="-0.51"/>
    <n v="2130.0974000000078"/>
    <s v="H"/>
    <m/>
    <x v="0"/>
    <x v="1"/>
    <x v="3"/>
    <x v="10"/>
    <x v="0"/>
    <x v="6"/>
    <x v="22"/>
    <x v="0"/>
    <s v="New Life Sàrl"/>
    <x v="0"/>
    <m/>
  </r>
  <r>
    <d v="2023-01-01T00:00:00"/>
    <d v="2023-01-01T00:00:00"/>
    <n v="1"/>
    <x v="2"/>
    <m/>
    <m/>
    <m/>
    <m/>
    <m/>
    <m/>
    <m/>
    <n v="0.51"/>
    <n v="2130.6074000000081"/>
    <s v="H"/>
    <m/>
    <x v="0"/>
    <x v="1"/>
    <x v="2"/>
    <x v="2"/>
    <x v="0"/>
    <x v="2"/>
    <x v="14"/>
    <x v="0"/>
    <s v="New Life Sàrl"/>
    <x v="0"/>
    <m/>
  </r>
  <r>
    <d v="2023-01-01T00:00:00"/>
    <d v="2023-01-01T00:00:00"/>
    <n v="1"/>
    <x v="2"/>
    <m/>
    <m/>
    <m/>
    <m/>
    <m/>
    <m/>
    <m/>
    <n v="-0.04"/>
    <n v="2130.5674000000081"/>
    <s v="I"/>
    <m/>
    <x v="0"/>
    <x v="1"/>
    <x v="3"/>
    <x v="10"/>
    <x v="0"/>
    <x v="6"/>
    <x v="31"/>
    <x v="0"/>
    <s v="Michel Barbancey"/>
    <x v="0"/>
    <m/>
  </r>
  <r>
    <d v="2023-01-01T00:00:00"/>
    <d v="2023-01-01T00:00:00"/>
    <n v="1"/>
    <x v="2"/>
    <m/>
    <m/>
    <m/>
    <m/>
    <m/>
    <m/>
    <m/>
    <n v="0.04"/>
    <n v="2130.6074000000081"/>
    <s v="I"/>
    <m/>
    <x v="0"/>
    <x v="1"/>
    <x v="2"/>
    <x v="2"/>
    <x v="0"/>
    <x v="2"/>
    <x v="15"/>
    <x v="0"/>
    <s v="Michel Barbancey"/>
    <x v="0"/>
    <m/>
  </r>
  <r>
    <d v="2023-01-01T00:00:00"/>
    <d v="2023-01-01T00:00:00"/>
    <n v="1"/>
    <x v="2"/>
    <m/>
    <m/>
    <m/>
    <m/>
    <m/>
    <m/>
    <m/>
    <n v="-0.04"/>
    <n v="2130.5674000000081"/>
    <s v="C"/>
    <m/>
    <x v="0"/>
    <x v="1"/>
    <x v="3"/>
    <x v="10"/>
    <x v="0"/>
    <x v="6"/>
    <x v="35"/>
    <x v="0"/>
    <s v="Cofre Luxembourg Wind SA"/>
    <x v="0"/>
    <m/>
  </r>
  <r>
    <d v="2023-01-01T00:00:00"/>
    <d v="2023-01-01T00:00:00"/>
    <n v="1"/>
    <x v="2"/>
    <m/>
    <m/>
    <m/>
    <m/>
    <m/>
    <m/>
    <m/>
    <n v="0.04"/>
    <n v="2130.6074000000081"/>
    <s v="C"/>
    <m/>
    <x v="0"/>
    <x v="1"/>
    <x v="2"/>
    <x v="2"/>
    <x v="0"/>
    <x v="2"/>
    <x v="37"/>
    <x v="0"/>
    <s v="Cofre Luxembourg Wind SA"/>
    <x v="0"/>
    <m/>
  </r>
  <r>
    <d v="2023-01-02T00:00:00"/>
    <d v="2023-01-02T00:00:00"/>
    <n v="1"/>
    <x v="2"/>
    <m/>
    <m/>
    <m/>
    <m/>
    <m/>
    <m/>
    <m/>
    <n v="-19.899999999999999"/>
    <n v="2110.707400000008"/>
    <m/>
    <m/>
    <x v="1"/>
    <x v="2"/>
    <x v="4"/>
    <x v="11"/>
    <x v="0"/>
    <x v="7"/>
    <x v="33"/>
    <x v="1"/>
    <s v="Olkypay"/>
    <x v="0"/>
    <m/>
  </r>
  <r>
    <d v="2023-02-01T00:00:00"/>
    <d v="2023-02-01T00:00:00"/>
    <n v="2"/>
    <x v="2"/>
    <m/>
    <m/>
    <m/>
    <m/>
    <m/>
    <m/>
    <m/>
    <n v="-19.899999999999999"/>
    <n v="2090.8074000000079"/>
    <m/>
    <m/>
    <x v="1"/>
    <x v="2"/>
    <x v="4"/>
    <x v="11"/>
    <x v="0"/>
    <x v="7"/>
    <x v="33"/>
    <x v="1"/>
    <s v="Olkypay"/>
    <x v="0"/>
    <m/>
  </r>
  <r>
    <d v="2023-03-01T00:00:00"/>
    <d v="2023-03-01T00:00:00"/>
    <n v="3"/>
    <x v="2"/>
    <m/>
    <m/>
    <m/>
    <m/>
    <m/>
    <m/>
    <m/>
    <n v="-19.899999999999999"/>
    <n v="2070.9074000000078"/>
    <m/>
    <m/>
    <x v="1"/>
    <x v="2"/>
    <x v="4"/>
    <x v="11"/>
    <x v="0"/>
    <x v="7"/>
    <x v="33"/>
    <x v="1"/>
    <s v="Olkypay"/>
    <x v="0"/>
    <m/>
  </r>
  <r>
    <d v="2023-03-31T00:00:00"/>
    <d v="2023-03-31T00:00:00"/>
    <n v="3"/>
    <x v="2"/>
    <m/>
    <m/>
    <m/>
    <m/>
    <m/>
    <m/>
    <m/>
    <n v="-40"/>
    <n v="2030.9074000000078"/>
    <m/>
    <m/>
    <x v="1"/>
    <x v="2"/>
    <x v="4"/>
    <x v="11"/>
    <x v="0"/>
    <x v="7"/>
    <x v="33"/>
    <x v="1"/>
    <s v="Olkypay"/>
    <x v="0"/>
    <m/>
  </r>
  <r>
    <d v="2023-04-01T00:00:00"/>
    <d v="2023-04-01T00:00:00"/>
    <n v="4"/>
    <x v="2"/>
    <m/>
    <m/>
    <m/>
    <m/>
    <m/>
    <m/>
    <m/>
    <n v="-19.899999999999999"/>
    <n v="2011.0074000000077"/>
    <m/>
    <m/>
    <x v="1"/>
    <x v="2"/>
    <x v="4"/>
    <x v="11"/>
    <x v="0"/>
    <x v="7"/>
    <x v="33"/>
    <x v="1"/>
    <s v="Olkypay"/>
    <x v="0"/>
    <m/>
  </r>
  <r>
    <d v="2023-05-01T00:00:00"/>
    <d v="2023-05-01T00:00:00"/>
    <n v="5"/>
    <x v="2"/>
    <m/>
    <m/>
    <m/>
    <m/>
    <m/>
    <m/>
    <m/>
    <n v="-19.899999999999999"/>
    <n v="1991.1074000000076"/>
    <m/>
    <m/>
    <x v="1"/>
    <x v="2"/>
    <x v="4"/>
    <x v="11"/>
    <x v="0"/>
    <x v="7"/>
    <x v="33"/>
    <x v="1"/>
    <s v="Olkypay"/>
    <x v="0"/>
    <m/>
  </r>
  <r>
    <d v="2023-06-01T00:00:00"/>
    <d v="2023-06-01T00:00:00"/>
    <n v="6"/>
    <x v="2"/>
    <m/>
    <m/>
    <m/>
    <m/>
    <m/>
    <m/>
    <m/>
    <n v="-19.899999999999999"/>
    <n v="1971.2074000000075"/>
    <m/>
    <m/>
    <x v="1"/>
    <x v="2"/>
    <x v="4"/>
    <x v="11"/>
    <x v="0"/>
    <x v="7"/>
    <x v="33"/>
    <x v="1"/>
    <s v="Olkypay"/>
    <x v="0"/>
    <m/>
  </r>
  <r>
    <d v="2023-06-09T00:00:00"/>
    <d v="2023-06-09T00:00:00"/>
    <n v="6"/>
    <x v="2"/>
    <m/>
    <m/>
    <m/>
    <m/>
    <m/>
    <m/>
    <m/>
    <n v="12000"/>
    <n v="13971.207400000007"/>
    <m/>
    <m/>
    <x v="0"/>
    <x v="1"/>
    <x v="2"/>
    <x v="6"/>
    <x v="0"/>
    <x v="2"/>
    <x v="17"/>
    <x v="1"/>
    <s v="Edoardo Tubia"/>
    <x v="0"/>
    <m/>
  </r>
  <r>
    <d v="2023-06-09T00:00:00"/>
    <d v="2023-06-09T00:00:00"/>
    <n v="6"/>
    <x v="2"/>
    <m/>
    <m/>
    <m/>
    <m/>
    <m/>
    <m/>
    <m/>
    <n v="-133.75"/>
    <n v="13837.457400000007"/>
    <m/>
    <m/>
    <x v="1"/>
    <x v="2"/>
    <x v="5"/>
    <x v="13"/>
    <x v="1"/>
    <x v="18"/>
    <x v="38"/>
    <x v="1"/>
    <s v="Olkypay"/>
    <x v="2"/>
    <m/>
  </r>
  <r>
    <d v="2023-06-09T00:00:00"/>
    <d v="2023-06-09T00:00:00"/>
    <n v="6"/>
    <x v="2"/>
    <m/>
    <m/>
    <m/>
    <m/>
    <m/>
    <m/>
    <m/>
    <n v="-133.75"/>
    <n v="13703.707400000007"/>
    <m/>
    <m/>
    <x v="1"/>
    <x v="2"/>
    <x v="5"/>
    <x v="13"/>
    <x v="1"/>
    <x v="18"/>
    <x v="38"/>
    <x v="1"/>
    <s v="Olkypay"/>
    <x v="2"/>
    <m/>
  </r>
  <r>
    <d v="2023-06-12T00:00:00"/>
    <d v="2023-06-12T00:00:00"/>
    <n v="6"/>
    <x v="2"/>
    <m/>
    <m/>
    <m/>
    <m/>
    <m/>
    <m/>
    <m/>
    <n v="-4280.01"/>
    <n v="9423.6974000000064"/>
    <m/>
    <m/>
    <x v="1"/>
    <x v="2"/>
    <x v="5"/>
    <x v="13"/>
    <x v="1"/>
    <x v="10"/>
    <x v="38"/>
    <x v="1"/>
    <s v="Olkypay"/>
    <x v="1"/>
    <m/>
  </r>
  <r>
    <d v="2023-06-12T00:00:00"/>
    <d v="2023-06-12T00:00:00"/>
    <n v="6"/>
    <x v="2"/>
    <m/>
    <m/>
    <m/>
    <s v="LUX"/>
    <n v="-1500"/>
    <n v="0.16"/>
    <n v="-240"/>
    <n v="-1740"/>
    <n v="7683.6974000000064"/>
    <m/>
    <m/>
    <x v="1"/>
    <x v="2"/>
    <x v="4"/>
    <x v="20"/>
    <x v="0"/>
    <x v="19"/>
    <x v="45"/>
    <x v="1"/>
    <s v="Olkypay"/>
    <x v="0"/>
    <s v="X"/>
  </r>
  <r>
    <d v="2023-06-12T00:00:00"/>
    <d v="2023-06-12T00:00:00"/>
    <n v="6"/>
    <x v="2"/>
    <m/>
    <m/>
    <m/>
    <s v="LUX"/>
    <n v="-4000"/>
    <n v="0.16"/>
    <n v="-640"/>
    <n v="-4640"/>
    <n v="3043.6974000000064"/>
    <m/>
    <m/>
    <x v="1"/>
    <x v="2"/>
    <x v="4"/>
    <x v="20"/>
    <x v="0"/>
    <x v="20"/>
    <x v="45"/>
    <x v="1"/>
    <s v="Olkypay"/>
    <x v="0"/>
    <s v="X"/>
  </r>
  <r>
    <d v="2023-06-13T00:00:00"/>
    <d v="2023-06-13T00:00:00"/>
    <n v="6"/>
    <x v="2"/>
    <m/>
    <m/>
    <m/>
    <m/>
    <m/>
    <m/>
    <m/>
    <n v="5000"/>
    <n v="8043.6974000000064"/>
    <m/>
    <m/>
    <x v="0"/>
    <x v="1"/>
    <x v="2"/>
    <x v="6"/>
    <x v="0"/>
    <x v="2"/>
    <x v="17"/>
    <x v="1"/>
    <s v="Edoardo Tubia"/>
    <x v="0"/>
    <m/>
  </r>
  <r>
    <d v="2023-06-14T00:00:00"/>
    <d v="2023-06-14T00:00:00"/>
    <n v="6"/>
    <x v="2"/>
    <m/>
    <m/>
    <m/>
    <m/>
    <m/>
    <m/>
    <m/>
    <n v="-2863.55"/>
    <n v="5180.1474000000062"/>
    <m/>
    <m/>
    <x v="0"/>
    <x v="1"/>
    <x v="2"/>
    <x v="6"/>
    <x v="0"/>
    <x v="2"/>
    <x v="17"/>
    <x v="1"/>
    <s v="Edoardo Tubia"/>
    <x v="0"/>
    <m/>
  </r>
  <r>
    <d v="2023-06-14T00:00:00"/>
    <d v="2023-06-14T00:00:00"/>
    <n v="6"/>
    <x v="2"/>
    <m/>
    <m/>
    <m/>
    <m/>
    <m/>
    <m/>
    <m/>
    <n v="-2009.03"/>
    <n v="3171.1174000000065"/>
    <m/>
    <m/>
    <x v="0"/>
    <x v="1"/>
    <x v="2"/>
    <x v="6"/>
    <x v="0"/>
    <x v="2"/>
    <x v="17"/>
    <x v="1"/>
    <s v="Edoardo Tubia"/>
    <x v="0"/>
    <m/>
  </r>
  <r>
    <d v="2023-06-14T00:00:00"/>
    <d v="2023-06-14T00:00:00"/>
    <n v="6"/>
    <x v="2"/>
    <m/>
    <m/>
    <m/>
    <m/>
    <m/>
    <m/>
    <m/>
    <n v="2863.55"/>
    <n v="6034.6674000000066"/>
    <m/>
    <m/>
    <x v="0"/>
    <x v="1"/>
    <x v="2"/>
    <x v="6"/>
    <x v="0"/>
    <x v="2"/>
    <x v="17"/>
    <x v="0"/>
    <s v="Edoardo Tubia"/>
    <x v="0"/>
    <m/>
  </r>
  <r>
    <d v="2023-06-14T00:00:00"/>
    <d v="2023-06-14T00:00:00"/>
    <n v="6"/>
    <x v="2"/>
    <m/>
    <m/>
    <m/>
    <m/>
    <m/>
    <m/>
    <m/>
    <n v="-2863.55"/>
    <n v="3171.1174000000065"/>
    <m/>
    <m/>
    <x v="0"/>
    <x v="1"/>
    <x v="2"/>
    <x v="7"/>
    <x v="0"/>
    <x v="3"/>
    <x v="1"/>
    <x v="0"/>
    <s v="Sombra e Agua Fresca Resort Sàrl"/>
    <x v="0"/>
    <m/>
  </r>
  <r>
    <d v="2023-06-30T00:00:00"/>
    <d v="2023-06-30T00:00:00"/>
    <n v="6"/>
    <x v="2"/>
    <m/>
    <m/>
    <m/>
    <m/>
    <m/>
    <m/>
    <m/>
    <n v="-1.2"/>
    <n v="3169.9174000000066"/>
    <m/>
    <m/>
    <x v="1"/>
    <x v="2"/>
    <x v="4"/>
    <x v="11"/>
    <x v="0"/>
    <x v="7"/>
    <x v="33"/>
    <x v="1"/>
    <s v="Olkypay"/>
    <x v="0"/>
    <m/>
  </r>
  <r>
    <d v="2023-06-30T00:00:00"/>
    <d v="2023-06-30T00:00:00"/>
    <n v="6"/>
    <x v="2"/>
    <m/>
    <m/>
    <m/>
    <m/>
    <m/>
    <m/>
    <m/>
    <n v="-51.56"/>
    <n v="3118.3574000000067"/>
    <m/>
    <m/>
    <x v="1"/>
    <x v="2"/>
    <x v="4"/>
    <x v="11"/>
    <x v="0"/>
    <x v="7"/>
    <x v="33"/>
    <x v="1"/>
    <s v="Olkypay"/>
    <x v="0"/>
    <m/>
  </r>
  <r>
    <d v="2023-07-01T00:00:00"/>
    <d v="2023-07-01T00:00:00"/>
    <n v="7"/>
    <x v="2"/>
    <m/>
    <m/>
    <m/>
    <m/>
    <m/>
    <m/>
    <m/>
    <n v="-19.899999999999999"/>
    <n v="3098.4574000000066"/>
    <m/>
    <m/>
    <x v="1"/>
    <x v="2"/>
    <x v="4"/>
    <x v="11"/>
    <x v="0"/>
    <x v="7"/>
    <x v="33"/>
    <x v="1"/>
    <s v="Olkypay"/>
    <x v="0"/>
    <m/>
  </r>
  <r>
    <d v="2023-08-01T00:00:00"/>
    <d v="2023-08-01T00:00:00"/>
    <n v="8"/>
    <x v="2"/>
    <m/>
    <m/>
    <m/>
    <m/>
    <m/>
    <m/>
    <m/>
    <n v="-19.899999999999999"/>
    <n v="3078.5574000000065"/>
    <m/>
    <m/>
    <x v="1"/>
    <x v="2"/>
    <x v="4"/>
    <x v="11"/>
    <x v="0"/>
    <x v="7"/>
    <x v="33"/>
    <x v="1"/>
    <s v="Olkypay"/>
    <x v="0"/>
    <m/>
  </r>
  <r>
    <d v="2023-08-04T00:00:00"/>
    <d v="2023-08-04T00:00:00"/>
    <n v="8"/>
    <x v="2"/>
    <m/>
    <m/>
    <m/>
    <m/>
    <m/>
    <m/>
    <m/>
    <n v="-350"/>
    <n v="2728.5574000000065"/>
    <m/>
    <m/>
    <x v="1"/>
    <x v="2"/>
    <x v="4"/>
    <x v="17"/>
    <x v="0"/>
    <x v="16"/>
    <x v="43"/>
    <x v="1"/>
    <s v="Olkypay"/>
    <x v="0"/>
    <m/>
  </r>
  <r>
    <d v="2023-09-01T00:00:00"/>
    <d v="2023-09-01T00:00:00"/>
    <n v="9"/>
    <x v="2"/>
    <m/>
    <m/>
    <m/>
    <m/>
    <m/>
    <m/>
    <m/>
    <n v="-20.100000000000001"/>
    <n v="2708.4574000000066"/>
    <m/>
    <m/>
    <x v="1"/>
    <x v="2"/>
    <x v="4"/>
    <x v="11"/>
    <x v="0"/>
    <x v="7"/>
    <x v="33"/>
    <x v="1"/>
    <s v="Olkypay"/>
    <x v="0"/>
    <m/>
  </r>
  <r>
    <d v="2023-10-02T00:00:00"/>
    <d v="2023-10-02T00:00:00"/>
    <n v="10"/>
    <x v="2"/>
    <m/>
    <m/>
    <m/>
    <m/>
    <m/>
    <m/>
    <m/>
    <n v="-19.899999999999999"/>
    <n v="2688.5574000000065"/>
    <m/>
    <m/>
    <x v="1"/>
    <x v="2"/>
    <x v="4"/>
    <x v="11"/>
    <x v="0"/>
    <x v="7"/>
    <x v="33"/>
    <x v="1"/>
    <s v="Olkypay"/>
    <x v="0"/>
    <m/>
  </r>
  <r>
    <d v="2023-10-03T00:00:00"/>
    <d v="2023-10-03T00:00:00"/>
    <n v="10"/>
    <x v="2"/>
    <m/>
    <m/>
    <m/>
    <m/>
    <m/>
    <m/>
    <m/>
    <n v="-40"/>
    <n v="2648.5574000000065"/>
    <m/>
    <m/>
    <x v="1"/>
    <x v="2"/>
    <x v="4"/>
    <x v="11"/>
    <x v="0"/>
    <x v="7"/>
    <x v="33"/>
    <x v="1"/>
    <s v="Olkypay"/>
    <x v="0"/>
    <m/>
  </r>
  <r>
    <d v="2023-10-24T00:00:00"/>
    <d v="2023-10-24T00:00:00"/>
    <n v="10"/>
    <x v="2"/>
    <m/>
    <m/>
    <m/>
    <m/>
    <m/>
    <m/>
    <m/>
    <n v="5000"/>
    <n v="7648.557400000007"/>
    <m/>
    <m/>
    <x v="0"/>
    <x v="1"/>
    <x v="2"/>
    <x v="6"/>
    <x v="0"/>
    <x v="2"/>
    <x v="17"/>
    <x v="1"/>
    <s v="Edoardo Tubia"/>
    <x v="0"/>
    <m/>
  </r>
  <r>
    <d v="2023-10-25T00:00:00"/>
    <d v="2023-10-25T00:00:00"/>
    <n v="10"/>
    <x v="2"/>
    <m/>
    <m/>
    <m/>
    <m/>
    <m/>
    <m/>
    <m/>
    <n v="-2273.75"/>
    <n v="5374.807400000007"/>
    <m/>
    <m/>
    <x v="1"/>
    <x v="2"/>
    <x v="5"/>
    <x v="13"/>
    <x v="1"/>
    <x v="18"/>
    <x v="38"/>
    <x v="1"/>
    <s v="Olkypay"/>
    <x v="2"/>
    <m/>
  </r>
  <r>
    <d v="2023-10-25T00:00:00"/>
    <d v="2023-10-25T00:00:00"/>
    <n v="10"/>
    <x v="2"/>
    <m/>
    <m/>
    <m/>
    <m/>
    <m/>
    <m/>
    <m/>
    <n v="-2273.75"/>
    <n v="3101.057400000007"/>
    <m/>
    <m/>
    <x v="1"/>
    <x v="2"/>
    <x v="5"/>
    <x v="13"/>
    <x v="1"/>
    <x v="18"/>
    <x v="38"/>
    <x v="1"/>
    <s v="Olkypay"/>
    <x v="2"/>
    <m/>
  </r>
  <r>
    <d v="2023-11-01T00:00:00"/>
    <d v="2023-11-01T00:00:00"/>
    <n v="11"/>
    <x v="2"/>
    <m/>
    <m/>
    <m/>
    <m/>
    <m/>
    <m/>
    <m/>
    <n v="-20.3"/>
    <n v="3080.7574000000068"/>
    <m/>
    <m/>
    <x v="1"/>
    <x v="2"/>
    <x v="4"/>
    <x v="11"/>
    <x v="0"/>
    <x v="7"/>
    <x v="33"/>
    <x v="1"/>
    <s v="Olkypay"/>
    <x v="0"/>
    <m/>
  </r>
  <r>
    <d v="2023-11-10T00:00:00"/>
    <d v="2023-11-10T00:00:00"/>
    <n v="11"/>
    <x v="2"/>
    <m/>
    <m/>
    <m/>
    <m/>
    <m/>
    <m/>
    <m/>
    <n v="-14963.96"/>
    <n v="-11883.202599999993"/>
    <s v="B"/>
    <m/>
    <x v="0"/>
    <x v="1"/>
    <x v="2"/>
    <x v="2"/>
    <x v="0"/>
    <x v="2"/>
    <x v="5"/>
    <x v="0"/>
    <s v="Giorgio Vignolle"/>
    <x v="0"/>
    <m/>
  </r>
  <r>
    <d v="2023-11-10T00:00:00"/>
    <d v="2023-11-10T00:00:00"/>
    <n v="11"/>
    <x v="2"/>
    <m/>
    <m/>
    <m/>
    <m/>
    <m/>
    <m/>
    <m/>
    <n v="-57915.15"/>
    <n v="-69798.352599999998"/>
    <s v="B"/>
    <m/>
    <x v="0"/>
    <x v="1"/>
    <x v="2"/>
    <x v="2"/>
    <x v="0"/>
    <x v="2"/>
    <x v="6"/>
    <x v="0"/>
    <s v="Gabriel Vignolle"/>
    <x v="0"/>
    <m/>
  </r>
  <r>
    <d v="2023-11-10T00:00:00"/>
    <d v="2023-11-10T00:00:00"/>
    <n v="11"/>
    <x v="2"/>
    <m/>
    <m/>
    <m/>
    <m/>
    <m/>
    <m/>
    <m/>
    <n v="-57912.15"/>
    <n v="-127710.50260000001"/>
    <s v="B"/>
    <m/>
    <x v="0"/>
    <x v="1"/>
    <x v="2"/>
    <x v="2"/>
    <x v="0"/>
    <x v="2"/>
    <x v="7"/>
    <x v="0"/>
    <s v="Matteo Vignolle"/>
    <x v="0"/>
    <m/>
  </r>
  <r>
    <d v="2023-11-10T00:00:00"/>
    <d v="2023-11-10T00:00:00"/>
    <n v="11"/>
    <x v="2"/>
    <m/>
    <m/>
    <m/>
    <m/>
    <m/>
    <m/>
    <m/>
    <n v="14963.96"/>
    <n v="-112746.54260000002"/>
    <s v="C"/>
    <m/>
    <x v="0"/>
    <x v="1"/>
    <x v="2"/>
    <x v="2"/>
    <x v="0"/>
    <x v="2"/>
    <x v="34"/>
    <x v="0"/>
    <s v="Giorgio Vignolle"/>
    <x v="0"/>
    <m/>
  </r>
  <r>
    <d v="2023-11-10T00:00:00"/>
    <d v="2023-11-10T00:00:00"/>
    <n v="11"/>
    <x v="2"/>
    <m/>
    <m/>
    <m/>
    <m/>
    <m/>
    <m/>
    <m/>
    <n v="57915.15"/>
    <n v="-54831.392600000014"/>
    <s v="C"/>
    <m/>
    <x v="0"/>
    <x v="1"/>
    <x v="2"/>
    <x v="2"/>
    <x v="0"/>
    <x v="2"/>
    <x v="34"/>
    <x v="0"/>
    <s v="Gabriel Vignolle"/>
    <x v="0"/>
    <m/>
  </r>
  <r>
    <d v="2023-11-10T00:00:00"/>
    <d v="2023-11-10T00:00:00"/>
    <n v="11"/>
    <x v="2"/>
    <m/>
    <m/>
    <m/>
    <m/>
    <m/>
    <m/>
    <m/>
    <n v="57912.15"/>
    <n v="3080.7573999999877"/>
    <s v="C"/>
    <m/>
    <x v="0"/>
    <x v="1"/>
    <x v="2"/>
    <x v="2"/>
    <x v="0"/>
    <x v="2"/>
    <x v="34"/>
    <x v="0"/>
    <s v="Matteo Vignolle"/>
    <x v="0"/>
    <m/>
  </r>
  <r>
    <d v="2023-11-10T00:00:00"/>
    <d v="2023-11-10T00:00:00"/>
    <n v="11"/>
    <x v="2"/>
    <m/>
    <m/>
    <m/>
    <m/>
    <m/>
    <m/>
    <m/>
    <n v="-14963.96"/>
    <n v="-11883.202600000011"/>
    <s v="C"/>
    <m/>
    <x v="0"/>
    <x v="1"/>
    <x v="2"/>
    <x v="2"/>
    <x v="0"/>
    <x v="2"/>
    <x v="34"/>
    <x v="0"/>
    <s v="Baguenier Henri"/>
    <x v="0"/>
    <m/>
  </r>
  <r>
    <d v="2023-11-10T00:00:00"/>
    <d v="2023-11-10T00:00:00"/>
    <n v="11"/>
    <x v="2"/>
    <m/>
    <m/>
    <m/>
    <m/>
    <m/>
    <m/>
    <m/>
    <n v="-57914.15"/>
    <n v="-69797.352600000013"/>
    <s v="C"/>
    <m/>
    <x v="0"/>
    <x v="1"/>
    <x v="2"/>
    <x v="2"/>
    <x v="0"/>
    <x v="2"/>
    <x v="34"/>
    <x v="0"/>
    <s v="Baguenier Henri"/>
    <x v="0"/>
    <m/>
  </r>
  <r>
    <d v="2023-11-10T00:00:00"/>
    <d v="2023-11-10T00:00:00"/>
    <n v="11"/>
    <x v="2"/>
    <m/>
    <m/>
    <m/>
    <m/>
    <m/>
    <m/>
    <m/>
    <n v="-57914.15"/>
    <n v="-127711.50260000001"/>
    <s v="C"/>
    <m/>
    <x v="0"/>
    <x v="1"/>
    <x v="2"/>
    <x v="2"/>
    <x v="0"/>
    <x v="2"/>
    <x v="34"/>
    <x v="0"/>
    <s v="Baguenier Henri"/>
    <x v="0"/>
    <m/>
  </r>
  <r>
    <d v="2023-11-10T00:00:00"/>
    <d v="2023-11-10T00:00:00"/>
    <n v="11"/>
    <x v="2"/>
    <m/>
    <m/>
    <m/>
    <m/>
    <m/>
    <m/>
    <m/>
    <n v="14963.96"/>
    <n v="-112747.54260000002"/>
    <s v="C"/>
    <m/>
    <x v="0"/>
    <x v="1"/>
    <x v="2"/>
    <x v="2"/>
    <x v="0"/>
    <x v="2"/>
    <x v="37"/>
    <x v="0"/>
    <s v="Baguenier Henri"/>
    <x v="0"/>
    <m/>
  </r>
  <r>
    <d v="2023-11-10T00:00:00"/>
    <d v="2023-11-10T00:00:00"/>
    <n v="11"/>
    <x v="2"/>
    <m/>
    <m/>
    <m/>
    <m/>
    <m/>
    <m/>
    <m/>
    <n v="57914.15"/>
    <n v="-54833.392600000014"/>
    <s v="C"/>
    <m/>
    <x v="0"/>
    <x v="1"/>
    <x v="2"/>
    <x v="2"/>
    <x v="0"/>
    <x v="2"/>
    <x v="37"/>
    <x v="0"/>
    <s v="Baguenier Henri"/>
    <x v="0"/>
    <m/>
  </r>
  <r>
    <d v="2023-11-10T00:00:00"/>
    <d v="2023-11-10T00:00:00"/>
    <n v="11"/>
    <x v="2"/>
    <m/>
    <m/>
    <m/>
    <m/>
    <m/>
    <m/>
    <m/>
    <n v="57914.15"/>
    <n v="3080.7573999999877"/>
    <s v="C"/>
    <m/>
    <x v="0"/>
    <x v="1"/>
    <x v="2"/>
    <x v="2"/>
    <x v="0"/>
    <x v="2"/>
    <x v="37"/>
    <x v="0"/>
    <s v="Baguenier Henri"/>
    <x v="0"/>
    <m/>
  </r>
  <r>
    <d v="2023-12-01T00:00:00"/>
    <d v="2023-12-01T00:00:00"/>
    <n v="12"/>
    <x v="2"/>
    <m/>
    <m/>
    <m/>
    <m/>
    <m/>
    <m/>
    <m/>
    <n v="-19.899999999999999"/>
    <n v="3060.8573999999876"/>
    <m/>
    <m/>
    <x v="1"/>
    <x v="2"/>
    <x v="4"/>
    <x v="11"/>
    <x v="0"/>
    <x v="7"/>
    <x v="33"/>
    <x v="1"/>
    <s v="Olkypay"/>
    <x v="0"/>
    <m/>
  </r>
  <r>
    <d v="2023-12-31T00:00:00"/>
    <d v="2023-12-31T00:00:00"/>
    <n v="12"/>
    <x v="2"/>
    <m/>
    <m/>
    <m/>
    <m/>
    <m/>
    <m/>
    <m/>
    <n v="3210"/>
    <n v="6270.857399999988"/>
    <m/>
    <m/>
    <x v="0"/>
    <x v="0"/>
    <x v="1"/>
    <x v="21"/>
    <x v="0"/>
    <x v="1"/>
    <x v="46"/>
    <x v="0"/>
    <m/>
    <x v="0"/>
    <m/>
  </r>
  <r>
    <d v="2023-12-31T00:00:00"/>
    <d v="2023-12-31T00:00:00"/>
    <n v="12"/>
    <x v="2"/>
    <m/>
    <m/>
    <m/>
    <m/>
    <m/>
    <m/>
    <m/>
    <n v="-3210"/>
    <n v="3060.857399999988"/>
    <m/>
    <m/>
    <x v="0"/>
    <x v="0"/>
    <x v="1"/>
    <x v="21"/>
    <x v="0"/>
    <x v="1"/>
    <x v="1"/>
    <x v="0"/>
    <s v="Sombra e Agua Fresca Resort Sàrl"/>
    <x v="0"/>
    <m/>
  </r>
  <r>
    <d v="2023-12-31T00:00:00"/>
    <d v="2023-12-31T00:00:00"/>
    <n v="12"/>
    <x v="2"/>
    <m/>
    <m/>
    <m/>
    <m/>
    <m/>
    <m/>
    <m/>
    <n v="930.25"/>
    <n v="3991.107399999988"/>
    <m/>
    <m/>
    <x v="0"/>
    <x v="0"/>
    <x v="1"/>
    <x v="1"/>
    <x v="0"/>
    <x v="1"/>
    <x v="2"/>
    <x v="0"/>
    <m/>
    <x v="0"/>
    <m/>
  </r>
  <r>
    <d v="2023-12-31T00:00:00"/>
    <d v="2023-12-31T00:00:00"/>
    <n v="12"/>
    <x v="2"/>
    <m/>
    <m/>
    <m/>
    <m/>
    <m/>
    <m/>
    <m/>
    <n v="-930.25"/>
    <n v="3060.857399999988"/>
    <m/>
    <m/>
    <x v="0"/>
    <x v="0"/>
    <x v="1"/>
    <x v="1"/>
    <x v="0"/>
    <x v="1"/>
    <x v="1"/>
    <x v="0"/>
    <s v="Sombra e Agua Fresca Resort Sàrl"/>
    <x v="0"/>
    <m/>
  </r>
  <r>
    <d v="2023-12-31T00:00:00"/>
    <d v="2023-12-31T00:00:00"/>
    <n v="12"/>
    <x v="2"/>
    <m/>
    <m/>
    <m/>
    <m/>
    <m/>
    <m/>
    <m/>
    <n v="-4655"/>
    <n v="-1594.142600000012"/>
    <m/>
    <m/>
    <x v="0"/>
    <x v="1"/>
    <x v="2"/>
    <x v="5"/>
    <x v="0"/>
    <x v="3"/>
    <x v="16"/>
    <x v="0"/>
    <m/>
    <x v="0"/>
    <m/>
  </r>
  <r>
    <d v="2023-12-31T00:00:00"/>
    <d v="2023-12-31T00:00:00"/>
    <n v="12"/>
    <x v="2"/>
    <m/>
    <m/>
    <m/>
    <m/>
    <m/>
    <m/>
    <m/>
    <n v="4655"/>
    <n v="3060.857399999988"/>
    <m/>
    <m/>
    <x v="0"/>
    <x v="1"/>
    <x v="2"/>
    <x v="4"/>
    <x v="0"/>
    <x v="3"/>
    <x v="1"/>
    <x v="0"/>
    <s v="Sombra e Agua Fresca Resort Sàrl"/>
    <x v="0"/>
    <m/>
  </r>
  <r>
    <d v="2023-12-31T00:00:00"/>
    <d v="2023-12-31T00:00:00"/>
    <n v="12"/>
    <x v="2"/>
    <m/>
    <m/>
    <m/>
    <m/>
    <m/>
    <m/>
    <m/>
    <n v="-4280.01"/>
    <n v="-1219.1526000000122"/>
    <m/>
    <m/>
    <x v="0"/>
    <x v="1"/>
    <x v="6"/>
    <x v="18"/>
    <x v="0"/>
    <x v="3"/>
    <x v="38"/>
    <x v="0"/>
    <m/>
    <x v="0"/>
    <m/>
  </r>
  <r>
    <d v="2023-12-31T00:00:00"/>
    <d v="2023-12-31T00:00:00"/>
    <n v="12"/>
    <x v="2"/>
    <m/>
    <m/>
    <m/>
    <m/>
    <m/>
    <m/>
    <m/>
    <n v="4280.01"/>
    <n v="3060.857399999988"/>
    <m/>
    <m/>
    <x v="0"/>
    <x v="1"/>
    <x v="2"/>
    <x v="4"/>
    <x v="0"/>
    <x v="3"/>
    <x v="1"/>
    <x v="0"/>
    <s v="Sombra e Agua Fresca Resort Sàrl"/>
    <x v="0"/>
    <m/>
  </r>
  <r>
    <d v="2023-12-31T00:00:00"/>
    <d v="2023-12-31T00:00:00"/>
    <n v="12"/>
    <x v="2"/>
    <m/>
    <m/>
    <m/>
    <m/>
    <m/>
    <m/>
    <m/>
    <n v="6967.17"/>
    <n v="10028.027399999988"/>
    <m/>
    <m/>
    <x v="0"/>
    <x v="1"/>
    <x v="3"/>
    <x v="9"/>
    <x v="0"/>
    <x v="5"/>
    <x v="19"/>
    <x v="0"/>
    <m/>
    <x v="0"/>
    <m/>
  </r>
  <r>
    <d v="2023-12-31T00:00:00"/>
    <d v="2023-12-31T00:00:00"/>
    <n v="12"/>
    <x v="2"/>
    <m/>
    <m/>
    <m/>
    <m/>
    <m/>
    <m/>
    <m/>
    <n v="-6967.17"/>
    <n v="3060.857399999988"/>
    <m/>
    <m/>
    <x v="0"/>
    <x v="1"/>
    <x v="3"/>
    <x v="9"/>
    <x v="0"/>
    <x v="5"/>
    <x v="1"/>
    <x v="0"/>
    <s v="Sombra e Agua Fresca Resort Sàrl"/>
    <x v="0"/>
    <m/>
  </r>
  <r>
    <d v="2023-12-31T00:00:00"/>
    <d v="2023-12-31T00:00:00"/>
    <n v="12"/>
    <x v="2"/>
    <m/>
    <m/>
    <m/>
    <m/>
    <m/>
    <m/>
    <m/>
    <n v="-6967.17"/>
    <n v="-3906.312600000012"/>
    <m/>
    <m/>
    <x v="0"/>
    <x v="1"/>
    <x v="3"/>
    <x v="19"/>
    <x v="0"/>
    <x v="17"/>
    <x v="44"/>
    <x v="0"/>
    <m/>
    <x v="0"/>
    <m/>
  </r>
  <r>
    <d v="2023-12-31T00:00:00"/>
    <d v="2023-12-31T00:00:00"/>
    <n v="12"/>
    <x v="2"/>
    <m/>
    <m/>
    <m/>
    <m/>
    <m/>
    <m/>
    <m/>
    <n v="6967.17"/>
    <n v="3060.857399999988"/>
    <m/>
    <m/>
    <x v="0"/>
    <x v="1"/>
    <x v="3"/>
    <x v="19"/>
    <x v="0"/>
    <x v="17"/>
    <x v="1"/>
    <x v="0"/>
    <s v="Sombra e Agua Fresca Resort Sàrl"/>
    <x v="0"/>
    <m/>
  </r>
  <r>
    <d v="2023-12-31T00:00:00"/>
    <d v="2023-12-31T00:00:00"/>
    <n v="12"/>
    <x v="2"/>
    <m/>
    <m/>
    <m/>
    <m/>
    <m/>
    <m/>
    <m/>
    <n v="-7041.2"/>
    <n v="-3980.3426000000118"/>
    <m/>
    <m/>
    <x v="0"/>
    <x v="1"/>
    <x v="3"/>
    <x v="9"/>
    <x v="0"/>
    <x v="5"/>
    <x v="19"/>
    <x v="0"/>
    <m/>
    <x v="0"/>
    <m/>
  </r>
  <r>
    <d v="2023-12-31T00:00:00"/>
    <d v="2023-12-31T00:00:00"/>
    <n v="12"/>
    <x v="2"/>
    <m/>
    <m/>
    <m/>
    <m/>
    <m/>
    <m/>
    <m/>
    <n v="7041.2"/>
    <n v="3060.857399999988"/>
    <m/>
    <m/>
    <x v="0"/>
    <x v="1"/>
    <x v="3"/>
    <x v="9"/>
    <x v="0"/>
    <x v="5"/>
    <x v="1"/>
    <x v="0"/>
    <s v="Sombra e Agua Fresca Resort Sàrl"/>
    <x v="0"/>
    <m/>
  </r>
  <r>
    <d v="2024-01-02T00:00:00"/>
    <d v="2024-01-02T00:00:00"/>
    <n v="1"/>
    <x v="3"/>
    <m/>
    <m/>
    <m/>
    <m/>
    <m/>
    <m/>
    <m/>
    <n v="-19.899999999999999"/>
    <n v="3040.957399999988"/>
    <m/>
    <m/>
    <x v="1"/>
    <x v="2"/>
    <x v="4"/>
    <x v="11"/>
    <x v="0"/>
    <x v="7"/>
    <x v="33"/>
    <x v="1"/>
    <s v="Olkypay"/>
    <x v="0"/>
    <m/>
  </r>
  <r>
    <d v="2024-01-02T00:00:00"/>
    <d v="2024-01-02T00:00:00"/>
    <n v="1"/>
    <x v="3"/>
    <m/>
    <m/>
    <m/>
    <m/>
    <m/>
    <m/>
    <m/>
    <n v="-43.4"/>
    <n v="2997.5573999999879"/>
    <m/>
    <m/>
    <x v="1"/>
    <x v="2"/>
    <x v="4"/>
    <x v="11"/>
    <x v="0"/>
    <x v="7"/>
    <x v="33"/>
    <x v="1"/>
    <s v="Olkypay"/>
    <x v="0"/>
    <m/>
  </r>
  <r>
    <d v="2024-02-01T00:00:00"/>
    <d v="2024-02-01T00:00:00"/>
    <n v="2"/>
    <x v="3"/>
    <m/>
    <m/>
    <m/>
    <m/>
    <m/>
    <m/>
    <m/>
    <n v="-1203.75"/>
    <n v="1793.8073999999879"/>
    <m/>
    <m/>
    <x v="1"/>
    <x v="2"/>
    <x v="5"/>
    <x v="13"/>
    <x v="1"/>
    <x v="21"/>
    <x v="38"/>
    <x v="1"/>
    <s v="Olkypay"/>
    <x v="3"/>
    <m/>
  </r>
  <r>
    <d v="2024-02-01T00:00:00"/>
    <d v="2024-02-01T00:00:00"/>
    <n v="2"/>
    <x v="3"/>
    <m/>
    <m/>
    <m/>
    <m/>
    <m/>
    <m/>
    <m/>
    <n v="-19.899999999999999"/>
    <n v="1773.9073999999878"/>
    <m/>
    <m/>
    <x v="1"/>
    <x v="2"/>
    <x v="4"/>
    <x v="11"/>
    <x v="0"/>
    <x v="7"/>
    <x v="33"/>
    <x v="1"/>
    <s v="Olkypay"/>
    <x v="0"/>
    <m/>
  </r>
  <r>
    <d v="2024-03-01T00:00:00"/>
    <d v="2024-03-01T00:00:00"/>
    <n v="3"/>
    <x v="3"/>
    <m/>
    <m/>
    <m/>
    <m/>
    <m/>
    <m/>
    <m/>
    <n v="-20.100000000000001"/>
    <n v="1753.8073999999879"/>
    <m/>
    <m/>
    <x v="1"/>
    <x v="2"/>
    <x v="4"/>
    <x v="11"/>
    <x v="0"/>
    <x v="7"/>
    <x v="33"/>
    <x v="1"/>
    <s v="Olkypay"/>
    <x v="0"/>
    <m/>
  </r>
  <r>
    <d v="2024-04-01T00:00:00"/>
    <d v="2024-04-01T00:00:00"/>
    <n v="4"/>
    <x v="3"/>
    <m/>
    <m/>
    <m/>
    <m/>
    <m/>
    <m/>
    <m/>
    <n v="-19.899999999999999"/>
    <n v="1733.9073999999878"/>
    <m/>
    <m/>
    <x v="1"/>
    <x v="2"/>
    <x v="4"/>
    <x v="11"/>
    <x v="0"/>
    <x v="7"/>
    <x v="33"/>
    <x v="1"/>
    <s v="Olkypay"/>
    <x v="0"/>
    <m/>
  </r>
  <r>
    <d v="2024-04-01T00:00:00"/>
    <d v="2024-04-01T00:00:00"/>
    <n v="4"/>
    <x v="3"/>
    <m/>
    <m/>
    <m/>
    <m/>
    <m/>
    <m/>
    <m/>
    <n v="-44.24"/>
    <n v="1689.6673999999878"/>
    <m/>
    <m/>
    <x v="1"/>
    <x v="2"/>
    <x v="4"/>
    <x v="11"/>
    <x v="0"/>
    <x v="7"/>
    <x v="33"/>
    <x v="1"/>
    <s v="Olkypay"/>
    <x v="0"/>
    <m/>
  </r>
  <r>
    <d v="2024-04-02T00:00:00"/>
    <d v="2024-04-02T00:00:00"/>
    <n v="4"/>
    <x v="3"/>
    <m/>
    <m/>
    <m/>
    <m/>
    <m/>
    <m/>
    <m/>
    <n v="4.24"/>
    <n v="1693.9073999999878"/>
    <m/>
    <m/>
    <x v="1"/>
    <x v="2"/>
    <x v="4"/>
    <x v="11"/>
    <x v="0"/>
    <x v="7"/>
    <x v="33"/>
    <x v="1"/>
    <s v="Olkypay"/>
    <x v="0"/>
    <m/>
  </r>
  <r>
    <d v="2024-05-01T00:00:00"/>
    <d v="2024-05-01T00:00:00"/>
    <n v="5"/>
    <x v="3"/>
    <m/>
    <m/>
    <m/>
    <m/>
    <m/>
    <m/>
    <m/>
    <n v="-1203.75"/>
    <n v="490.15739999998777"/>
    <m/>
    <m/>
    <x v="1"/>
    <x v="2"/>
    <x v="5"/>
    <x v="13"/>
    <x v="1"/>
    <x v="21"/>
    <x v="38"/>
    <x v="1"/>
    <s v="Olkypay"/>
    <x v="3"/>
    <m/>
  </r>
  <r>
    <d v="2024-05-01T00:00:00"/>
    <d v="2024-05-01T00:00:00"/>
    <n v="5"/>
    <x v="3"/>
    <m/>
    <m/>
    <m/>
    <m/>
    <m/>
    <m/>
    <m/>
    <n v="-19.899999999999999"/>
    <n v="470.2573999999878"/>
    <m/>
    <m/>
    <x v="1"/>
    <x v="2"/>
    <x v="4"/>
    <x v="11"/>
    <x v="0"/>
    <x v="7"/>
    <x v="33"/>
    <x v="1"/>
    <s v="Olkypay"/>
    <x v="0"/>
    <m/>
  </r>
  <r>
    <d v="2024-05-15T00:00:00"/>
    <d v="2024-05-15T00:00:00"/>
    <n v="5"/>
    <x v="3"/>
    <m/>
    <m/>
    <m/>
    <m/>
    <m/>
    <m/>
    <m/>
    <n v="3210"/>
    <n v="3680.2573999999877"/>
    <m/>
    <m/>
    <x v="1"/>
    <x v="2"/>
    <x v="5"/>
    <x v="13"/>
    <x v="1"/>
    <x v="22"/>
    <x v="38"/>
    <x v="1"/>
    <s v="Olkypay"/>
    <x v="2"/>
    <m/>
  </r>
  <r>
    <d v="2024-06-01T00:00:00"/>
    <d v="2024-06-01T00:00:00"/>
    <n v="6"/>
    <x v="3"/>
    <m/>
    <m/>
    <m/>
    <m/>
    <m/>
    <m/>
    <m/>
    <n v="-20.100000000000001"/>
    <n v="3660.1573999999878"/>
    <m/>
    <m/>
    <x v="1"/>
    <x v="2"/>
    <x v="4"/>
    <x v="11"/>
    <x v="0"/>
    <x v="7"/>
    <x v="33"/>
    <x v="1"/>
    <s v="Olkypay"/>
    <x v="0"/>
    <m/>
  </r>
  <r>
    <d v="2024-07-01T00:00:00"/>
    <d v="2024-07-01T00:00:00"/>
    <n v="7"/>
    <x v="3"/>
    <m/>
    <m/>
    <m/>
    <m/>
    <m/>
    <m/>
    <m/>
    <n v="-19.899999999999999"/>
    <n v="3640.2573999999877"/>
    <m/>
    <m/>
    <x v="1"/>
    <x v="2"/>
    <x v="4"/>
    <x v="11"/>
    <x v="0"/>
    <x v="7"/>
    <x v="33"/>
    <x v="1"/>
    <s v="Olkypay"/>
    <x v="0"/>
    <m/>
  </r>
  <r>
    <d v="2024-07-01T00:00:00"/>
    <d v="2024-07-01T00:00:00"/>
    <n v="7"/>
    <x v="3"/>
    <m/>
    <m/>
    <m/>
    <m/>
    <m/>
    <m/>
    <m/>
    <n v="-40"/>
    <n v="3600.2573999999877"/>
    <m/>
    <m/>
    <x v="1"/>
    <x v="2"/>
    <x v="4"/>
    <x v="11"/>
    <x v="0"/>
    <x v="7"/>
    <x v="33"/>
    <x v="1"/>
    <s v="Olkypay"/>
    <x v="0"/>
    <m/>
  </r>
  <r>
    <d v="2024-07-17T00:00:00"/>
    <d v="2024-07-17T00:00:00"/>
    <n v="7"/>
    <x v="3"/>
    <m/>
    <m/>
    <m/>
    <m/>
    <m/>
    <m/>
    <m/>
    <n v="-350"/>
    <n v="3250.2573999999877"/>
    <m/>
    <m/>
    <x v="1"/>
    <x v="2"/>
    <x v="4"/>
    <x v="17"/>
    <x v="0"/>
    <x v="16"/>
    <x v="43"/>
    <x v="1"/>
    <s v="Olkypay"/>
    <x v="0"/>
    <m/>
  </r>
  <r>
    <d v="2024-08-01T00:00:00"/>
    <d v="2024-08-01T00:00:00"/>
    <n v="8"/>
    <x v="3"/>
    <m/>
    <m/>
    <m/>
    <m/>
    <m/>
    <m/>
    <m/>
    <n v="-20.100000000000001"/>
    <n v="3230.1573999999878"/>
    <m/>
    <m/>
    <x v="1"/>
    <x v="2"/>
    <x v="4"/>
    <x v="11"/>
    <x v="0"/>
    <x v="7"/>
    <x v="33"/>
    <x v="1"/>
    <s v="Olkypay"/>
    <x v="0"/>
    <m/>
  </r>
  <r>
    <d v="2024-09-02T00:00:00"/>
    <d v="2024-09-02T00:00:00"/>
    <n v="9"/>
    <x v="3"/>
    <m/>
    <m/>
    <m/>
    <m/>
    <m/>
    <m/>
    <m/>
    <n v="-19.899999999999999"/>
    <n v="3210.2573999999877"/>
    <m/>
    <m/>
    <x v="1"/>
    <x v="2"/>
    <x v="4"/>
    <x v="11"/>
    <x v="0"/>
    <x v="7"/>
    <x v="33"/>
    <x v="1"/>
    <s v="Olkypay"/>
    <x v="0"/>
    <m/>
  </r>
  <r>
    <d v="2024-10-01T00:00:00"/>
    <d v="2024-10-01T00:00:00"/>
    <n v="10"/>
    <x v="3"/>
    <m/>
    <m/>
    <m/>
    <m/>
    <m/>
    <m/>
    <m/>
    <n v="-19.899999999999999"/>
    <n v="3190.3573999999876"/>
    <m/>
    <m/>
    <x v="1"/>
    <x v="2"/>
    <x v="4"/>
    <x v="11"/>
    <x v="0"/>
    <x v="7"/>
    <x v="33"/>
    <x v="1"/>
    <s v="Olkypay"/>
    <x v="0"/>
    <m/>
  </r>
  <r>
    <d v="2024-10-01T00:00:00"/>
    <d v="2024-10-01T00:00:00"/>
    <n v="10"/>
    <x v="3"/>
    <m/>
    <m/>
    <m/>
    <m/>
    <m/>
    <m/>
    <m/>
    <n v="-40"/>
    <n v="3150.3573999999876"/>
    <m/>
    <m/>
    <x v="1"/>
    <x v="2"/>
    <x v="4"/>
    <x v="11"/>
    <x v="0"/>
    <x v="7"/>
    <x v="33"/>
    <x v="1"/>
    <s v="Olkypay"/>
    <x v="0"/>
    <m/>
  </r>
  <r>
    <d v="2024-11-01T00:00:00"/>
    <d v="2024-11-01T00:00:00"/>
    <n v="11"/>
    <x v="3"/>
    <m/>
    <m/>
    <m/>
    <m/>
    <m/>
    <m/>
    <m/>
    <n v="-19.899999999999999"/>
    <n v="3130.4573999999875"/>
    <m/>
    <m/>
    <x v="1"/>
    <x v="2"/>
    <x v="4"/>
    <x v="11"/>
    <x v="0"/>
    <x v="7"/>
    <x v="33"/>
    <x v="1"/>
    <s v="Olkypay"/>
    <x v="0"/>
    <m/>
  </r>
  <r>
    <d v="2024-11-28T00:00:00"/>
    <d v="2024-11-28T00:00:00"/>
    <n v="11"/>
    <x v="3"/>
    <m/>
    <m/>
    <m/>
    <m/>
    <m/>
    <m/>
    <m/>
    <n v="-520"/>
    <n v="2610.4573999999875"/>
    <s v="H"/>
    <n v="-520"/>
    <x v="0"/>
    <x v="1"/>
    <x v="3"/>
    <x v="10"/>
    <x v="0"/>
    <x v="6"/>
    <x v="22"/>
    <x v="0"/>
    <s v="New Life Sàrl"/>
    <x v="0"/>
    <m/>
  </r>
  <r>
    <d v="2024-11-28T00:00:00"/>
    <d v="2024-11-28T00:00:00"/>
    <n v="11"/>
    <x v="3"/>
    <m/>
    <m/>
    <m/>
    <m/>
    <m/>
    <m/>
    <m/>
    <n v="520"/>
    <n v="3130.4573999999875"/>
    <s v="H"/>
    <n v="520"/>
    <x v="0"/>
    <x v="1"/>
    <x v="3"/>
    <x v="10"/>
    <x v="0"/>
    <x v="6"/>
    <x v="23"/>
    <x v="0"/>
    <s v="Tubia Edoardo"/>
    <x v="0"/>
    <m/>
  </r>
  <r>
    <d v="2024-11-28T00:00:00"/>
    <d v="2024-11-28T00:00:00"/>
    <n v="11"/>
    <x v="3"/>
    <m/>
    <m/>
    <m/>
    <m/>
    <m/>
    <m/>
    <m/>
    <n v="-34497.86"/>
    <n v="-31367.402600000012"/>
    <s v="H"/>
    <m/>
    <x v="0"/>
    <x v="1"/>
    <x v="2"/>
    <x v="2"/>
    <x v="0"/>
    <x v="2"/>
    <x v="14"/>
    <x v="0"/>
    <s v="New Life Sàrl"/>
    <x v="0"/>
    <m/>
  </r>
  <r>
    <d v="2024-11-28T00:00:00"/>
    <d v="2024-11-28T00:00:00"/>
    <n v="11"/>
    <x v="3"/>
    <m/>
    <m/>
    <m/>
    <m/>
    <m/>
    <m/>
    <m/>
    <n v="34497.86"/>
    <n v="3130.4573999999884"/>
    <s v="H"/>
    <m/>
    <x v="0"/>
    <x v="1"/>
    <x v="2"/>
    <x v="2"/>
    <x v="0"/>
    <x v="2"/>
    <x v="11"/>
    <x v="0"/>
    <s v="Edoardo Tubia"/>
    <x v="0"/>
    <m/>
  </r>
  <r>
    <d v="2024-12-02T00:00:00"/>
    <d v="2024-12-02T00:00:00"/>
    <n v="12"/>
    <x v="3"/>
    <m/>
    <m/>
    <m/>
    <m/>
    <m/>
    <m/>
    <m/>
    <n v="-19.899999999999999"/>
    <n v="3110.5573999999883"/>
    <m/>
    <m/>
    <x v="1"/>
    <x v="2"/>
    <x v="4"/>
    <x v="11"/>
    <x v="0"/>
    <x v="7"/>
    <x v="33"/>
    <x v="1"/>
    <s v="Olkypay"/>
    <x v="0"/>
    <m/>
  </r>
  <r>
    <d v="2024-12-12T00:00:00"/>
    <d v="2024-12-12T00:00:00"/>
    <n v="12"/>
    <x v="3"/>
    <m/>
    <m/>
    <m/>
    <m/>
    <m/>
    <m/>
    <m/>
    <n v="5000"/>
    <n v="8110.5573999999888"/>
    <m/>
    <m/>
    <x v="0"/>
    <x v="1"/>
    <x v="2"/>
    <x v="6"/>
    <x v="0"/>
    <x v="2"/>
    <x v="17"/>
    <x v="1"/>
    <s v="Edoardo Tubia"/>
    <x v="0"/>
    <m/>
  </r>
  <r>
    <d v="2024-12-12T00:00:00"/>
    <d v="2024-12-12T00:00:00"/>
    <n v="12"/>
    <x v="3"/>
    <m/>
    <m/>
    <m/>
    <s v="LUX"/>
    <n v="-4000"/>
    <n v="0.16"/>
    <n v="-640"/>
    <n v="-4640"/>
    <n v="3470.5573999999888"/>
    <m/>
    <m/>
    <x v="1"/>
    <x v="2"/>
    <x v="4"/>
    <x v="20"/>
    <x v="0"/>
    <x v="23"/>
    <x v="45"/>
    <x v="1"/>
    <s v="Olkypay"/>
    <x v="0"/>
    <s v="X"/>
  </r>
  <r>
    <d v="2024-12-23T00:00:00"/>
    <d v="2024-12-23T00:00:00"/>
    <n v="12"/>
    <x v="3"/>
    <m/>
    <m/>
    <m/>
    <m/>
    <m/>
    <m/>
    <m/>
    <n v="802.5"/>
    <n v="4273.0573999999888"/>
    <m/>
    <m/>
    <x v="1"/>
    <x v="2"/>
    <x v="5"/>
    <x v="13"/>
    <x v="1"/>
    <x v="24"/>
    <x v="38"/>
    <x v="1"/>
    <s v="Olkypay"/>
    <x v="3"/>
    <m/>
  </r>
  <r>
    <d v="2024-12-31T00:00:00"/>
    <d v="2024-12-31T00:00:00"/>
    <n v="12"/>
    <x v="3"/>
    <m/>
    <m/>
    <m/>
    <m/>
    <m/>
    <m/>
    <m/>
    <n v="-43.4"/>
    <n v="4229.6573999999891"/>
    <m/>
    <m/>
    <x v="1"/>
    <x v="2"/>
    <x v="4"/>
    <x v="11"/>
    <x v="0"/>
    <x v="7"/>
    <x v="33"/>
    <x v="1"/>
    <s v="Olkypay"/>
    <x v="0"/>
    <m/>
  </r>
  <r>
    <d v="2024-12-31T00:00:00"/>
    <d v="2024-12-31T00:00:00"/>
    <n v="12"/>
    <x v="3"/>
    <m/>
    <m/>
    <m/>
    <m/>
    <m/>
    <m/>
    <m/>
    <n v="-0.2"/>
    <n v="4229.4573999999893"/>
    <m/>
    <m/>
    <x v="1"/>
    <x v="2"/>
    <x v="4"/>
    <x v="11"/>
    <x v="0"/>
    <x v="7"/>
    <x v="33"/>
    <x v="1"/>
    <s v="Olkypay"/>
    <x v="0"/>
    <m/>
  </r>
  <r>
    <d v="2024-12-31T00:00:00"/>
    <d v="2024-12-31T00:00:00"/>
    <n v="12"/>
    <x v="3"/>
    <m/>
    <m/>
    <m/>
    <m/>
    <m/>
    <m/>
    <m/>
    <n v="-3210"/>
    <n v="1019.4573999999893"/>
    <m/>
    <m/>
    <x v="0"/>
    <x v="0"/>
    <x v="1"/>
    <x v="21"/>
    <x v="0"/>
    <x v="1"/>
    <x v="46"/>
    <x v="0"/>
    <m/>
    <x v="0"/>
    <m/>
  </r>
  <r>
    <d v="2024-12-31T00:00:00"/>
    <d v="2024-12-31T00:00:00"/>
    <n v="12"/>
    <x v="3"/>
    <m/>
    <m/>
    <m/>
    <m/>
    <m/>
    <m/>
    <m/>
    <n v="3210"/>
    <n v="4229.4573999999893"/>
    <m/>
    <m/>
    <x v="0"/>
    <x v="0"/>
    <x v="1"/>
    <x v="21"/>
    <x v="0"/>
    <x v="1"/>
    <x v="1"/>
    <x v="0"/>
    <s v="Sombra e Agua Fresca Resort Sàrl"/>
    <x v="0"/>
    <m/>
  </r>
  <r>
    <d v="2024-12-31T00:00:00"/>
    <d v="2024-12-31T00:00:00"/>
    <n v="12"/>
    <x v="3"/>
    <m/>
    <m/>
    <m/>
    <m/>
    <m/>
    <m/>
    <m/>
    <n v="1168.5999999999999"/>
    <n v="5398.0573999999888"/>
    <m/>
    <m/>
    <x v="0"/>
    <x v="0"/>
    <x v="1"/>
    <x v="1"/>
    <x v="0"/>
    <x v="1"/>
    <x v="2"/>
    <x v="0"/>
    <m/>
    <x v="0"/>
    <m/>
  </r>
  <r>
    <d v="2024-12-31T00:00:00"/>
    <d v="2024-12-31T00:00:00"/>
    <n v="12"/>
    <x v="3"/>
    <m/>
    <m/>
    <m/>
    <m/>
    <m/>
    <m/>
    <m/>
    <n v="-1168.5999999999999"/>
    <n v="4229.4573999999884"/>
    <m/>
    <m/>
    <x v="0"/>
    <x v="0"/>
    <x v="1"/>
    <x v="1"/>
    <x v="0"/>
    <x v="1"/>
    <x v="1"/>
    <x v="0"/>
    <s v="Sombra e Agua Fresca Resort Sàrl"/>
    <x v="0"/>
    <m/>
  </r>
  <r>
    <d v="2024-12-31T00:00:00"/>
    <d v="2024-12-31T00:00:00"/>
    <n v="12"/>
    <x v="3"/>
    <m/>
    <m/>
    <m/>
    <m/>
    <m/>
    <m/>
    <m/>
    <n v="-4655"/>
    <n v="-425.54260000001159"/>
    <m/>
    <m/>
    <x v="0"/>
    <x v="1"/>
    <x v="2"/>
    <x v="5"/>
    <x v="0"/>
    <x v="3"/>
    <x v="16"/>
    <x v="0"/>
    <m/>
    <x v="0"/>
    <m/>
  </r>
  <r>
    <d v="2024-12-31T00:00:00"/>
    <d v="2024-12-31T00:00:00"/>
    <n v="12"/>
    <x v="3"/>
    <m/>
    <m/>
    <m/>
    <m/>
    <m/>
    <m/>
    <m/>
    <n v="4655"/>
    <n v="4229.4573999999884"/>
    <m/>
    <m/>
    <x v="0"/>
    <x v="1"/>
    <x v="2"/>
    <x v="4"/>
    <x v="0"/>
    <x v="3"/>
    <x v="1"/>
    <x v="0"/>
    <s v="Sombra e Agua Fresca Resort Sàrl"/>
    <x v="0"/>
    <m/>
  </r>
  <r>
    <d v="2024-12-31T00:00:00"/>
    <d v="2024-12-31T00:00:00"/>
    <n v="12"/>
    <x v="3"/>
    <m/>
    <m/>
    <m/>
    <m/>
    <m/>
    <m/>
    <m/>
    <n v="-1605"/>
    <n v="2624.4573999999884"/>
    <m/>
    <m/>
    <x v="0"/>
    <x v="1"/>
    <x v="6"/>
    <x v="18"/>
    <x v="0"/>
    <x v="3"/>
    <x v="38"/>
    <x v="0"/>
    <m/>
    <x v="0"/>
    <m/>
  </r>
  <r>
    <d v="2024-12-31T00:00:00"/>
    <d v="2024-12-31T00:00:00"/>
    <n v="12"/>
    <x v="3"/>
    <m/>
    <m/>
    <m/>
    <m/>
    <m/>
    <m/>
    <m/>
    <n v="1605"/>
    <n v="4229.4573999999884"/>
    <m/>
    <m/>
    <x v="0"/>
    <x v="1"/>
    <x v="2"/>
    <x v="4"/>
    <x v="0"/>
    <x v="3"/>
    <x v="1"/>
    <x v="0"/>
    <s v="Sombra e Agua Fresca Resort Sàrl"/>
    <x v="0"/>
    <m/>
  </r>
  <r>
    <d v="2024-12-31T00:00:00"/>
    <d v="2024-12-31T00:00:00"/>
    <n v="12"/>
    <x v="3"/>
    <m/>
    <m/>
    <m/>
    <m/>
    <m/>
    <m/>
    <m/>
    <n v="13596.1"/>
    <n v="17825.557399999991"/>
    <m/>
    <m/>
    <x v="0"/>
    <x v="1"/>
    <x v="3"/>
    <x v="9"/>
    <x v="0"/>
    <x v="5"/>
    <x v="19"/>
    <x v="0"/>
    <m/>
    <x v="0"/>
    <m/>
  </r>
  <r>
    <d v="2024-12-31T00:00:00"/>
    <d v="2024-12-31T00:00:00"/>
    <n v="12"/>
    <x v="3"/>
    <m/>
    <m/>
    <m/>
    <m/>
    <m/>
    <m/>
    <m/>
    <n v="-13596.1"/>
    <n v="4229.4573999999902"/>
    <m/>
    <m/>
    <x v="0"/>
    <x v="1"/>
    <x v="3"/>
    <x v="9"/>
    <x v="0"/>
    <x v="5"/>
    <x v="1"/>
    <x v="0"/>
    <s v="Sombra e Agua Fresca Resort Sàrl"/>
    <x v="0"/>
    <m/>
  </r>
  <r>
    <d v="2024-12-31T00:00:00"/>
    <d v="2024-12-31T00:00:00"/>
    <n v="12"/>
    <x v="3"/>
    <m/>
    <m/>
    <m/>
    <m/>
    <m/>
    <m/>
    <m/>
    <n v="-13596.1"/>
    <n v="-9366.6426000000101"/>
    <m/>
    <m/>
    <x v="0"/>
    <x v="1"/>
    <x v="3"/>
    <x v="19"/>
    <x v="0"/>
    <x v="17"/>
    <x v="44"/>
    <x v="0"/>
    <m/>
    <x v="0"/>
    <m/>
  </r>
  <r>
    <d v="2024-12-31T00:00:00"/>
    <d v="2024-12-31T00:00:00"/>
    <n v="12"/>
    <x v="3"/>
    <m/>
    <m/>
    <m/>
    <m/>
    <m/>
    <m/>
    <m/>
    <n v="13596.1"/>
    <n v="4229.4573999999902"/>
    <m/>
    <m/>
    <x v="0"/>
    <x v="1"/>
    <x v="3"/>
    <x v="19"/>
    <x v="0"/>
    <x v="17"/>
    <x v="1"/>
    <x v="0"/>
    <s v="Sombra e Agua Fresca Resort Sàrl"/>
    <x v="0"/>
    <m/>
  </r>
  <r>
    <d v="2024-12-31T00:00:00"/>
    <d v="2024-12-31T00:00:00"/>
    <n v="12"/>
    <x v="3"/>
    <m/>
    <m/>
    <m/>
    <m/>
    <m/>
    <m/>
    <m/>
    <n v="-6967.17"/>
    <n v="-2737.7126000000098"/>
    <m/>
    <m/>
    <x v="0"/>
    <x v="1"/>
    <x v="3"/>
    <x v="9"/>
    <x v="0"/>
    <x v="5"/>
    <x v="19"/>
    <x v="0"/>
    <m/>
    <x v="0"/>
    <m/>
  </r>
  <r>
    <d v="2024-12-31T00:00:00"/>
    <d v="2024-12-31T00:00:00"/>
    <n v="12"/>
    <x v="3"/>
    <m/>
    <m/>
    <m/>
    <m/>
    <m/>
    <m/>
    <m/>
    <n v="6967.17"/>
    <n v="4229.4573999999902"/>
    <m/>
    <m/>
    <x v="0"/>
    <x v="1"/>
    <x v="3"/>
    <x v="9"/>
    <x v="0"/>
    <x v="5"/>
    <x v="1"/>
    <x v="0"/>
    <s v="Sombra e Agua Fresca Resort Sàrl"/>
    <x v="0"/>
    <m/>
  </r>
  <r>
    <d v="2025-01-01T00:00:00"/>
    <d v="2025-01-01T00:00:00"/>
    <n v="1"/>
    <x v="4"/>
    <m/>
    <m/>
    <m/>
    <m/>
    <m/>
    <m/>
    <m/>
    <n v="-19.899999999999999"/>
    <n v="4209.5573999999906"/>
    <m/>
    <m/>
    <x v="1"/>
    <x v="2"/>
    <x v="4"/>
    <x v="11"/>
    <x v="0"/>
    <x v="7"/>
    <x v="33"/>
    <x v="1"/>
    <s v="Olkypay"/>
    <x v="0"/>
    <m/>
  </r>
  <r>
    <d v="2025-01-14T00:00:00"/>
    <d v="2025-01-14T00:00:00"/>
    <n v="1"/>
    <x v="4"/>
    <m/>
    <m/>
    <m/>
    <s v="LUX"/>
    <n v="-10.43"/>
    <n v="0.17"/>
    <n v="-1.7731000000000001"/>
    <n v="-12.2"/>
    <n v="4197.3573999999908"/>
    <m/>
    <m/>
    <x v="1"/>
    <x v="2"/>
    <x v="4"/>
    <x v="16"/>
    <x v="0"/>
    <x v="25"/>
    <x v="47"/>
    <x v="1"/>
    <s v="Sombra e Agua Fresca Resort Sàrl"/>
    <x v="0"/>
    <s v="X"/>
  </r>
  <r>
    <d v="2025-02-01T00:00:00"/>
    <d v="2025-02-01T00:00:00"/>
    <n v="2"/>
    <x v="4"/>
    <m/>
    <m/>
    <m/>
    <m/>
    <m/>
    <m/>
    <m/>
    <n v="-20.100000000000001"/>
    <n v="4177.2573999999904"/>
    <m/>
    <m/>
    <x v="1"/>
    <x v="2"/>
    <x v="4"/>
    <x v="11"/>
    <x v="0"/>
    <x v="7"/>
    <x v="33"/>
    <x v="1"/>
    <s v="Olkypay"/>
    <x v="0"/>
    <m/>
  </r>
  <r>
    <d v="2025-02-10T00:00:00"/>
    <d v="2025-02-10T00:00:00"/>
    <n v="2"/>
    <x v="4"/>
    <m/>
    <m/>
    <m/>
    <m/>
    <m/>
    <m/>
    <m/>
    <n v="-401.25"/>
    <n v="3776.0073999999904"/>
    <m/>
    <m/>
    <x v="1"/>
    <x v="2"/>
    <x v="4"/>
    <x v="13"/>
    <x v="1"/>
    <x v="26"/>
    <x v="38"/>
    <x v="1"/>
    <s v="Olkypay"/>
    <x v="4"/>
    <m/>
  </r>
  <r>
    <d v="2025-03-01T00:00:00"/>
    <d v="2025-03-01T00:00:00"/>
    <n v="3"/>
    <x v="4"/>
    <m/>
    <m/>
    <m/>
    <m/>
    <m/>
    <m/>
    <m/>
    <n v="-20.100000000000001"/>
    <n v="3755.9073999999905"/>
    <m/>
    <m/>
    <x v="1"/>
    <x v="2"/>
    <x v="4"/>
    <x v="11"/>
    <x v="0"/>
    <x v="7"/>
    <x v="33"/>
    <x v="1"/>
    <s v="Olkypay"/>
    <x v="0"/>
    <m/>
  </r>
  <r>
    <d v="2025-04-01T00:00:00"/>
    <d v="2025-04-01T00:00:00"/>
    <n v="4"/>
    <x v="4"/>
    <m/>
    <m/>
    <m/>
    <m/>
    <m/>
    <m/>
    <m/>
    <n v="-19.899999999999999"/>
    <n v="3736.0073999999904"/>
    <m/>
    <m/>
    <x v="1"/>
    <x v="2"/>
    <x v="4"/>
    <x v="11"/>
    <x v="0"/>
    <x v="7"/>
    <x v="33"/>
    <x v="1"/>
    <s v="Olkypay"/>
    <x v="0"/>
    <m/>
  </r>
  <r>
    <d v="2025-04-01T00:00:00"/>
    <d v="2025-04-01T00:00:00"/>
    <n v="4"/>
    <x v="4"/>
    <m/>
    <m/>
    <m/>
    <m/>
    <m/>
    <m/>
    <m/>
    <n v="-40"/>
    <n v="3696.0073999999904"/>
    <m/>
    <m/>
    <x v="1"/>
    <x v="2"/>
    <x v="4"/>
    <x v="11"/>
    <x v="0"/>
    <x v="7"/>
    <x v="33"/>
    <x v="1"/>
    <s v="Olkypay"/>
    <x v="0"/>
    <m/>
  </r>
  <r>
    <d v="2025-04-15T00:00:00"/>
    <d v="2025-04-15T00:00:00"/>
    <n v="4"/>
    <x v="4"/>
    <m/>
    <m/>
    <m/>
    <s v="LUX"/>
    <n v="-10.43"/>
    <n v="0.17"/>
    <n v="-1.7731000000000001"/>
    <n v="-12.2"/>
    <n v="3683.8073999999906"/>
    <m/>
    <m/>
    <x v="1"/>
    <x v="2"/>
    <x v="4"/>
    <x v="16"/>
    <x v="0"/>
    <x v="25"/>
    <x v="47"/>
    <x v="1"/>
    <s v="Sombra e Agua Fresca Resort Sàrl"/>
    <x v="0"/>
    <s v="X"/>
  </r>
  <r>
    <d v="2025-05-01T00:00:00"/>
    <d v="2025-05-01T00:00:00"/>
    <n v="5"/>
    <x v="4"/>
    <m/>
    <m/>
    <m/>
    <m/>
    <m/>
    <m/>
    <m/>
    <n v="-20.309999999999999"/>
    <n v="3663.4973999999906"/>
    <m/>
    <m/>
    <x v="1"/>
    <x v="2"/>
    <x v="4"/>
    <x v="11"/>
    <x v="0"/>
    <x v="7"/>
    <x v="33"/>
    <x v="1"/>
    <s v="Olkypay"/>
    <x v="0"/>
    <m/>
  </r>
  <r>
    <d v="2025-06-01T00:00:00"/>
    <d v="2025-06-01T00:00:00"/>
    <n v="6"/>
    <x v="4"/>
    <m/>
    <m/>
    <m/>
    <m/>
    <m/>
    <m/>
    <m/>
    <n v="-19.899999999999999"/>
    <n v="3643.5973999999906"/>
    <m/>
    <m/>
    <x v="1"/>
    <x v="2"/>
    <x v="4"/>
    <x v="11"/>
    <x v="0"/>
    <x v="7"/>
    <x v="33"/>
    <x v="1"/>
    <s v="Olkypay"/>
    <x v="0"/>
    <m/>
  </r>
  <r>
    <d v="2025-06-13T00:00:00"/>
    <d v="2025-06-13T00:00:00"/>
    <n v="6"/>
    <x v="4"/>
    <m/>
    <m/>
    <m/>
    <m/>
    <m/>
    <m/>
    <m/>
    <n v="-401.25"/>
    <n v="3242.3473999999906"/>
    <m/>
    <m/>
    <x v="1"/>
    <x v="2"/>
    <x v="4"/>
    <x v="13"/>
    <x v="1"/>
    <x v="26"/>
    <x v="38"/>
    <x v="1"/>
    <s v="Olkypay"/>
    <x v="4"/>
    <m/>
  </r>
  <r>
    <d v="2025-07-01T00:00:00"/>
    <d v="2025-07-01T00:00:00"/>
    <n v="7"/>
    <x v="4"/>
    <m/>
    <m/>
    <m/>
    <m/>
    <m/>
    <m/>
    <m/>
    <n v="-20.5"/>
    <n v="3221.8473999999906"/>
    <m/>
    <m/>
    <x v="1"/>
    <x v="2"/>
    <x v="4"/>
    <x v="11"/>
    <x v="0"/>
    <x v="7"/>
    <x v="33"/>
    <x v="1"/>
    <s v="Olkypay"/>
    <x v="0"/>
    <m/>
  </r>
  <r>
    <d v="2025-07-01T00:00:00"/>
    <d v="2025-07-01T00:00:00"/>
    <n v="7"/>
    <x v="4"/>
    <m/>
    <m/>
    <m/>
    <m/>
    <m/>
    <m/>
    <m/>
    <n v="-40"/>
    <n v="3181.8473999999906"/>
    <m/>
    <m/>
    <x v="1"/>
    <x v="2"/>
    <x v="4"/>
    <x v="11"/>
    <x v="0"/>
    <x v="7"/>
    <x v="33"/>
    <x v="1"/>
    <s v="Olkypay"/>
    <x v="0"/>
    <m/>
  </r>
  <r>
    <d v="2025-07-10T00:00:00"/>
    <d v="2025-07-10T00:00:00"/>
    <n v="7"/>
    <x v="4"/>
    <m/>
    <m/>
    <m/>
    <m/>
    <m/>
    <m/>
    <m/>
    <n v="-350"/>
    <n v="2831.8473999999906"/>
    <m/>
    <m/>
    <x v="1"/>
    <x v="2"/>
    <x v="4"/>
    <x v="17"/>
    <x v="0"/>
    <x v="16"/>
    <x v="43"/>
    <x v="1"/>
    <s v="Olkypay"/>
    <x v="0"/>
    <m/>
  </r>
  <r>
    <d v="2025-07-22T00:00:00"/>
    <d v="2025-07-22T00:00:00"/>
    <n v="7"/>
    <x v="4"/>
    <m/>
    <m/>
    <m/>
    <m/>
    <m/>
    <m/>
    <m/>
    <n v="-401.25"/>
    <n v="2430.5973999999906"/>
    <m/>
    <m/>
    <x v="1"/>
    <x v="2"/>
    <x v="4"/>
    <x v="13"/>
    <x v="1"/>
    <x v="26"/>
    <x v="38"/>
    <x v="1"/>
    <s v="Olkypay"/>
    <x v="4"/>
    <m/>
  </r>
  <r>
    <d v="2025-08-01T00:00:00"/>
    <d v="2025-08-01T00:00:00"/>
    <n v="8"/>
    <x v="4"/>
    <m/>
    <m/>
    <m/>
    <m/>
    <m/>
    <m/>
    <m/>
    <n v="-21.08"/>
    <n v="2409.5173999999906"/>
    <m/>
    <m/>
    <x v="1"/>
    <x v="2"/>
    <x v="4"/>
    <x v="11"/>
    <x v="0"/>
    <x v="7"/>
    <x v="33"/>
    <x v="1"/>
    <s v="Olkypay"/>
    <x v="0"/>
    <m/>
  </r>
  <r>
    <d v="2025-09-01T00:00:00"/>
    <d v="2025-09-01T00:00:00"/>
    <n v="9"/>
    <x v="4"/>
    <m/>
    <m/>
    <m/>
    <m/>
    <m/>
    <m/>
    <m/>
    <n v="-19.899999999999999"/>
    <n v="2389.6173999999905"/>
    <m/>
    <m/>
    <x v="1"/>
    <x v="2"/>
    <x v="4"/>
    <x v="11"/>
    <x v="0"/>
    <x v="7"/>
    <x v="33"/>
    <x v="1"/>
    <s v="Olkypay"/>
    <x v="0"/>
    <m/>
  </r>
  <r>
    <d v="2025-10-01T00:00:00"/>
    <d v="2025-10-01T00:00:00"/>
    <n v="10"/>
    <x v="4"/>
    <m/>
    <m/>
    <m/>
    <m/>
    <m/>
    <m/>
    <m/>
    <n v="-19.899999999999999"/>
    <n v="2369.7173999999904"/>
    <m/>
    <m/>
    <x v="1"/>
    <x v="2"/>
    <x v="4"/>
    <x v="11"/>
    <x v="0"/>
    <x v="7"/>
    <x v="33"/>
    <x v="1"/>
    <s v="Olkypay"/>
    <x v="0"/>
    <m/>
  </r>
  <r>
    <d v="2025-10-31T00:00:00"/>
    <d v="2025-10-31T00:00:00"/>
    <n v="10"/>
    <x v="4"/>
    <m/>
    <m/>
    <m/>
    <m/>
    <m/>
    <m/>
    <m/>
    <n v="4000"/>
    <n v="6369.7173999999904"/>
    <m/>
    <m/>
    <x v="0"/>
    <x v="1"/>
    <x v="2"/>
    <x v="6"/>
    <x v="0"/>
    <x v="2"/>
    <x v="17"/>
    <x v="1"/>
    <s v="Edoardo Tubia"/>
    <x v="0"/>
    <m/>
  </r>
  <r>
    <d v="2025-11-01T00:00:00"/>
    <d v="2025-11-01T00:00:00"/>
    <n v="11"/>
    <x v="4"/>
    <m/>
    <m/>
    <m/>
    <m/>
    <m/>
    <m/>
    <m/>
    <n v="-19.899999999999999"/>
    <n v="6349.8173999999908"/>
    <m/>
    <m/>
    <x v="1"/>
    <x v="2"/>
    <x v="4"/>
    <x v="11"/>
    <x v="0"/>
    <x v="7"/>
    <x v="33"/>
    <x v="1"/>
    <s v="Olkypay"/>
    <x v="0"/>
    <m/>
  </r>
  <r>
    <d v="2025-11-03T00:00:00"/>
    <d v="2025-11-03T00:00:00"/>
    <n v="11"/>
    <x v="4"/>
    <m/>
    <m/>
    <m/>
    <s v="LUX"/>
    <n v="-4000"/>
    <n v="0.17"/>
    <n v="-680"/>
    <n v="-4680"/>
    <n v="1669.8173999999908"/>
    <m/>
    <m/>
    <x v="1"/>
    <x v="2"/>
    <x v="4"/>
    <x v="20"/>
    <x v="0"/>
    <x v="27"/>
    <x v="45"/>
    <x v="1"/>
    <s v="Olkypay"/>
    <x v="0"/>
    <s v="X"/>
  </r>
  <r>
    <d v="2025-11-03T00:00:00"/>
    <d v="2025-11-03T00:00:00"/>
    <n v="11"/>
    <x v="4"/>
    <m/>
    <m/>
    <m/>
    <m/>
    <m/>
    <m/>
    <m/>
    <n v="-401.25"/>
    <n v="1268.5673999999908"/>
    <m/>
    <m/>
    <x v="1"/>
    <x v="2"/>
    <x v="4"/>
    <x v="13"/>
    <x v="1"/>
    <x v="26"/>
    <x v="38"/>
    <x v="1"/>
    <s v="Olkypay"/>
    <x v="4"/>
    <m/>
  </r>
  <r>
    <d v="2025-12-01T00:00:00"/>
    <d v="2025-12-01T00:00:00"/>
    <n v="12"/>
    <x v="4"/>
    <m/>
    <m/>
    <m/>
    <m/>
    <m/>
    <m/>
    <m/>
    <n v="-23.24"/>
    <n v="1245.3273999999908"/>
    <m/>
    <m/>
    <x v="1"/>
    <x v="2"/>
    <x v="4"/>
    <x v="11"/>
    <x v="0"/>
    <x v="7"/>
    <x v="33"/>
    <x v="1"/>
    <s v="Olkypay"/>
    <x v="0"/>
    <m/>
  </r>
  <r>
    <d v="2025-12-08T00:00:00"/>
    <d v="2025-12-08T00:00:00"/>
    <n v="12"/>
    <x v="4"/>
    <n v="-62000"/>
    <m/>
    <n v="6.2"/>
    <m/>
    <m/>
    <m/>
    <m/>
    <n v="10000"/>
    <n v="11245.327399999991"/>
    <m/>
    <m/>
    <x v="0"/>
    <x v="3"/>
    <x v="4"/>
    <x v="22"/>
    <x v="0"/>
    <x v="28"/>
    <x v="48"/>
    <x v="1"/>
    <s v="Olkypay"/>
    <x v="0"/>
    <m/>
  </r>
  <r>
    <d v="2025-12-30T00:00:00"/>
    <d v="2025-12-30T00:00:00"/>
    <n v="12"/>
    <x v="4"/>
    <m/>
    <m/>
    <m/>
    <m/>
    <m/>
    <m/>
    <m/>
    <n v="-1000"/>
    <n v="10245.327399999991"/>
    <m/>
    <m/>
    <x v="0"/>
    <x v="1"/>
    <x v="2"/>
    <x v="6"/>
    <x v="0"/>
    <x v="2"/>
    <x v="17"/>
    <x v="1"/>
    <s v="Edoardo Tubia"/>
    <x v="0"/>
    <m/>
  </r>
  <r>
    <d v="2025-12-31T00:00:00"/>
    <d v="2025-12-31T00:00:00"/>
    <n v="12"/>
    <x v="4"/>
    <m/>
    <m/>
    <m/>
    <m/>
    <m/>
    <m/>
    <m/>
    <n v="-51.2"/>
    <n v="10194.12739999999"/>
    <m/>
    <m/>
    <x v="1"/>
    <x v="2"/>
    <x v="4"/>
    <x v="11"/>
    <x v="0"/>
    <x v="7"/>
    <x v="33"/>
    <x v="1"/>
    <s v="Olkypay"/>
    <x v="0"/>
    <m/>
  </r>
  <r>
    <d v="2025-12-31T00:00:00"/>
    <d v="2025-12-31T00:00:00"/>
    <n v="12"/>
    <x v="4"/>
    <m/>
    <m/>
    <m/>
    <m/>
    <m/>
    <m/>
    <m/>
    <n v="-0.9"/>
    <n v="10193.227399999991"/>
    <m/>
    <m/>
    <x v="1"/>
    <x v="2"/>
    <x v="4"/>
    <x v="11"/>
    <x v="0"/>
    <x v="7"/>
    <x v="33"/>
    <x v="1"/>
    <s v="Olkypay"/>
    <x v="0"/>
    <m/>
  </r>
  <r>
    <d v="2026-01-01T00:00:00"/>
    <d v="2026-01-01T00:00:00"/>
    <n v="1"/>
    <x v="5"/>
    <m/>
    <m/>
    <m/>
    <m/>
    <m/>
    <m/>
    <m/>
    <n v="-19.899999999999999"/>
    <n v="10173.327399999991"/>
    <m/>
    <m/>
    <x v="1"/>
    <x v="2"/>
    <x v="4"/>
    <x v="11"/>
    <x v="0"/>
    <x v="7"/>
    <x v="33"/>
    <x v="1"/>
    <s v="Olkypay"/>
    <x v="0"/>
    <m/>
  </r>
  <r>
    <d v="2026-01-30T00:00:00"/>
    <d v="2026-01-30T00:00:00"/>
    <n v="1"/>
    <x v="5"/>
    <m/>
    <m/>
    <m/>
    <m/>
    <m/>
    <m/>
    <m/>
    <n v="-40"/>
    <n v="10133.327399999991"/>
    <m/>
    <m/>
    <x v="1"/>
    <x v="2"/>
    <x v="4"/>
    <x v="11"/>
    <x v="0"/>
    <x v="7"/>
    <x v="33"/>
    <x v="1"/>
    <s v="Olkypay"/>
    <x v="0"/>
    <m/>
  </r>
  <r>
    <d v="2026-02-01T00:00:00"/>
    <d v="2026-02-01T00:00:00"/>
    <n v="2"/>
    <x v="5"/>
    <m/>
    <m/>
    <m/>
    <m/>
    <m/>
    <m/>
    <m/>
    <n v="-19.899999999999999"/>
    <n v="10113.427399999991"/>
    <m/>
    <m/>
    <x v="1"/>
    <x v="2"/>
    <x v="4"/>
    <x v="11"/>
    <x v="0"/>
    <x v="7"/>
    <x v="33"/>
    <x v="1"/>
    <s v="Olkypay"/>
    <x v="0"/>
    <m/>
  </r>
  <r>
    <d v="2026-02-10T00:00:00"/>
    <d v="2026-02-10T00:00:00"/>
    <n v="2"/>
    <x v="5"/>
    <m/>
    <m/>
    <m/>
    <m/>
    <m/>
    <m/>
    <m/>
    <n v="-401.25"/>
    <n v="9712.1773999999914"/>
    <m/>
    <m/>
    <x v="1"/>
    <x v="2"/>
    <x v="4"/>
    <x v="13"/>
    <x v="1"/>
    <x v="29"/>
    <x v="38"/>
    <x v="1"/>
    <s v="Sombra e Agua Fresca Resort Sàrl"/>
    <x v="5"/>
    <m/>
  </r>
  <r>
    <d v="2026-03-02T00:00:00"/>
    <d v="2026-03-02T00:00:00"/>
    <n v="3"/>
    <x v="5"/>
    <m/>
    <m/>
    <m/>
    <m/>
    <m/>
    <m/>
    <m/>
    <n v="-20.5"/>
    <n v="9691.6773999999914"/>
    <m/>
    <m/>
    <x v="1"/>
    <x v="2"/>
    <x v="4"/>
    <x v="11"/>
    <x v="0"/>
    <x v="7"/>
    <x v="33"/>
    <x v="1"/>
    <s v="Olkypay"/>
    <x v="0"/>
    <m/>
  </r>
  <r>
    <d v="2026-03-04T00:00:00"/>
    <d v="2026-03-04T00:00:00"/>
    <n v="3"/>
    <x v="5"/>
    <m/>
    <m/>
    <m/>
    <m/>
    <m/>
    <m/>
    <m/>
    <n v="-1000"/>
    <n v="8691.6773999999914"/>
    <m/>
    <m/>
    <x v="0"/>
    <x v="1"/>
    <x v="2"/>
    <x v="6"/>
    <x v="0"/>
    <x v="2"/>
    <x v="17"/>
    <x v="1"/>
    <s v="Edoardo Tubia"/>
    <x v="0"/>
    <m/>
  </r>
  <r>
    <d v="2026-03-04T00:00:00"/>
    <d v="2026-03-04T00:00:00"/>
    <n v="3"/>
    <x v="5"/>
    <m/>
    <m/>
    <m/>
    <m/>
    <m/>
    <m/>
    <m/>
    <n v="1000"/>
    <n v="9691.6773999999914"/>
    <m/>
    <m/>
    <x v="0"/>
    <x v="1"/>
    <x v="2"/>
    <x v="6"/>
    <x v="0"/>
    <x v="2"/>
    <x v="17"/>
    <x v="2"/>
    <s v="Edoardo Tubia"/>
    <x v="0"/>
    <m/>
  </r>
  <r>
    <d v="2026-03-04T00:00:00"/>
    <d v="2026-03-04T00:00:00"/>
    <n v="3"/>
    <x v="5"/>
    <m/>
    <m/>
    <m/>
    <m/>
    <m/>
    <m/>
    <m/>
    <n v="-10"/>
    <n v="9681.6773999999914"/>
    <m/>
    <m/>
    <x v="1"/>
    <x v="2"/>
    <x v="4"/>
    <x v="11"/>
    <x v="0"/>
    <x v="7"/>
    <x v="49"/>
    <x v="2"/>
    <s v="Revolut"/>
    <x v="0"/>
    <m/>
  </r>
  <r>
    <d v="2026-03-06T00:00:00"/>
    <d v="2026-03-06T00:00:00"/>
    <n v="3"/>
    <x v="5"/>
    <m/>
    <m/>
    <m/>
    <m/>
    <m/>
    <m/>
    <m/>
    <n v="-4000"/>
    <n v="5681.6773999999914"/>
    <m/>
    <m/>
    <x v="0"/>
    <x v="1"/>
    <x v="2"/>
    <x v="6"/>
    <x v="0"/>
    <x v="2"/>
    <x v="17"/>
    <x v="1"/>
    <s v="Edoardo Tubia"/>
    <x v="0"/>
    <m/>
  </r>
  <r>
    <d v="2026-03-09T00:00:00"/>
    <d v="2026-03-09T00:00:00"/>
    <n v="3"/>
    <x v="5"/>
    <m/>
    <m/>
    <m/>
    <m/>
    <m/>
    <m/>
    <m/>
    <n v="4000"/>
    <n v="9681.6773999999914"/>
    <m/>
    <m/>
    <x v="0"/>
    <x v="1"/>
    <x v="2"/>
    <x v="6"/>
    <x v="0"/>
    <x v="2"/>
    <x v="17"/>
    <x v="2"/>
    <s v="Edoardo Tubia"/>
    <x v="0"/>
    <m/>
  </r>
  <r>
    <d v="2026-03-09T00:00:00"/>
    <d v="2026-03-09T00:00:00"/>
    <n v="3"/>
    <x v="5"/>
    <m/>
    <m/>
    <m/>
    <m/>
    <m/>
    <m/>
    <m/>
    <n v="-4000"/>
    <n v="5681.6773999999914"/>
    <m/>
    <m/>
    <x v="0"/>
    <x v="1"/>
    <x v="2"/>
    <x v="6"/>
    <x v="0"/>
    <x v="2"/>
    <x v="17"/>
    <x v="1"/>
    <s v="Edoardo Tubia"/>
    <x v="0"/>
    <m/>
  </r>
  <r>
    <d v="2026-03-09T00:00:00"/>
    <d v="2026-03-09T00:00:00"/>
    <n v="3"/>
    <x v="5"/>
    <m/>
    <m/>
    <m/>
    <m/>
    <m/>
    <m/>
    <m/>
    <n v="4000"/>
    <n v="9681.6773999999914"/>
    <m/>
    <m/>
    <x v="0"/>
    <x v="1"/>
    <x v="2"/>
    <x v="6"/>
    <x v="0"/>
    <x v="2"/>
    <x v="17"/>
    <x v="2"/>
    <s v="Edoardo Tubia"/>
    <x v="0"/>
    <m/>
  </r>
  <r>
    <d v="2026-03-11T00:00:00"/>
    <d v="2026-03-11T00:00:00"/>
    <n v="3"/>
    <x v="5"/>
    <m/>
    <m/>
    <m/>
    <m/>
    <m/>
    <m/>
    <m/>
    <n v="-5.7"/>
    <n v="9675.9773999999907"/>
    <m/>
    <m/>
    <x v="1"/>
    <x v="2"/>
    <x v="4"/>
    <x v="11"/>
    <x v="0"/>
    <x v="7"/>
    <x v="33"/>
    <x v="1"/>
    <s v="Olkypay"/>
    <x v="0"/>
    <m/>
  </r>
  <r>
    <d v="2026-03-11T00:00:00"/>
    <d v="2026-03-11T00:00:00"/>
    <n v="3"/>
    <x v="5"/>
    <m/>
    <m/>
    <m/>
    <m/>
    <m/>
    <m/>
    <m/>
    <n v="585.98"/>
    <n v="10261.95739999999"/>
    <m/>
    <m/>
    <x v="0"/>
    <x v="1"/>
    <x v="2"/>
    <x v="6"/>
    <x v="0"/>
    <x v="2"/>
    <x v="17"/>
    <x v="2"/>
    <s v="Edoardo Tubia"/>
    <x v="0"/>
    <m/>
  </r>
  <r>
    <d v="2026-03-12T00:00:00"/>
    <d v="2026-03-12T00:00:00"/>
    <n v="3"/>
    <x v="5"/>
    <m/>
    <m/>
    <m/>
    <m/>
    <m/>
    <m/>
    <m/>
    <n v="-585.98"/>
    <n v="9675.9773999999907"/>
    <m/>
    <m/>
    <x v="0"/>
    <x v="1"/>
    <x v="2"/>
    <x v="6"/>
    <x v="0"/>
    <x v="2"/>
    <x v="17"/>
    <x v="1"/>
    <s v="Edoardo Tubia"/>
    <x v="0"/>
    <m/>
  </r>
  <r>
    <d v="2026-04-01T00:00:00"/>
    <d v="2026-04-01T00:00:00"/>
    <n v="4"/>
    <x v="5"/>
    <m/>
    <m/>
    <m/>
    <m/>
    <m/>
    <m/>
    <m/>
    <n v="-40"/>
    <n v="9635.9773999999907"/>
    <m/>
    <m/>
    <x v="1"/>
    <x v="2"/>
    <x v="4"/>
    <x v="11"/>
    <x v="0"/>
    <x v="7"/>
    <x v="33"/>
    <x v="1"/>
    <s v="Olkypay"/>
    <x v="0"/>
    <m/>
  </r>
  <r>
    <d v="2026-04-01T00:00:00"/>
    <d v="2026-04-01T00:00:00"/>
    <n v="4"/>
    <x v="5"/>
    <m/>
    <m/>
    <m/>
    <m/>
    <m/>
    <m/>
    <m/>
    <n v="-0.69"/>
    <n v="9635.2873999999902"/>
    <m/>
    <m/>
    <x v="1"/>
    <x v="2"/>
    <x v="4"/>
    <x v="11"/>
    <x v="0"/>
    <x v="7"/>
    <x v="33"/>
    <x v="1"/>
    <s v="Olkypay"/>
    <x v="0"/>
    <m/>
  </r>
  <r>
    <d v="2026-04-01T00:00:00"/>
    <d v="2026-04-01T00:00:00"/>
    <n v="4"/>
    <x v="5"/>
    <m/>
    <m/>
    <m/>
    <m/>
    <m/>
    <m/>
    <m/>
    <n v="-19.899999999999999"/>
    <n v="9615.3873999999905"/>
    <m/>
    <m/>
    <x v="1"/>
    <x v="2"/>
    <x v="4"/>
    <x v="11"/>
    <x v="0"/>
    <x v="7"/>
    <x v="33"/>
    <x v="1"/>
    <s v="Olkypay"/>
    <x v="0"/>
    <m/>
  </r>
  <r>
    <d v="2026-04-02T00:00:00"/>
    <d v="2026-04-02T00:00:00"/>
    <n v="4"/>
    <x v="5"/>
    <m/>
    <m/>
    <m/>
    <m/>
    <m/>
    <m/>
    <m/>
    <n v="-10"/>
    <n v="9605.3873999999905"/>
    <m/>
    <m/>
    <x v="1"/>
    <x v="2"/>
    <x v="4"/>
    <x v="11"/>
    <x v="0"/>
    <x v="7"/>
    <x v="49"/>
    <x v="2"/>
    <s v="Revolut"/>
    <x v="0"/>
    <m/>
  </r>
  <r>
    <d v="2026-04-02T00:00:00"/>
    <d v="2026-04-02T00:00:00"/>
    <n v="4"/>
    <x v="5"/>
    <m/>
    <m/>
    <m/>
    <m/>
    <m/>
    <m/>
    <m/>
    <n v="-16"/>
    <n v="9589.3873999999905"/>
    <m/>
    <m/>
    <x v="1"/>
    <x v="2"/>
    <x v="4"/>
    <x v="11"/>
    <x v="0"/>
    <x v="7"/>
    <x v="49"/>
    <x v="2"/>
    <s v="Revolut"/>
    <x v="0"/>
    <m/>
  </r>
  <r>
    <d v="2026-05-02T00:00:00"/>
    <d v="2026-05-02T00:00:00"/>
    <n v="5"/>
    <x v="5"/>
    <m/>
    <m/>
    <m/>
    <m/>
    <m/>
    <m/>
    <m/>
    <n v="-19.899999999999999"/>
    <n v="9569.4873999999909"/>
    <m/>
    <m/>
    <x v="1"/>
    <x v="2"/>
    <x v="4"/>
    <x v="11"/>
    <x v="0"/>
    <x v="7"/>
    <x v="33"/>
    <x v="1"/>
    <s v="Olkypay"/>
    <x v="0"/>
    <m/>
  </r>
  <r>
    <d v="2026-05-02T00:00:00"/>
    <d v="2026-05-02T00:00:00"/>
    <n v="5"/>
    <x v="5"/>
    <m/>
    <m/>
    <m/>
    <m/>
    <m/>
    <m/>
    <m/>
    <n v="-10"/>
    <n v="9559.4873999999909"/>
    <m/>
    <m/>
    <x v="1"/>
    <x v="2"/>
    <x v="4"/>
    <x v="11"/>
    <x v="0"/>
    <x v="7"/>
    <x v="49"/>
    <x v="2"/>
    <s v="Revolut"/>
    <x v="0"/>
    <m/>
  </r>
  <r>
    <d v="2026-05-02T00:00:00"/>
    <d v="2026-05-02T00:00:00"/>
    <n v="5"/>
    <x v="5"/>
    <m/>
    <m/>
    <m/>
    <m/>
    <m/>
    <m/>
    <m/>
    <n v="-8"/>
    <n v="9551.4873999999909"/>
    <m/>
    <m/>
    <x v="1"/>
    <x v="2"/>
    <x v="4"/>
    <x v="11"/>
    <x v="0"/>
    <x v="7"/>
    <x v="49"/>
    <x v="2"/>
    <s v="Revolut"/>
    <x v="0"/>
    <m/>
  </r>
  <r>
    <d v="2026-05-19T00:00:00"/>
    <d v="2026-05-19T00:00:00"/>
    <n v="5"/>
    <x v="5"/>
    <m/>
    <m/>
    <m/>
    <m/>
    <m/>
    <m/>
    <m/>
    <n v="-19.510000000000002"/>
    <n v="9531.9773999999907"/>
    <m/>
    <m/>
    <x v="1"/>
    <x v="2"/>
    <x v="4"/>
    <x v="11"/>
    <x v="0"/>
    <x v="7"/>
    <x v="33"/>
    <x v="1"/>
    <s v="Olkypay"/>
    <x v="0"/>
    <m/>
  </r>
  <r>
    <d v="2026-05-21T00:00:00"/>
    <d v="2026-05-21T00:00:00"/>
    <n v="5"/>
    <x v="5"/>
    <m/>
    <m/>
    <m/>
    <m/>
    <m/>
    <m/>
    <m/>
    <n v="19.510000000000002"/>
    <n v="9551.4873999999909"/>
    <m/>
    <m/>
    <x v="1"/>
    <x v="2"/>
    <x v="4"/>
    <x v="11"/>
    <x v="0"/>
    <x v="7"/>
    <x v="49"/>
    <x v="2"/>
    <s v="Olkypay"/>
    <x v="0"/>
    <m/>
  </r>
  <r>
    <d v="2026-05-21T00:00:00"/>
    <d v="2026-05-21T00:00:00"/>
    <n v="5"/>
    <x v="5"/>
    <m/>
    <m/>
    <m/>
    <m/>
    <m/>
    <m/>
    <m/>
    <n v="-401.25"/>
    <n v="9150.2373999999909"/>
    <m/>
    <m/>
    <x v="1"/>
    <x v="2"/>
    <x v="4"/>
    <x v="13"/>
    <x v="1"/>
    <x v="29"/>
    <x v="38"/>
    <x v="2"/>
    <s v="Sombra e Agua Fresca Resort Sàrl"/>
    <x v="5"/>
    <m/>
  </r>
  <r>
    <d v="2026-06-02T00:00:00"/>
    <d v="2026-06-02T00:00:00"/>
    <n v="6"/>
    <x v="5"/>
    <m/>
    <m/>
    <m/>
    <m/>
    <m/>
    <m/>
    <m/>
    <n v="-10"/>
    <n v="9140.2373999999909"/>
    <m/>
    <m/>
    <x v="1"/>
    <x v="2"/>
    <x v="4"/>
    <x v="11"/>
    <x v="0"/>
    <x v="7"/>
    <x v="49"/>
    <x v="2"/>
    <s v="Revolut"/>
    <x v="0"/>
    <m/>
  </r>
  <r>
    <d v="2026-06-02T00:00:00"/>
    <d v="2026-06-02T00:00:00"/>
    <n v="6"/>
    <x v="5"/>
    <m/>
    <m/>
    <m/>
    <m/>
    <m/>
    <m/>
    <m/>
    <n v="-8"/>
    <n v="9132.2373999999909"/>
    <m/>
    <m/>
    <x v="1"/>
    <x v="2"/>
    <x v="4"/>
    <x v="11"/>
    <x v="0"/>
    <x v="7"/>
    <x v="49"/>
    <x v="2"/>
    <s v="Revolut"/>
    <x v="0"/>
    <m/>
  </r>
  <r>
    <d v="2026-06-30T00:00:00"/>
    <d v="2026-06-30T00:00:00"/>
    <n v="6"/>
    <x v="5"/>
    <m/>
    <m/>
    <m/>
    <m/>
    <m/>
    <m/>
    <m/>
    <n v="-43434.36"/>
    <n v="-34302.12260000001"/>
    <s v="H"/>
    <m/>
    <x v="0"/>
    <x v="1"/>
    <x v="2"/>
    <x v="2"/>
    <x v="0"/>
    <x v="2"/>
    <x v="11"/>
    <x v="0"/>
    <s v="Edoardo Tubia"/>
    <x v="0"/>
    <m/>
  </r>
  <r>
    <d v="2026-06-30T00:00:00"/>
    <d v="2026-06-30T00:00:00"/>
    <n v="6"/>
    <x v="5"/>
    <m/>
    <m/>
    <m/>
    <m/>
    <m/>
    <m/>
    <m/>
    <n v="43434.36"/>
    <n v="9132.2373999999909"/>
    <s v="H"/>
    <m/>
    <x v="0"/>
    <x v="1"/>
    <x v="2"/>
    <x v="2"/>
    <x v="0"/>
    <x v="2"/>
    <x v="14"/>
    <x v="0"/>
    <s v="New Life Sàrl"/>
    <x v="0"/>
    <m/>
  </r>
  <r>
    <d v="2026-06-30T00:00:00"/>
    <d v="2026-06-30T00:00:00"/>
    <n v="6"/>
    <x v="5"/>
    <m/>
    <m/>
    <m/>
    <m/>
    <m/>
    <m/>
    <m/>
    <n v="-520"/>
    <n v="8612.2373999999909"/>
    <s v="H"/>
    <n v="-520"/>
    <x v="0"/>
    <x v="1"/>
    <x v="3"/>
    <x v="10"/>
    <x v="0"/>
    <x v="6"/>
    <x v="23"/>
    <x v="0"/>
    <s v="Tubia Edoardo"/>
    <x v="0"/>
    <m/>
  </r>
  <r>
    <d v="2026-06-30T00:00:00"/>
    <d v="2026-06-30T00:00:00"/>
    <n v="6"/>
    <x v="5"/>
    <m/>
    <m/>
    <m/>
    <m/>
    <m/>
    <m/>
    <m/>
    <n v="520"/>
    <n v="9132.2373999999909"/>
    <s v="H"/>
    <n v="520"/>
    <x v="0"/>
    <x v="1"/>
    <x v="3"/>
    <x v="10"/>
    <x v="0"/>
    <x v="6"/>
    <x v="22"/>
    <x v="0"/>
    <s v="New Life Sàrl"/>
    <x v="0"/>
    <m/>
  </r>
  <r>
    <d v="2026-06-30T00:00:00"/>
    <d v="2026-06-30T00:00:00"/>
    <n v="6"/>
    <x v="5"/>
    <m/>
    <m/>
    <m/>
    <m/>
    <m/>
    <m/>
    <m/>
    <n v="-135"/>
    <n v="8997.2373999999909"/>
    <s v="F"/>
    <n v="-135"/>
    <x v="0"/>
    <x v="1"/>
    <x v="3"/>
    <x v="10"/>
    <x v="0"/>
    <x v="6"/>
    <x v="23"/>
    <x v="0"/>
    <s v="Tubia Edoardo"/>
    <x v="0"/>
    <m/>
  </r>
  <r>
    <d v="2026-06-30T00:00:00"/>
    <d v="2026-06-30T00:00:00"/>
    <n v="6"/>
    <x v="5"/>
    <m/>
    <m/>
    <m/>
    <m/>
    <m/>
    <m/>
    <m/>
    <n v="135"/>
    <n v="9132.2373999999909"/>
    <s v="F"/>
    <n v="135"/>
    <x v="0"/>
    <x v="1"/>
    <x v="3"/>
    <x v="10"/>
    <x v="0"/>
    <x v="6"/>
    <x v="22"/>
    <x v="0"/>
    <s v="New Life Sàrl"/>
    <x v="0"/>
    <m/>
  </r>
  <r>
    <d v="2026-07-02T00:00:00"/>
    <d v="2026-07-02T00:00:00"/>
    <n v="7"/>
    <x v="5"/>
    <m/>
    <m/>
    <m/>
    <m/>
    <m/>
    <m/>
    <m/>
    <n v="-10"/>
    <n v="9122.2373999999909"/>
    <m/>
    <m/>
    <x v="1"/>
    <x v="2"/>
    <x v="4"/>
    <x v="11"/>
    <x v="0"/>
    <x v="7"/>
    <x v="49"/>
    <x v="2"/>
    <s v="Revolut"/>
    <x v="0"/>
    <m/>
  </r>
  <r>
    <d v="2026-07-02T00:00:00"/>
    <d v="2026-07-02T00:00:00"/>
    <n v="7"/>
    <x v="5"/>
    <m/>
    <m/>
    <m/>
    <m/>
    <m/>
    <m/>
    <m/>
    <n v="-8"/>
    <n v="9114.2373999999909"/>
    <m/>
    <m/>
    <x v="1"/>
    <x v="2"/>
    <x v="4"/>
    <x v="11"/>
    <x v="0"/>
    <x v="7"/>
    <x v="49"/>
    <x v="2"/>
    <s v="Revolut"/>
    <x v="0"/>
    <m/>
  </r>
  <r>
    <d v="2026-07-09T00:00:00"/>
    <d v="2026-07-09T00:00:00"/>
    <n v="7"/>
    <x v="5"/>
    <m/>
    <m/>
    <m/>
    <m/>
    <m/>
    <m/>
    <m/>
    <n v="-350"/>
    <n v="8764.2373999999909"/>
    <m/>
    <m/>
    <x v="1"/>
    <x v="2"/>
    <x v="4"/>
    <x v="17"/>
    <x v="0"/>
    <x v="16"/>
    <x v="43"/>
    <x v="2"/>
    <s v="Revolut"/>
    <x v="0"/>
    <m/>
  </r>
  <r>
    <d v="2026-08-09T00:00:00"/>
    <d v="2026-08-09T00:00:00"/>
    <n v="8"/>
    <x v="5"/>
    <m/>
    <m/>
    <m/>
    <m/>
    <m/>
    <m/>
    <m/>
    <n v="-401.25"/>
    <n v="-401.25"/>
    <m/>
    <m/>
    <x v="1"/>
    <x v="2"/>
    <x v="4"/>
    <x v="13"/>
    <x v="1"/>
    <x v="29"/>
    <x v="38"/>
    <x v="2"/>
    <s v="Sombra e Agua Fresca Resort Sàrl"/>
    <x v="5"/>
    <m/>
  </r>
  <r>
    <m/>
    <m/>
    <m/>
    <x v="6"/>
    <m/>
    <m/>
    <m/>
    <m/>
    <m/>
    <m/>
    <m/>
    <m/>
    <m/>
    <m/>
    <m/>
    <x v="2"/>
    <x v="3"/>
    <x v="4"/>
    <x v="22"/>
    <x v="0"/>
    <x v="30"/>
    <x v="50"/>
    <x v="0"/>
    <m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d v="2021-12-31T00:00:00"/>
    <d v="2021-12-31T00:00:00"/>
    <n v="12"/>
    <x v="0"/>
    <m/>
    <m/>
    <m/>
    <m/>
    <m/>
    <m/>
    <m/>
    <n v="1004968.24"/>
    <n v="1004968.24"/>
    <m/>
    <m/>
    <x v="0"/>
    <x v="0"/>
    <s v="C. ACTIF IMMOBILISE'"/>
    <x v="0"/>
    <m/>
    <x v="0"/>
    <x v="0"/>
    <x v="0"/>
    <m/>
    <m/>
    <m/>
  </r>
  <r>
    <d v="2021-12-31T00:00:00"/>
    <d v="2021-12-31T00:00:00"/>
    <n v="12"/>
    <x v="0"/>
    <m/>
    <m/>
    <m/>
    <m/>
    <m/>
    <m/>
    <m/>
    <n v="-1004968.24"/>
    <n v="0"/>
    <m/>
    <m/>
    <x v="0"/>
    <x v="0"/>
    <s v="C. ACTIF IMMOBILISE'"/>
    <x v="0"/>
    <m/>
    <x v="0"/>
    <x v="1"/>
    <x v="0"/>
    <s v="Sombra e Agua Fresca Resort Sàrl"/>
    <m/>
    <m/>
  </r>
  <r>
    <d v="2021-12-31T00:00:00"/>
    <d v="2021-12-31T00:00:00"/>
    <n v="12"/>
    <x v="0"/>
    <m/>
    <m/>
    <m/>
    <m/>
    <m/>
    <m/>
    <m/>
    <n v="16257.32"/>
    <n v="16257.32"/>
    <m/>
    <m/>
    <x v="0"/>
    <x v="0"/>
    <s v="D. ACTIF CIRCULANT"/>
    <x v="1"/>
    <m/>
    <x v="1"/>
    <x v="2"/>
    <x v="0"/>
    <m/>
    <m/>
    <m/>
  </r>
  <r>
    <d v="2021-12-31T00:00:00"/>
    <d v="2021-12-31T00:00:00"/>
    <n v="12"/>
    <x v="0"/>
    <m/>
    <m/>
    <m/>
    <m/>
    <m/>
    <m/>
    <m/>
    <n v="-16257.32"/>
    <n v="0"/>
    <m/>
    <m/>
    <x v="0"/>
    <x v="0"/>
    <s v="D. ACTIF CIRCULANT"/>
    <x v="1"/>
    <m/>
    <x v="1"/>
    <x v="1"/>
    <x v="0"/>
    <s v="Sombra e Agua Fresca Resort Sàrl"/>
    <m/>
    <m/>
  </r>
  <r>
    <d v="2021-12-31T00:00:00"/>
    <d v="2021-12-31T00:00:00"/>
    <n v="12"/>
    <x v="0"/>
    <m/>
    <m/>
    <m/>
    <m/>
    <m/>
    <m/>
    <m/>
    <n v="43249.57"/>
    <n v="43249.57"/>
    <s v="A"/>
    <m/>
    <x v="0"/>
    <x v="1"/>
    <s v="C. DETTES"/>
    <x v="2"/>
    <m/>
    <x v="2"/>
    <x v="3"/>
    <x v="0"/>
    <s v="Christine Oliveira"/>
    <m/>
    <m/>
  </r>
  <r>
    <d v="2021-12-31T00:00:00"/>
    <d v="2021-12-31T00:00:00"/>
    <n v="12"/>
    <x v="0"/>
    <m/>
    <m/>
    <m/>
    <m/>
    <m/>
    <m/>
    <m/>
    <n v="43249.57"/>
    <n v="86499.14"/>
    <s v="A"/>
    <m/>
    <x v="0"/>
    <x v="1"/>
    <s v="C. DETTES"/>
    <x v="2"/>
    <m/>
    <x v="2"/>
    <x v="4"/>
    <x v="0"/>
    <s v="Jens Liesen"/>
    <m/>
    <m/>
  </r>
  <r>
    <d v="2021-12-31T00:00:00"/>
    <d v="2021-12-31T00:00:00"/>
    <n v="12"/>
    <x v="0"/>
    <m/>
    <m/>
    <m/>
    <m/>
    <m/>
    <m/>
    <m/>
    <n v="42266.62"/>
    <n v="128765.76000000001"/>
    <s v="B"/>
    <m/>
    <x v="0"/>
    <x v="1"/>
    <s v="C. DETTES"/>
    <x v="2"/>
    <m/>
    <x v="2"/>
    <x v="5"/>
    <x v="0"/>
    <s v="Giorgio Vignolle"/>
    <m/>
    <m/>
  </r>
  <r>
    <d v="2021-12-31T00:00:00"/>
    <d v="2021-12-31T00:00:00"/>
    <n v="12"/>
    <x v="0"/>
    <m/>
    <m/>
    <m/>
    <m/>
    <m/>
    <m/>
    <m/>
    <n v="97311.53"/>
    <n v="226077.29"/>
    <s v="B"/>
    <m/>
    <x v="0"/>
    <x v="1"/>
    <s v="C. DETTES"/>
    <x v="2"/>
    <m/>
    <x v="2"/>
    <x v="6"/>
    <x v="0"/>
    <s v="Gabriel Vignolle"/>
    <m/>
    <m/>
  </r>
  <r>
    <d v="2021-12-31T00:00:00"/>
    <d v="2021-12-31T00:00:00"/>
    <n v="12"/>
    <x v="0"/>
    <m/>
    <m/>
    <m/>
    <m/>
    <m/>
    <m/>
    <m/>
    <n v="97311.53"/>
    <n v="323388.82"/>
    <s v="B"/>
    <m/>
    <x v="0"/>
    <x v="1"/>
    <s v="C. DETTES"/>
    <x v="2"/>
    <m/>
    <x v="2"/>
    <x v="7"/>
    <x v="0"/>
    <s v="Matteo Vignolle"/>
    <m/>
    <m/>
  </r>
  <r>
    <d v="2021-12-31T00:00:00"/>
    <d v="2021-12-31T00:00:00"/>
    <n v="12"/>
    <x v="0"/>
    <m/>
    <m/>
    <m/>
    <m/>
    <m/>
    <m/>
    <m/>
    <n v="49147.24"/>
    <n v="372536.06"/>
    <s v="D"/>
    <m/>
    <x v="0"/>
    <x v="1"/>
    <s v="C. DETTES"/>
    <x v="2"/>
    <m/>
    <x v="2"/>
    <x v="8"/>
    <x v="0"/>
    <s v="Giancarlo Raggi"/>
    <m/>
    <m/>
  </r>
  <r>
    <d v="2021-12-31T00:00:00"/>
    <d v="2021-12-31T00:00:00"/>
    <n v="12"/>
    <x v="0"/>
    <m/>
    <m/>
    <m/>
    <m/>
    <m/>
    <m/>
    <m/>
    <n v="50130.18"/>
    <n v="422666.23999999999"/>
    <s v="D"/>
    <m/>
    <x v="0"/>
    <x v="1"/>
    <s v="C. DETTES"/>
    <x v="2"/>
    <m/>
    <x v="2"/>
    <x v="9"/>
    <x v="0"/>
    <s v="Ingrid Lambert"/>
    <m/>
    <m/>
  </r>
  <r>
    <d v="2021-12-31T00:00:00"/>
    <d v="2021-12-31T00:00:00"/>
    <n v="12"/>
    <x v="0"/>
    <m/>
    <m/>
    <m/>
    <m/>
    <m/>
    <m/>
    <m/>
    <n v="95345.63"/>
    <n v="518011.87"/>
    <s v="E"/>
    <m/>
    <x v="0"/>
    <x v="1"/>
    <s v="C. DETTES"/>
    <x v="2"/>
    <m/>
    <x v="2"/>
    <x v="10"/>
    <x v="0"/>
    <s v="Enrico Tubia"/>
    <m/>
    <m/>
  </r>
  <r>
    <d v="2021-12-31T00:00:00"/>
    <d v="2021-12-31T00:00:00"/>
    <n v="12"/>
    <x v="0"/>
    <m/>
    <m/>
    <m/>
    <m/>
    <m/>
    <m/>
    <m/>
    <n v="8846.5"/>
    <n v="526858.37"/>
    <s v="F"/>
    <m/>
    <x v="0"/>
    <x v="1"/>
    <s v="C. DETTES"/>
    <x v="2"/>
    <m/>
    <x v="2"/>
    <x v="11"/>
    <x v="0"/>
    <s v="Edoardo Tubia"/>
    <m/>
    <m/>
  </r>
  <r>
    <d v="2021-12-31T00:00:00"/>
    <d v="2021-12-31T00:00:00"/>
    <n v="12"/>
    <x v="0"/>
    <m/>
    <m/>
    <m/>
    <m/>
    <m/>
    <m/>
    <m/>
    <n v="95345.63"/>
    <n v="622204"/>
    <s v="F"/>
    <m/>
    <x v="0"/>
    <x v="1"/>
    <s v="C. DETTES"/>
    <x v="2"/>
    <m/>
    <x v="2"/>
    <x v="12"/>
    <x v="0"/>
    <s v="Silvia Tubia"/>
    <m/>
    <m/>
  </r>
  <r>
    <d v="2021-12-31T00:00:00"/>
    <d v="2021-12-31T00:00:00"/>
    <n v="12"/>
    <x v="0"/>
    <m/>
    <m/>
    <m/>
    <m/>
    <m/>
    <m/>
    <m/>
    <n v="117953.36"/>
    <n v="740157.36"/>
    <s v="G"/>
    <m/>
    <x v="0"/>
    <x v="1"/>
    <s v="C. DETTES"/>
    <x v="2"/>
    <m/>
    <x v="2"/>
    <x v="13"/>
    <x v="0"/>
    <s v="Susik Hemawiti"/>
    <m/>
    <m/>
  </r>
  <r>
    <d v="2021-12-31T00:00:00"/>
    <d v="2021-12-31T00:00:00"/>
    <n v="12"/>
    <x v="0"/>
    <m/>
    <m/>
    <m/>
    <m/>
    <m/>
    <m/>
    <m/>
    <n v="147441.71"/>
    <n v="887599.07"/>
    <s v="H"/>
    <m/>
    <x v="0"/>
    <x v="1"/>
    <s v="C. DETTES"/>
    <x v="2"/>
    <m/>
    <x v="2"/>
    <x v="14"/>
    <x v="0"/>
    <s v="New Life Sàrl"/>
    <m/>
    <m/>
  </r>
  <r>
    <d v="2021-12-31T00:00:00"/>
    <d v="2021-12-31T00:00:00"/>
    <n v="12"/>
    <x v="0"/>
    <m/>
    <m/>
    <m/>
    <m/>
    <m/>
    <m/>
    <m/>
    <n v="97311.53"/>
    <n v="984910.6"/>
    <s v="I"/>
    <m/>
    <x v="0"/>
    <x v="1"/>
    <s v="C. DETTES"/>
    <x v="2"/>
    <m/>
    <x v="2"/>
    <x v="15"/>
    <x v="0"/>
    <s v="Michel Barbancey"/>
    <m/>
    <m/>
  </r>
  <r>
    <d v="2021-12-31T00:00:00"/>
    <d v="2021-12-31T00:00:00"/>
    <n v="12"/>
    <x v="0"/>
    <m/>
    <m/>
    <m/>
    <m/>
    <m/>
    <m/>
    <m/>
    <n v="-984910.6"/>
    <n v="0"/>
    <m/>
    <m/>
    <x v="0"/>
    <x v="1"/>
    <s v="C. DETTES"/>
    <x v="2"/>
    <m/>
    <x v="2"/>
    <x v="1"/>
    <x v="0"/>
    <s v="Sombra e Agua Fresca Resort Sàrl"/>
    <m/>
    <m/>
  </r>
  <r>
    <d v="2021-12-31T00:00:00"/>
    <d v="2021-12-31T00:00:00"/>
    <n v="12"/>
    <x v="0"/>
    <m/>
    <m/>
    <m/>
    <m/>
    <m/>
    <m/>
    <m/>
    <n v="3154.39"/>
    <n v="3154.39"/>
    <m/>
    <m/>
    <x v="0"/>
    <x v="1"/>
    <s v="C. DETTES"/>
    <x v="3"/>
    <m/>
    <x v="3"/>
    <x v="16"/>
    <x v="0"/>
    <m/>
    <m/>
    <m/>
  </r>
  <r>
    <d v="2021-12-31T00:00:00"/>
    <d v="2021-12-31T00:00:00"/>
    <n v="12"/>
    <x v="0"/>
    <m/>
    <m/>
    <m/>
    <m/>
    <m/>
    <m/>
    <m/>
    <n v="-3154.39"/>
    <n v="0"/>
    <m/>
    <m/>
    <x v="0"/>
    <x v="1"/>
    <s v="C. DETTES"/>
    <x v="4"/>
    <m/>
    <x v="3"/>
    <x v="1"/>
    <x v="0"/>
    <s v="Sombra e Agua Fresca Resort Sàrl"/>
    <m/>
    <m/>
  </r>
  <r>
    <d v="2021-12-31T00:00:00"/>
    <d v="2021-12-31T00:00:00"/>
    <n v="12"/>
    <x v="0"/>
    <m/>
    <m/>
    <m/>
    <m/>
    <m/>
    <m/>
    <m/>
    <n v="1755"/>
    <n v="1755"/>
    <m/>
    <m/>
    <x v="0"/>
    <x v="1"/>
    <s v="C. DETTES"/>
    <x v="5"/>
    <m/>
    <x v="3"/>
    <x v="16"/>
    <x v="0"/>
    <m/>
    <m/>
    <m/>
  </r>
  <r>
    <d v="2021-12-31T00:00:00"/>
    <d v="2021-12-31T00:00:00"/>
    <n v="12"/>
    <x v="0"/>
    <m/>
    <m/>
    <m/>
    <m/>
    <m/>
    <m/>
    <m/>
    <n v="-1755"/>
    <n v="0"/>
    <m/>
    <m/>
    <x v="0"/>
    <x v="1"/>
    <s v="C. DETTES"/>
    <x v="4"/>
    <m/>
    <x v="3"/>
    <x v="1"/>
    <x v="0"/>
    <s v="Sombra e Agua Fresca Resort Sàrl"/>
    <m/>
    <m/>
  </r>
  <r>
    <d v="2021-12-31T00:00:00"/>
    <d v="2021-12-31T00:00:00"/>
    <n v="12"/>
    <x v="0"/>
    <m/>
    <m/>
    <m/>
    <m/>
    <m/>
    <m/>
    <m/>
    <n v="19168.79"/>
    <n v="19168.79"/>
    <m/>
    <m/>
    <x v="0"/>
    <x v="1"/>
    <s v="C. DETTES"/>
    <x v="6"/>
    <m/>
    <x v="2"/>
    <x v="17"/>
    <x v="0"/>
    <s v="Edoardo Tubia"/>
    <m/>
    <m/>
  </r>
  <r>
    <d v="2021-12-31T00:00:00"/>
    <d v="2021-12-31T00:00:00"/>
    <n v="12"/>
    <x v="0"/>
    <m/>
    <m/>
    <m/>
    <m/>
    <m/>
    <m/>
    <m/>
    <n v="-19168.79"/>
    <n v="0"/>
    <m/>
    <m/>
    <x v="0"/>
    <x v="1"/>
    <s v="C. DETTES"/>
    <x v="7"/>
    <m/>
    <x v="3"/>
    <x v="1"/>
    <x v="0"/>
    <s v="Sombra e Agua Fresca Resort Sàrl"/>
    <m/>
    <m/>
  </r>
  <r>
    <d v="2021-12-31T00:00:00"/>
    <d v="2021-12-31T00:00:00"/>
    <n v="12"/>
    <x v="0"/>
    <m/>
    <m/>
    <m/>
    <m/>
    <m/>
    <m/>
    <m/>
    <n v="888.85"/>
    <n v="888.85"/>
    <m/>
    <m/>
    <x v="0"/>
    <x v="1"/>
    <s v="A. CAPITAUX PROPRES"/>
    <x v="8"/>
    <m/>
    <x v="4"/>
    <x v="18"/>
    <x v="0"/>
    <m/>
    <m/>
    <m/>
  </r>
  <r>
    <d v="2021-12-31T00:00:00"/>
    <d v="2021-12-31T00:00:00"/>
    <n v="12"/>
    <x v="0"/>
    <m/>
    <m/>
    <m/>
    <m/>
    <m/>
    <m/>
    <m/>
    <n v="-888.85"/>
    <n v="0"/>
    <m/>
    <m/>
    <x v="0"/>
    <x v="1"/>
    <s v="A. CAPITAUX PROPRES"/>
    <x v="8"/>
    <m/>
    <x v="4"/>
    <x v="1"/>
    <x v="0"/>
    <s v="Sombra e Agua Fresca Resort Sàrl"/>
    <m/>
    <m/>
  </r>
  <r>
    <d v="2021-12-31T00:00:00"/>
    <d v="2021-12-31T00:00:00"/>
    <n v="12"/>
    <x v="0"/>
    <m/>
    <m/>
    <m/>
    <m/>
    <m/>
    <m/>
    <m/>
    <n v="-5652.07"/>
    <n v="-5652.07"/>
    <m/>
    <m/>
    <x v="0"/>
    <x v="1"/>
    <s v="A. CAPITAUX PROPRES"/>
    <x v="9"/>
    <m/>
    <x v="5"/>
    <x v="19"/>
    <x v="0"/>
    <m/>
    <m/>
    <m/>
  </r>
  <r>
    <d v="2021-12-31T00:00:00"/>
    <d v="2021-12-31T00:00:00"/>
    <n v="12"/>
    <x v="0"/>
    <m/>
    <m/>
    <m/>
    <m/>
    <m/>
    <m/>
    <m/>
    <n v="5652.07"/>
    <n v="0"/>
    <m/>
    <m/>
    <x v="0"/>
    <x v="1"/>
    <s v="A. CAPITAUX PROPRES"/>
    <x v="9"/>
    <m/>
    <x v="5"/>
    <x v="1"/>
    <x v="0"/>
    <s v="Sombra e Agua Fresca Resort Sàrl"/>
    <m/>
    <m/>
  </r>
  <r>
    <d v="2021-10-11T00:00:00"/>
    <d v="2021-10-11T00:00:00"/>
    <n v="10"/>
    <x v="0"/>
    <m/>
    <m/>
    <m/>
    <m/>
    <m/>
    <m/>
    <m/>
    <n v="2000"/>
    <n v="2000"/>
    <m/>
    <m/>
    <x v="0"/>
    <x v="1"/>
    <s v="C. DETTES"/>
    <x v="6"/>
    <m/>
    <x v="2"/>
    <x v="17"/>
    <x v="1"/>
    <s v="Edoardo Tubia"/>
    <m/>
    <m/>
  </r>
  <r>
    <d v="2021-10-22T00:00:00"/>
    <d v="2021-10-22T00:00:00"/>
    <n v="10"/>
    <x v="0"/>
    <m/>
    <m/>
    <m/>
    <m/>
    <m/>
    <m/>
    <m/>
    <n v="1452.1"/>
    <n v="3452.1"/>
    <s v="F"/>
    <n v="1452"/>
    <x v="0"/>
    <x v="1"/>
    <s v="A. CAPITAUX PROPRES"/>
    <x v="10"/>
    <m/>
    <x v="6"/>
    <x v="20"/>
    <x v="1"/>
    <s v="Silvia Tubia"/>
    <m/>
    <m/>
  </r>
  <r>
    <d v="2021-10-25T00:00:00"/>
    <d v="2021-10-25T00:00:00"/>
    <n v="10"/>
    <x v="0"/>
    <m/>
    <m/>
    <m/>
    <m/>
    <m/>
    <m/>
    <m/>
    <n v="748.5"/>
    <n v="4200.6000000000004"/>
    <s v="D"/>
    <n v="749"/>
    <x v="0"/>
    <x v="1"/>
    <s v="A. CAPITAUX PROPRES"/>
    <x v="10"/>
    <m/>
    <x v="6"/>
    <x v="21"/>
    <x v="1"/>
    <s v="Giancarlo Raggi"/>
    <m/>
    <m/>
  </r>
  <r>
    <d v="2021-10-25T00:00:00"/>
    <d v="2021-10-25T00:00:00"/>
    <n v="10"/>
    <x v="0"/>
    <m/>
    <m/>
    <m/>
    <m/>
    <m/>
    <m/>
    <m/>
    <n v="2245.5100000000002"/>
    <n v="6446.1100000000006"/>
    <s v="H"/>
    <n v="2245"/>
    <x v="0"/>
    <x v="1"/>
    <s v="A. CAPITAUX PROPRES"/>
    <x v="10"/>
    <m/>
    <x v="6"/>
    <x v="22"/>
    <x v="1"/>
    <s v="New Life Sàrl"/>
    <m/>
    <m/>
  </r>
  <r>
    <d v="2021-10-25T00:00:00"/>
    <d v="2021-10-25T00:00:00"/>
    <n v="10"/>
    <x v="0"/>
    <m/>
    <m/>
    <m/>
    <m/>
    <m/>
    <m/>
    <m/>
    <n v="134.72999999999999"/>
    <n v="6580.84"/>
    <s v="F"/>
    <n v="135"/>
    <x v="0"/>
    <x v="1"/>
    <s v="A. CAPITAUX PROPRES"/>
    <x v="10"/>
    <m/>
    <x v="6"/>
    <x v="23"/>
    <x v="1"/>
    <s v="Edoardo Tubia"/>
    <m/>
    <m/>
  </r>
  <r>
    <d v="2021-10-25T00:00:00"/>
    <d v="2021-10-25T00:00:00"/>
    <n v="10"/>
    <x v="0"/>
    <m/>
    <m/>
    <m/>
    <m/>
    <m/>
    <m/>
    <m/>
    <n v="1796.41"/>
    <n v="8377.25"/>
    <s v="G"/>
    <n v="1796"/>
    <x v="0"/>
    <x v="1"/>
    <s v="A. CAPITAUX PROPRES"/>
    <x v="10"/>
    <m/>
    <x v="6"/>
    <x v="24"/>
    <x v="1"/>
    <s v="Susik Hemawiti"/>
    <m/>
    <m/>
  </r>
  <r>
    <d v="2021-10-25T00:00:00"/>
    <d v="2021-10-25T00:00:00"/>
    <n v="10"/>
    <x v="0"/>
    <m/>
    <m/>
    <m/>
    <m/>
    <m/>
    <m/>
    <m/>
    <n v="1452.1"/>
    <n v="9829.35"/>
    <s v="E"/>
    <n v="1452"/>
    <x v="0"/>
    <x v="1"/>
    <s v="A. CAPITAUX PROPRES"/>
    <x v="10"/>
    <m/>
    <x v="6"/>
    <x v="25"/>
    <x v="1"/>
    <s v="Enrico Tubia"/>
    <m/>
    <m/>
  </r>
  <r>
    <d v="2021-10-26T00:00:00"/>
    <d v="2021-10-26T00:00:00"/>
    <n v="10"/>
    <x v="0"/>
    <m/>
    <m/>
    <m/>
    <m/>
    <m/>
    <m/>
    <m/>
    <n v="658.68"/>
    <n v="10488.03"/>
    <s v="A"/>
    <n v="659"/>
    <x v="0"/>
    <x v="1"/>
    <s v="A. CAPITAUX PROPRES"/>
    <x v="10"/>
    <m/>
    <x v="6"/>
    <x v="26"/>
    <x v="1"/>
    <s v="Christine Oliveira"/>
    <m/>
    <m/>
  </r>
  <r>
    <d v="2021-10-26T00:00:00"/>
    <d v="2021-10-26T00:00:00"/>
    <n v="10"/>
    <x v="0"/>
    <m/>
    <m/>
    <m/>
    <m/>
    <m/>
    <m/>
    <m/>
    <n v="658.68"/>
    <n v="11146.710000000001"/>
    <s v="A"/>
    <n v="659"/>
    <x v="0"/>
    <x v="1"/>
    <s v="A. CAPITAUX PROPRES"/>
    <x v="10"/>
    <m/>
    <x v="6"/>
    <x v="27"/>
    <x v="1"/>
    <s v="Jens Liesen"/>
    <m/>
    <m/>
  </r>
  <r>
    <d v="2021-10-27T00:00:00"/>
    <d v="2021-10-27T00:00:00"/>
    <n v="10"/>
    <x v="0"/>
    <m/>
    <m/>
    <m/>
    <m/>
    <m/>
    <m/>
    <m/>
    <n v="89.71"/>
    <n v="11236.42"/>
    <s v="B"/>
    <n v="90"/>
    <x v="0"/>
    <x v="1"/>
    <s v="A. CAPITAUX PROPRES"/>
    <x v="10"/>
    <m/>
    <x v="6"/>
    <x v="28"/>
    <x v="1"/>
    <s v="Giorgio Vignolle"/>
    <m/>
    <m/>
  </r>
  <r>
    <d v="2021-10-27T00:00:00"/>
    <d v="2021-10-27T00:00:00"/>
    <n v="10"/>
    <x v="0"/>
    <m/>
    <m/>
    <m/>
    <m/>
    <m/>
    <m/>
    <m/>
    <n v="554"/>
    <n v="11790.42"/>
    <s v="C"/>
    <n v="554"/>
    <x v="0"/>
    <x v="1"/>
    <s v="A. CAPITAUX PROPRES"/>
    <x v="10"/>
    <m/>
    <x v="6"/>
    <x v="28"/>
    <x v="1"/>
    <s v="Giorgio Vignolle"/>
    <m/>
    <m/>
  </r>
  <r>
    <d v="2021-10-27T00:00:00"/>
    <d v="2021-10-27T00:00:00"/>
    <n v="10"/>
    <x v="0"/>
    <m/>
    <m/>
    <m/>
    <m/>
    <m/>
    <m/>
    <m/>
    <n v="1482.04"/>
    <n v="13272.46"/>
    <s v="C"/>
    <n v="1482"/>
    <x v="0"/>
    <x v="1"/>
    <s v="A. CAPITAUX PROPRES"/>
    <x v="10"/>
    <m/>
    <x v="6"/>
    <x v="29"/>
    <x v="1"/>
    <s v="Matteo Vignolle"/>
    <m/>
    <m/>
  </r>
  <r>
    <d v="2021-10-27T00:00:00"/>
    <d v="2021-10-27T00:00:00"/>
    <n v="10"/>
    <x v="0"/>
    <m/>
    <m/>
    <m/>
    <m/>
    <m/>
    <m/>
    <m/>
    <n v="1482.04"/>
    <n v="14754.5"/>
    <s v="B"/>
    <n v="1482"/>
    <x v="0"/>
    <x v="1"/>
    <s v="A. CAPITAUX PROPRES"/>
    <x v="10"/>
    <m/>
    <x v="6"/>
    <x v="30"/>
    <x v="1"/>
    <s v="Gabriel Vignolle"/>
    <m/>
    <m/>
  </r>
  <r>
    <d v="2021-10-28T00:00:00"/>
    <d v="2021-10-28T00:00:00"/>
    <n v="10"/>
    <x v="0"/>
    <m/>
    <m/>
    <m/>
    <m/>
    <m/>
    <m/>
    <m/>
    <n v="1482.04"/>
    <n v="16236.54"/>
    <s v="I"/>
    <n v="1482"/>
    <x v="0"/>
    <x v="1"/>
    <s v="A. CAPITAUX PROPRES"/>
    <x v="10"/>
    <m/>
    <x v="6"/>
    <x v="31"/>
    <x v="1"/>
    <s v="Michel Barbancey"/>
    <m/>
    <m/>
  </r>
  <r>
    <d v="2021-11-05T00:00:00"/>
    <d v="2021-11-05T00:00:00"/>
    <n v="11"/>
    <x v="0"/>
    <m/>
    <m/>
    <m/>
    <m/>
    <m/>
    <m/>
    <m/>
    <n v="763.47"/>
    <n v="17000.010000000002"/>
    <s v="D"/>
    <n v="763"/>
    <x v="0"/>
    <x v="1"/>
    <s v="A. CAPITAUX PROPRES"/>
    <x v="10"/>
    <m/>
    <x v="6"/>
    <x v="32"/>
    <x v="1"/>
    <s v="Ingrid Lambert"/>
    <m/>
    <m/>
  </r>
  <r>
    <d v="2021-11-10T00:00:00"/>
    <d v="2021-11-10T00:00:00"/>
    <n v="11"/>
    <x v="0"/>
    <m/>
    <m/>
    <m/>
    <m/>
    <m/>
    <m/>
    <m/>
    <n v="-117"/>
    <n v="16883.010000000002"/>
    <m/>
    <m/>
    <x v="1"/>
    <x v="2"/>
    <m/>
    <x v="11"/>
    <m/>
    <x v="7"/>
    <x v="33"/>
    <x v="1"/>
    <s v="Olkypay"/>
    <m/>
    <m/>
  </r>
  <r>
    <d v="2021-12-30T00:00:00"/>
    <d v="2021-12-30T00:00:00"/>
    <n v="12"/>
    <x v="0"/>
    <m/>
    <m/>
    <m/>
    <m/>
    <m/>
    <m/>
    <m/>
    <n v="-585"/>
    <n v="16298.010000000002"/>
    <m/>
    <m/>
    <x v="1"/>
    <x v="2"/>
    <m/>
    <x v="11"/>
    <m/>
    <x v="7"/>
    <x v="33"/>
    <x v="1"/>
    <s v="Olkypay"/>
    <m/>
    <m/>
  </r>
  <r>
    <d v="2021-12-31T00:00:00"/>
    <d v="2021-12-31T00:00:00"/>
    <n v="12"/>
    <x v="0"/>
    <m/>
    <m/>
    <m/>
    <m/>
    <m/>
    <m/>
    <m/>
    <n v="-40.69"/>
    <n v="16257.320000000002"/>
    <m/>
    <m/>
    <x v="1"/>
    <x v="2"/>
    <m/>
    <x v="11"/>
    <m/>
    <x v="7"/>
    <x v="33"/>
    <x v="1"/>
    <s v="Olkypay"/>
    <m/>
    <m/>
  </r>
  <r>
    <d v="2022-01-03T00:00:00"/>
    <d v="2022-01-03T00:00:00"/>
    <n v="1"/>
    <x v="1"/>
    <m/>
    <m/>
    <m/>
    <m/>
    <m/>
    <m/>
    <m/>
    <n v="-19.899999999999999"/>
    <n v="16237.420000000002"/>
    <m/>
    <m/>
    <x v="1"/>
    <x v="2"/>
    <m/>
    <x v="11"/>
    <m/>
    <x v="7"/>
    <x v="33"/>
    <x v="1"/>
    <s v="Olkypay"/>
    <m/>
    <m/>
  </r>
  <r>
    <d v="2022-01-10T00:00:00"/>
    <d v="2022-01-10T00:00:00"/>
    <n v="1"/>
    <x v="1"/>
    <m/>
    <m/>
    <m/>
    <m/>
    <m/>
    <m/>
    <m/>
    <n v="-1482.04"/>
    <n v="14755.380000000001"/>
    <s v="C"/>
    <n v="-1482"/>
    <x v="0"/>
    <x v="1"/>
    <s v="A. CAPITAUX PROPRES"/>
    <x v="10"/>
    <m/>
    <x v="6"/>
    <x v="29"/>
    <x v="0"/>
    <s v="Matteo Vignolle"/>
    <m/>
    <m/>
  </r>
  <r>
    <d v="2022-01-10T00:00:00"/>
    <d v="2022-01-10T00:00:00"/>
    <n v="1"/>
    <x v="1"/>
    <m/>
    <m/>
    <m/>
    <m/>
    <m/>
    <m/>
    <m/>
    <n v="600"/>
    <n v="15355.380000000001"/>
    <s v="B"/>
    <n v="600"/>
    <x v="0"/>
    <x v="1"/>
    <s v="A. CAPITAUX PROPRES"/>
    <x v="10"/>
    <m/>
    <x v="6"/>
    <x v="29"/>
    <x v="0"/>
    <s v="Matteo Vignolle"/>
    <m/>
    <m/>
  </r>
  <r>
    <d v="2022-01-10T00:00:00"/>
    <d v="2022-01-10T00:00:00"/>
    <n v="1"/>
    <x v="1"/>
    <m/>
    <m/>
    <m/>
    <m/>
    <m/>
    <m/>
    <m/>
    <n v="882.04"/>
    <n v="16237.420000000002"/>
    <s v="C"/>
    <n v="882"/>
    <x v="0"/>
    <x v="1"/>
    <s v="A. CAPITAUX PROPRES"/>
    <x v="10"/>
    <m/>
    <x v="6"/>
    <x v="34"/>
    <x v="0"/>
    <s v="Baguenier Henri"/>
    <m/>
    <m/>
  </r>
  <r>
    <d v="2022-01-10T00:00:00"/>
    <d v="2022-01-10T00:00:00"/>
    <n v="1"/>
    <x v="1"/>
    <m/>
    <m/>
    <m/>
    <m/>
    <m/>
    <m/>
    <m/>
    <n v="-1482.04"/>
    <n v="14755.380000000001"/>
    <s v="B"/>
    <n v="-1482"/>
    <x v="0"/>
    <x v="1"/>
    <s v="A. CAPITAUX PROPRES"/>
    <x v="10"/>
    <m/>
    <x v="6"/>
    <x v="30"/>
    <x v="0"/>
    <s v="Gabriel Vignolle"/>
    <m/>
    <m/>
  </r>
  <r>
    <d v="2022-01-10T00:00:00"/>
    <d v="2022-01-10T00:00:00"/>
    <n v="1"/>
    <x v="1"/>
    <m/>
    <m/>
    <m/>
    <m/>
    <m/>
    <m/>
    <m/>
    <n v="600"/>
    <n v="15355.380000000001"/>
    <s v="B"/>
    <n v="600"/>
    <x v="0"/>
    <x v="1"/>
    <s v="A. CAPITAUX PROPRES"/>
    <x v="10"/>
    <m/>
    <x v="6"/>
    <x v="30"/>
    <x v="0"/>
    <s v="Gabriel Vignolle"/>
    <m/>
    <m/>
  </r>
  <r>
    <d v="2022-01-10T00:00:00"/>
    <d v="2022-01-10T00:00:00"/>
    <n v="1"/>
    <x v="1"/>
    <m/>
    <m/>
    <m/>
    <m/>
    <m/>
    <m/>
    <m/>
    <n v="882.04"/>
    <n v="16237.420000000002"/>
    <s v="C"/>
    <n v="882"/>
    <x v="0"/>
    <x v="1"/>
    <s v="A. CAPITAUX PROPRES"/>
    <x v="10"/>
    <m/>
    <x v="6"/>
    <x v="34"/>
    <x v="0"/>
    <s v="Baguenier Henri"/>
    <m/>
    <m/>
  </r>
  <r>
    <d v="2022-01-10T00:00:00"/>
    <d v="2022-01-10T00:00:00"/>
    <n v="1"/>
    <x v="1"/>
    <m/>
    <m/>
    <m/>
    <m/>
    <m/>
    <m/>
    <m/>
    <n v="-554"/>
    <n v="15683.420000000002"/>
    <s v="C"/>
    <n v="-554"/>
    <x v="0"/>
    <x v="1"/>
    <s v="A. CAPITAUX PROPRES"/>
    <x v="10"/>
    <m/>
    <x v="6"/>
    <x v="28"/>
    <x v="0"/>
    <s v="Giorgio Vignolle"/>
    <m/>
    <m/>
  </r>
  <r>
    <d v="2022-01-10T00:00:00"/>
    <d v="2022-01-10T00:00:00"/>
    <n v="1"/>
    <x v="1"/>
    <m/>
    <m/>
    <m/>
    <m/>
    <m/>
    <m/>
    <m/>
    <n v="271.95999999999998"/>
    <n v="15955.380000000001"/>
    <s v="C"/>
    <n v="272"/>
    <x v="0"/>
    <x v="1"/>
    <s v="A. CAPITAUX PROPRES"/>
    <x v="10"/>
    <m/>
    <x v="6"/>
    <x v="34"/>
    <x v="0"/>
    <s v="Baguenier Henri"/>
    <m/>
    <m/>
  </r>
  <r>
    <d v="2022-01-10T00:00:00"/>
    <d v="2022-01-10T00:00:00"/>
    <n v="1"/>
    <x v="1"/>
    <m/>
    <m/>
    <m/>
    <m/>
    <m/>
    <m/>
    <m/>
    <n v="282.04000000000002"/>
    <n v="16237.420000000002"/>
    <s v="B"/>
    <n v="282"/>
    <x v="0"/>
    <x v="1"/>
    <s v="A. CAPITAUX PROPRES"/>
    <x v="10"/>
    <m/>
    <x v="6"/>
    <x v="28"/>
    <x v="0"/>
    <s v="Giorgio Vignolle"/>
    <m/>
    <m/>
  </r>
  <r>
    <d v="2022-01-11T00:00:00"/>
    <d v="2022-01-11T00:00:00"/>
    <n v="1"/>
    <x v="1"/>
    <m/>
    <m/>
    <m/>
    <m/>
    <m/>
    <m/>
    <m/>
    <n v="-2036.04"/>
    <n v="14201.380000000001"/>
    <s v="C"/>
    <n v="-2036"/>
    <x v="0"/>
    <x v="1"/>
    <s v="A. CAPITAUX PROPRES"/>
    <x v="10"/>
    <m/>
    <x v="6"/>
    <x v="34"/>
    <x v="0"/>
    <s v="Baguenier Henri"/>
    <m/>
    <m/>
  </r>
  <r>
    <d v="2022-01-11T00:00:00"/>
    <d v="2022-01-11T00:00:00"/>
    <n v="1"/>
    <x v="1"/>
    <m/>
    <m/>
    <m/>
    <m/>
    <m/>
    <m/>
    <m/>
    <n v="2036.04"/>
    <n v="16237.420000000002"/>
    <s v="C"/>
    <n v="2036"/>
    <x v="0"/>
    <x v="1"/>
    <s v="A. CAPITAUX PROPRES"/>
    <x v="10"/>
    <m/>
    <x v="6"/>
    <x v="35"/>
    <x v="0"/>
    <s v="Cofre Luxembourg Wind SA"/>
    <m/>
    <m/>
  </r>
  <r>
    <d v="2022-01-13T00:00:00"/>
    <d v="2022-01-13T00:00:00"/>
    <n v="1"/>
    <x v="1"/>
    <m/>
    <m/>
    <m/>
    <m/>
    <m/>
    <m/>
    <m/>
    <n v="1496.16"/>
    <n v="17733.580000000002"/>
    <s v="H"/>
    <m/>
    <x v="0"/>
    <x v="1"/>
    <s v="C. DETTES"/>
    <x v="2"/>
    <m/>
    <x v="2"/>
    <x v="14"/>
    <x v="1"/>
    <s v="New Life Sàrl"/>
    <m/>
    <m/>
  </r>
  <r>
    <d v="2022-01-13T00:00:00"/>
    <d v="2022-01-13T00:00:00"/>
    <n v="1"/>
    <x v="1"/>
    <m/>
    <m/>
    <m/>
    <m/>
    <m/>
    <m/>
    <m/>
    <n v="987.96"/>
    <n v="18721.54"/>
    <s v="I"/>
    <m/>
    <x v="0"/>
    <x v="1"/>
    <s v="C. DETTES"/>
    <x v="2"/>
    <m/>
    <x v="2"/>
    <x v="15"/>
    <x v="1"/>
    <s v="Michel Barbancey"/>
    <m/>
    <m/>
  </r>
  <r>
    <d v="2022-01-13T00:00:00"/>
    <d v="2022-01-13T00:00:00"/>
    <n v="1"/>
    <x v="1"/>
    <m/>
    <m/>
    <m/>
    <m/>
    <m/>
    <m/>
    <m/>
    <n v="967.9"/>
    <n v="19689.440000000002"/>
    <s v="F"/>
    <m/>
    <x v="0"/>
    <x v="1"/>
    <s v="C. DETTES"/>
    <x v="2"/>
    <m/>
    <x v="2"/>
    <x v="12"/>
    <x v="1"/>
    <s v="Silvia Tubia"/>
    <m/>
    <m/>
  </r>
  <r>
    <d v="2022-01-13T00:00:00"/>
    <d v="2022-01-13T00:00:00"/>
    <n v="1"/>
    <x v="1"/>
    <m/>
    <m/>
    <m/>
    <m/>
    <m/>
    <m/>
    <m/>
    <n v="90.27"/>
    <n v="19779.710000000003"/>
    <s v="F"/>
    <m/>
    <x v="0"/>
    <x v="1"/>
    <s v="C. DETTES"/>
    <x v="2"/>
    <m/>
    <x v="2"/>
    <x v="11"/>
    <x v="1"/>
    <s v="Edoardo Tubia"/>
    <m/>
    <m/>
  </r>
  <r>
    <d v="2022-01-14T00:00:00"/>
    <d v="2022-01-14T00:00:00"/>
    <n v="1"/>
    <x v="1"/>
    <m/>
    <m/>
    <m/>
    <m/>
    <m/>
    <m/>
    <m/>
    <n v="967.9"/>
    <n v="20747.610000000004"/>
    <s v="E"/>
    <m/>
    <x v="0"/>
    <x v="1"/>
    <s v="C. DETTES"/>
    <x v="2"/>
    <m/>
    <x v="2"/>
    <x v="10"/>
    <x v="1"/>
    <s v="Enrico Tubia"/>
    <m/>
    <m/>
  </r>
  <r>
    <d v="2022-01-17T00:00:00"/>
    <d v="2022-01-17T00:00:00"/>
    <n v="1"/>
    <x v="1"/>
    <m/>
    <m/>
    <m/>
    <m/>
    <m/>
    <m/>
    <m/>
    <n v="439.65"/>
    <n v="21187.260000000006"/>
    <s v="A"/>
    <m/>
    <x v="0"/>
    <x v="1"/>
    <s v="C. DETTES"/>
    <x v="2"/>
    <m/>
    <x v="2"/>
    <x v="3"/>
    <x v="1"/>
    <s v="Christine Oliveira"/>
    <m/>
    <m/>
  </r>
  <r>
    <d v="2022-01-17T00:00:00"/>
    <d v="2022-01-17T00:00:00"/>
    <n v="1"/>
    <x v="1"/>
    <m/>
    <m/>
    <m/>
    <m/>
    <m/>
    <m/>
    <m/>
    <n v="439.65"/>
    <n v="21626.910000000007"/>
    <s v="A"/>
    <m/>
    <x v="0"/>
    <x v="1"/>
    <s v="C. DETTES"/>
    <x v="2"/>
    <m/>
    <x v="2"/>
    <x v="4"/>
    <x v="1"/>
    <s v="Jens Liesen"/>
    <m/>
    <m/>
  </r>
  <r>
    <d v="2022-01-28T00:00:00"/>
    <d v="2022-01-28T00:00:00"/>
    <n v="1"/>
    <x v="1"/>
    <m/>
    <m/>
    <m/>
    <m/>
    <m/>
    <m/>
    <m/>
    <n v="-6397"/>
    <n v="15229.910000000007"/>
    <m/>
    <m/>
    <x v="0"/>
    <x v="1"/>
    <s v="C. DETTES"/>
    <x v="6"/>
    <m/>
    <x v="2"/>
    <x v="17"/>
    <x v="1"/>
    <s v="Edoardo Tubia"/>
    <m/>
    <m/>
  </r>
  <r>
    <d v="2022-01-28T00:00:00"/>
    <d v="2022-01-28T00:00:00"/>
    <n v="1"/>
    <x v="1"/>
    <m/>
    <m/>
    <m/>
    <m/>
    <m/>
    <m/>
    <m/>
    <n v="-2000"/>
    <n v="13229.910000000007"/>
    <m/>
    <m/>
    <x v="0"/>
    <x v="1"/>
    <s v="C. DETTES"/>
    <x v="6"/>
    <m/>
    <x v="2"/>
    <x v="17"/>
    <x v="1"/>
    <s v="Edoardo Tubia"/>
    <m/>
    <m/>
  </r>
  <r>
    <d v="2022-01-28T00:00:00"/>
    <d v="2022-01-28T00:00:00"/>
    <n v="1"/>
    <x v="1"/>
    <m/>
    <m/>
    <m/>
    <s v="LUX"/>
    <n v="-2500"/>
    <n v="0"/>
    <n v="0"/>
    <n v="-2500"/>
    <n v="10729.910000000007"/>
    <m/>
    <m/>
    <x v="1"/>
    <x v="2"/>
    <m/>
    <x v="3"/>
    <m/>
    <x v="8"/>
    <x v="36"/>
    <x v="1"/>
    <s v="Sombra e Agua Fresca Resort Sàrl"/>
    <m/>
    <s v="X"/>
  </r>
  <r>
    <d v="2022-01-31T00:00:00"/>
    <d v="2022-01-31T00:00:00"/>
    <n v="1"/>
    <x v="1"/>
    <m/>
    <m/>
    <m/>
    <m/>
    <m/>
    <m/>
    <m/>
    <n v="1196.92"/>
    <n v="11926.830000000007"/>
    <s v="G"/>
    <m/>
    <x v="0"/>
    <x v="1"/>
    <s v="C. DETTES"/>
    <x v="2"/>
    <m/>
    <x v="2"/>
    <x v="13"/>
    <x v="1"/>
    <s v="Susik Hemawiti"/>
    <m/>
    <m/>
  </r>
  <r>
    <d v="2022-02-01T00:00:00"/>
    <d v="2022-02-01T00:00:00"/>
    <n v="2"/>
    <x v="1"/>
    <m/>
    <m/>
    <m/>
    <m/>
    <m/>
    <m/>
    <m/>
    <n v="-20.5"/>
    <n v="11906.330000000007"/>
    <m/>
    <m/>
    <x v="1"/>
    <x v="2"/>
    <m/>
    <x v="11"/>
    <m/>
    <x v="7"/>
    <x v="33"/>
    <x v="1"/>
    <s v="Olkypay"/>
    <m/>
    <m/>
  </r>
  <r>
    <d v="2022-02-01T00:00:00"/>
    <d v="2022-02-01T00:00:00"/>
    <n v="2"/>
    <x v="1"/>
    <m/>
    <m/>
    <m/>
    <m/>
    <m/>
    <m/>
    <m/>
    <n v="1048.25"/>
    <n v="12954.580000000007"/>
    <s v="B"/>
    <m/>
    <x v="0"/>
    <x v="1"/>
    <s v="C. DETTES"/>
    <x v="2"/>
    <m/>
    <x v="2"/>
    <x v="5"/>
    <x v="1"/>
    <s v="Giorgio Vignolle"/>
    <m/>
    <m/>
  </r>
  <r>
    <d v="2022-02-07T00:00:00"/>
    <d v="2022-02-07T00:00:00"/>
    <n v="2"/>
    <x v="1"/>
    <m/>
    <m/>
    <m/>
    <m/>
    <m/>
    <m/>
    <m/>
    <n v="1357.29"/>
    <n v="14311.870000000006"/>
    <s v="C"/>
    <m/>
    <x v="0"/>
    <x v="1"/>
    <s v="C. DETTES"/>
    <x v="2"/>
    <m/>
    <x v="2"/>
    <x v="37"/>
    <x v="1"/>
    <s v="Cofre Luxembourg Wind SA"/>
    <m/>
    <m/>
  </r>
  <r>
    <d v="2022-03-01T00:00:00"/>
    <d v="2022-03-01T00:00:00"/>
    <n v="3"/>
    <x v="1"/>
    <m/>
    <m/>
    <m/>
    <m/>
    <m/>
    <m/>
    <m/>
    <n v="-19.899999999999999"/>
    <n v="14291.970000000007"/>
    <m/>
    <m/>
    <x v="1"/>
    <x v="2"/>
    <m/>
    <x v="11"/>
    <m/>
    <x v="7"/>
    <x v="33"/>
    <x v="1"/>
    <s v="Olkypay"/>
    <m/>
    <m/>
  </r>
  <r>
    <d v="2022-03-01T00:00:00"/>
    <d v="2022-03-01T00:00:00"/>
    <n v="3"/>
    <x v="1"/>
    <m/>
    <m/>
    <m/>
    <s v="LUX"/>
    <n v="-58.4"/>
    <n v="0.17"/>
    <n v="-9.9280000000000008"/>
    <n v="-68.328000000000003"/>
    <n v="14223.642000000007"/>
    <m/>
    <m/>
    <x v="1"/>
    <x v="2"/>
    <m/>
    <x v="12"/>
    <m/>
    <x v="9"/>
    <x v="36"/>
    <x v="1"/>
    <s v="Sombra e Agua Fresca Resort Sàrl"/>
    <m/>
    <s v="X"/>
  </r>
  <r>
    <d v="2022-03-01T00:00:00"/>
    <d v="2022-03-01T00:00:00"/>
    <n v="3"/>
    <x v="1"/>
    <m/>
    <m/>
    <m/>
    <s v="LUX"/>
    <n v="-56"/>
    <n v="0"/>
    <n v="0"/>
    <n v="-56"/>
    <n v="14167.642000000007"/>
    <m/>
    <m/>
    <x v="1"/>
    <x v="2"/>
    <m/>
    <x v="12"/>
    <m/>
    <x v="9"/>
    <x v="36"/>
    <x v="1"/>
    <s v="Sombra e Agua Fresca Resort Sàrl"/>
    <m/>
    <s v="X"/>
  </r>
  <r>
    <d v="2022-03-07T00:00:00"/>
    <d v="2022-03-07T00:00:00"/>
    <n v="3"/>
    <x v="1"/>
    <m/>
    <m/>
    <m/>
    <m/>
    <m/>
    <m/>
    <m/>
    <n v="-2938.37"/>
    <n v="11229.272000000008"/>
    <m/>
    <m/>
    <x v="0"/>
    <x v="1"/>
    <s v="C. DETTES"/>
    <x v="6"/>
    <m/>
    <x v="2"/>
    <x v="17"/>
    <x v="1"/>
    <s v="Edoardo Tubia"/>
    <m/>
    <m/>
  </r>
  <r>
    <d v="2022-03-07T00:00:00"/>
    <d v="2022-03-07T00:00:00"/>
    <n v="3"/>
    <x v="1"/>
    <m/>
    <m/>
    <m/>
    <m/>
    <m/>
    <m/>
    <m/>
    <n v="-319.86"/>
    <n v="10909.412000000008"/>
    <m/>
    <m/>
    <x v="0"/>
    <x v="1"/>
    <s v="C. DETTES"/>
    <x v="6"/>
    <m/>
    <x v="2"/>
    <x v="17"/>
    <x v="1"/>
    <s v="Edoardo Tubia"/>
    <m/>
    <m/>
  </r>
  <r>
    <d v="2022-03-11T00:00:00"/>
    <d v="2022-03-11T00:00:00"/>
    <n v="3"/>
    <x v="1"/>
    <m/>
    <m/>
    <m/>
    <m/>
    <m/>
    <m/>
    <m/>
    <n v="-3506.66"/>
    <n v="7402.7520000000077"/>
    <m/>
    <m/>
    <x v="0"/>
    <x v="1"/>
    <s v="C. DETTES"/>
    <x v="6"/>
    <m/>
    <x v="2"/>
    <x v="17"/>
    <x v="1"/>
    <s v="Edoardo Tubia"/>
    <m/>
    <m/>
  </r>
  <r>
    <d v="2022-03-11T00:00:00"/>
    <d v="2022-03-11T00:00:00"/>
    <n v="3"/>
    <x v="1"/>
    <m/>
    <m/>
    <m/>
    <m/>
    <m/>
    <m/>
    <m/>
    <n v="499.83"/>
    <n v="7902.5820000000076"/>
    <s v="D"/>
    <m/>
    <x v="0"/>
    <x v="1"/>
    <s v="C. DETTES"/>
    <x v="2"/>
    <m/>
    <x v="2"/>
    <x v="8"/>
    <x v="1"/>
    <s v="Giancarlo Raggi"/>
    <m/>
    <m/>
  </r>
  <r>
    <d v="2022-03-21T00:00:00"/>
    <d v="2022-03-21T00:00:00"/>
    <n v="3"/>
    <x v="1"/>
    <m/>
    <m/>
    <m/>
    <s v="LUX"/>
    <n v="2500"/>
    <n v="0"/>
    <n v="0"/>
    <n v="2500"/>
    <n v="10402.582000000008"/>
    <m/>
    <m/>
    <x v="1"/>
    <x v="2"/>
    <m/>
    <x v="3"/>
    <m/>
    <x v="8"/>
    <x v="36"/>
    <x v="1"/>
    <s v="Sombra e Agua Fresca Resort Sàrl"/>
    <m/>
    <s v="X"/>
  </r>
  <r>
    <d v="2022-03-21T00:00:00"/>
    <d v="2022-03-21T00:00:00"/>
    <n v="3"/>
    <x v="1"/>
    <m/>
    <m/>
    <m/>
    <s v="LUX"/>
    <n v="-2314.0100000000002"/>
    <n v="0.17"/>
    <n v="-393.38170000000008"/>
    <n v="-2707.3917000000001"/>
    <n v="7695.1903000000075"/>
    <m/>
    <m/>
    <x v="1"/>
    <x v="2"/>
    <m/>
    <x v="3"/>
    <m/>
    <x v="9"/>
    <x v="36"/>
    <x v="1"/>
    <s v="Sombra e Agua Fresca Resort Sàrl"/>
    <m/>
    <s v="X"/>
  </r>
  <r>
    <d v="2022-03-21T00:00:00"/>
    <d v="2022-03-21T00:00:00"/>
    <n v="3"/>
    <x v="1"/>
    <m/>
    <m/>
    <m/>
    <s v="LUX"/>
    <n v="-447"/>
    <n v="0"/>
    <n v="0"/>
    <n v="-447"/>
    <n v="7248.1903000000075"/>
    <m/>
    <m/>
    <x v="1"/>
    <x v="2"/>
    <m/>
    <x v="3"/>
    <m/>
    <x v="9"/>
    <x v="36"/>
    <x v="1"/>
    <s v="Sombra e Agua Fresca Resort Sàrl"/>
    <m/>
    <s v="X"/>
  </r>
  <r>
    <d v="2022-03-21T00:00:00"/>
    <d v="2022-03-21T00:00:00"/>
    <n v="3"/>
    <x v="1"/>
    <m/>
    <m/>
    <m/>
    <m/>
    <m/>
    <m/>
    <m/>
    <n v="-178.33"/>
    <n v="7069.8603000000076"/>
    <m/>
    <m/>
    <x v="1"/>
    <x v="2"/>
    <s v="IMPOT FORTUNE"/>
    <x v="13"/>
    <s v="IMPOT FORTUNE"/>
    <x v="10"/>
    <x v="38"/>
    <x v="1"/>
    <s v="Olkypay"/>
    <n v="2022"/>
    <m/>
  </r>
  <r>
    <d v="2022-03-24T00:00:00"/>
    <d v="2022-03-24T00:00:00"/>
    <n v="3"/>
    <x v="1"/>
    <m/>
    <m/>
    <m/>
    <m/>
    <m/>
    <m/>
    <m/>
    <n v="508.2"/>
    <n v="7578.0603000000074"/>
    <s v="D"/>
    <m/>
    <x v="0"/>
    <x v="1"/>
    <s v="C. DETTES"/>
    <x v="2"/>
    <m/>
    <x v="2"/>
    <x v="9"/>
    <x v="1"/>
    <s v="Ingrid Lambert"/>
    <m/>
    <m/>
  </r>
  <r>
    <d v="2022-03-25T00:00:00"/>
    <d v="2022-03-25T00:00:00"/>
    <n v="3"/>
    <x v="1"/>
    <m/>
    <m/>
    <m/>
    <m/>
    <m/>
    <m/>
    <m/>
    <n v="-3997.87"/>
    <n v="3580.1903000000075"/>
    <m/>
    <m/>
    <x v="0"/>
    <x v="1"/>
    <s v="C. DETTES"/>
    <x v="6"/>
    <m/>
    <x v="2"/>
    <x v="17"/>
    <x v="1"/>
    <s v="Edoardo Tubia"/>
    <m/>
    <m/>
  </r>
  <r>
    <d v="2022-03-31T00:00:00"/>
    <d v="2022-03-31T00:00:00"/>
    <n v="3"/>
    <x v="1"/>
    <m/>
    <m/>
    <m/>
    <m/>
    <m/>
    <m/>
    <m/>
    <n v="-69.150000000000006"/>
    <n v="3511.0403000000074"/>
    <m/>
    <m/>
    <x v="1"/>
    <x v="2"/>
    <m/>
    <x v="11"/>
    <m/>
    <x v="7"/>
    <x v="33"/>
    <x v="1"/>
    <s v="Olkypay"/>
    <m/>
    <m/>
  </r>
  <r>
    <d v="2022-03-31T00:00:00"/>
    <d v="2022-03-31T00:00:00"/>
    <n v="3"/>
    <x v="1"/>
    <m/>
    <m/>
    <m/>
    <m/>
    <m/>
    <m/>
    <m/>
    <n v="-1.4"/>
    <n v="3509.6403000000073"/>
    <m/>
    <m/>
    <x v="1"/>
    <x v="2"/>
    <m/>
    <x v="11"/>
    <m/>
    <x v="7"/>
    <x v="33"/>
    <x v="1"/>
    <s v="Olkypay"/>
    <m/>
    <m/>
  </r>
  <r>
    <d v="2022-04-01T00:00:00"/>
    <d v="2022-04-01T00:00:00"/>
    <n v="4"/>
    <x v="1"/>
    <m/>
    <m/>
    <m/>
    <m/>
    <m/>
    <m/>
    <m/>
    <n v="-19.899999999999999"/>
    <n v="3489.7403000000072"/>
    <m/>
    <m/>
    <x v="1"/>
    <x v="2"/>
    <m/>
    <x v="11"/>
    <m/>
    <x v="7"/>
    <x v="33"/>
    <x v="1"/>
    <s v="Olkypay"/>
    <m/>
    <m/>
  </r>
  <r>
    <d v="2022-04-19T00:00:00"/>
    <d v="2022-04-19T00:00:00"/>
    <n v="4"/>
    <x v="1"/>
    <m/>
    <m/>
    <m/>
    <s v="LUX"/>
    <n v="-75"/>
    <n v="0.17"/>
    <n v="-12.750000000000002"/>
    <n v="-87.75"/>
    <n v="3401.9903000000072"/>
    <m/>
    <m/>
    <x v="1"/>
    <x v="2"/>
    <m/>
    <x v="14"/>
    <m/>
    <x v="11"/>
    <x v="39"/>
    <x v="1"/>
    <s v="Sombra e Agua Fresca Resort Sàrl"/>
    <m/>
    <s v="X"/>
  </r>
  <r>
    <d v="2022-04-21T00:00:00"/>
    <d v="2022-04-21T00:00:00"/>
    <n v="4"/>
    <x v="1"/>
    <m/>
    <m/>
    <m/>
    <m/>
    <m/>
    <m/>
    <m/>
    <n v="-2465.1"/>
    <n v="936.8903000000073"/>
    <m/>
    <m/>
    <x v="1"/>
    <x v="2"/>
    <s v="IMPOT FORTUNE"/>
    <x v="13"/>
    <s v="IMPOT FORTUNE"/>
    <x v="12"/>
    <x v="38"/>
    <x v="1"/>
    <s v="Olkypay"/>
    <n v="2022"/>
    <m/>
  </r>
  <r>
    <d v="2022-04-21T00:00:00"/>
    <d v="2022-04-21T00:00:00"/>
    <n v="4"/>
    <x v="1"/>
    <m/>
    <m/>
    <m/>
    <m/>
    <m/>
    <m/>
    <m/>
    <n v="2465.1"/>
    <n v="3401.9903000000072"/>
    <m/>
    <m/>
    <x v="1"/>
    <x v="2"/>
    <s v="IMPOT FORTUNE"/>
    <x v="13"/>
    <s v="IMPOT FORTUNE"/>
    <x v="12"/>
    <x v="38"/>
    <x v="1"/>
    <s v="Olkypay"/>
    <n v="2022"/>
    <m/>
  </r>
  <r>
    <d v="2022-05-02T00:00:00"/>
    <d v="2022-05-02T00:00:00"/>
    <n v="5"/>
    <x v="1"/>
    <m/>
    <m/>
    <m/>
    <m/>
    <m/>
    <m/>
    <m/>
    <n v="-20.3"/>
    <n v="3381.690300000007"/>
    <m/>
    <m/>
    <x v="1"/>
    <x v="2"/>
    <m/>
    <x v="11"/>
    <m/>
    <x v="7"/>
    <x v="33"/>
    <x v="1"/>
    <s v="Olkypay"/>
    <m/>
    <m/>
  </r>
  <r>
    <d v="2022-05-18T00:00:00"/>
    <d v="2022-05-18T00:00:00"/>
    <n v="5"/>
    <x v="1"/>
    <m/>
    <m/>
    <m/>
    <s v="LUX"/>
    <n v="-21.37"/>
    <n v="0.17"/>
    <n v="-3.6329000000000002"/>
    <n v="-25.0029"/>
    <n v="3356.6874000000071"/>
    <m/>
    <m/>
    <x v="1"/>
    <x v="2"/>
    <m/>
    <x v="15"/>
    <m/>
    <x v="9"/>
    <x v="36"/>
    <x v="1"/>
    <s v="Sombra e Agua Fresca Resort Sàrl"/>
    <m/>
    <s v="X"/>
  </r>
  <r>
    <d v="2022-05-20T00:00:00"/>
    <d v="2022-05-20T00:00:00"/>
    <n v="5"/>
    <x v="1"/>
    <m/>
    <m/>
    <m/>
    <m/>
    <m/>
    <m/>
    <m/>
    <n v="-20"/>
    <n v="3336.6874000000071"/>
    <m/>
    <m/>
    <x v="1"/>
    <x v="2"/>
    <m/>
    <x v="15"/>
    <m/>
    <x v="13"/>
    <x v="40"/>
    <x v="1"/>
    <s v="Sombra e Agua Fresca Resort Sàrl"/>
    <m/>
    <m/>
  </r>
  <r>
    <d v="2022-05-27T00:00:00"/>
    <d v="2022-05-27T00:00:00"/>
    <n v="5"/>
    <x v="1"/>
    <m/>
    <m/>
    <m/>
    <s v="LUX"/>
    <n v="-72"/>
    <n v="0"/>
    <n v="0"/>
    <n v="-72"/>
    <n v="3264.6874000000071"/>
    <m/>
    <m/>
    <x v="1"/>
    <x v="2"/>
    <m/>
    <x v="15"/>
    <m/>
    <x v="9"/>
    <x v="36"/>
    <x v="1"/>
    <s v="Sombra e Agua Fresca Resort Sàrl"/>
    <m/>
    <s v="X"/>
  </r>
  <r>
    <d v="2022-05-27T00:00:00"/>
    <d v="2022-05-27T00:00:00"/>
    <n v="5"/>
    <x v="1"/>
    <m/>
    <m/>
    <m/>
    <s v="LUX"/>
    <n v="-70"/>
    <n v="0.17"/>
    <n v="-11.9"/>
    <n v="-81.900000000000006"/>
    <n v="3182.787400000007"/>
    <m/>
    <m/>
    <x v="1"/>
    <x v="2"/>
    <m/>
    <x v="15"/>
    <m/>
    <x v="9"/>
    <x v="36"/>
    <x v="1"/>
    <s v="Sombra e Agua Fresca Resort Sàrl"/>
    <m/>
    <s v="X"/>
  </r>
  <r>
    <d v="2022-06-01T00:00:00"/>
    <d v="2022-06-01T00:00:00"/>
    <n v="6"/>
    <x v="1"/>
    <m/>
    <m/>
    <m/>
    <m/>
    <m/>
    <m/>
    <m/>
    <n v="-20.5"/>
    <n v="3162.287400000007"/>
    <m/>
    <m/>
    <x v="1"/>
    <x v="2"/>
    <m/>
    <x v="11"/>
    <m/>
    <x v="7"/>
    <x v="33"/>
    <x v="1"/>
    <s v="Olkypay"/>
    <m/>
    <m/>
  </r>
  <r>
    <d v="2022-06-14T00:00:00"/>
    <d v="2022-06-14T00:00:00"/>
    <n v="6"/>
    <x v="1"/>
    <m/>
    <m/>
    <m/>
    <m/>
    <m/>
    <m/>
    <m/>
    <n v="0"/>
    <n v="3162.287400000007"/>
    <m/>
    <m/>
    <x v="0"/>
    <x v="1"/>
    <s v="C. DETTES"/>
    <x v="6"/>
    <m/>
    <x v="2"/>
    <x v="17"/>
    <x v="0"/>
    <s v="Edoardo Tubia"/>
    <m/>
    <m/>
  </r>
  <r>
    <d v="2022-06-14T00:00:00"/>
    <d v="2022-06-14T00:00:00"/>
    <n v="6"/>
    <x v="1"/>
    <m/>
    <n v="-3081.75"/>
    <n v="1.0762"/>
    <s v="INTR"/>
    <n v="-2863.5476677197544"/>
    <n v="0"/>
    <n v="0"/>
    <n v="0"/>
    <n v="3162.287400000007"/>
    <m/>
    <m/>
    <x v="1"/>
    <x v="2"/>
    <m/>
    <x v="3"/>
    <m/>
    <x v="14"/>
    <x v="41"/>
    <x v="1"/>
    <s v="Sombra e Agua Fresca Resort Sàrl"/>
    <m/>
    <s v="X"/>
  </r>
  <r>
    <d v="2022-06-17T00:00:00"/>
    <d v="2022-06-17T00:00:00"/>
    <n v="6"/>
    <x v="1"/>
    <m/>
    <m/>
    <m/>
    <s v="LUX"/>
    <n v="-75"/>
    <n v="0"/>
    <n v="0"/>
    <n v="-75"/>
    <n v="3087.287400000007"/>
    <m/>
    <m/>
    <x v="1"/>
    <x v="2"/>
    <m/>
    <x v="16"/>
    <m/>
    <x v="15"/>
    <x v="42"/>
    <x v="1"/>
    <s v="Sombra e Agua Fresca Resort Sàrl"/>
    <m/>
    <s v="X"/>
  </r>
  <r>
    <d v="2022-06-30T00:00:00"/>
    <d v="2022-06-30T00:00:00"/>
    <n v="6"/>
    <x v="1"/>
    <m/>
    <m/>
    <m/>
    <m/>
    <m/>
    <m/>
    <m/>
    <n v="-47.35"/>
    <n v="3039.9374000000071"/>
    <m/>
    <m/>
    <x v="1"/>
    <x v="2"/>
    <m/>
    <x v="11"/>
    <m/>
    <x v="7"/>
    <x v="33"/>
    <x v="1"/>
    <s v="Olkypay"/>
    <m/>
    <m/>
  </r>
  <r>
    <d v="2022-06-30T00:00:00"/>
    <d v="2022-06-30T00:00:00"/>
    <n v="6"/>
    <x v="1"/>
    <m/>
    <m/>
    <m/>
    <m/>
    <m/>
    <m/>
    <m/>
    <n v="-0.2"/>
    <n v="3039.7374000000073"/>
    <m/>
    <m/>
    <x v="1"/>
    <x v="2"/>
    <m/>
    <x v="11"/>
    <m/>
    <x v="7"/>
    <x v="33"/>
    <x v="1"/>
    <s v="Olkypay"/>
    <m/>
    <m/>
  </r>
  <r>
    <d v="2022-07-01T00:00:00"/>
    <d v="2022-07-01T00:00:00"/>
    <n v="7"/>
    <x v="1"/>
    <m/>
    <m/>
    <m/>
    <m/>
    <m/>
    <m/>
    <m/>
    <n v="-19.899999999999999"/>
    <n v="3019.8374000000072"/>
    <m/>
    <m/>
    <x v="1"/>
    <x v="2"/>
    <m/>
    <x v="11"/>
    <m/>
    <x v="7"/>
    <x v="33"/>
    <x v="1"/>
    <s v="Olkypay"/>
    <m/>
    <m/>
  </r>
  <r>
    <d v="2022-07-14T00:00:00"/>
    <d v="2022-07-14T00:00:00"/>
    <n v="7"/>
    <x v="1"/>
    <m/>
    <m/>
    <m/>
    <m/>
    <m/>
    <m/>
    <m/>
    <n v="-178.33"/>
    <n v="2841.5074000000072"/>
    <m/>
    <m/>
    <x v="1"/>
    <x v="2"/>
    <s v="IMPOT FORTUNE"/>
    <x v="13"/>
    <s v="IMPOT FORTUNE"/>
    <x v="10"/>
    <x v="38"/>
    <x v="1"/>
    <s v="Olkypay"/>
    <n v="2022"/>
    <m/>
  </r>
  <r>
    <d v="2022-07-14T00:00:00"/>
    <d v="2022-07-14T00:00:00"/>
    <n v="7"/>
    <x v="1"/>
    <m/>
    <m/>
    <m/>
    <m/>
    <m/>
    <m/>
    <m/>
    <n v="-350"/>
    <n v="2491.5074000000072"/>
    <m/>
    <m/>
    <x v="1"/>
    <x v="2"/>
    <m/>
    <x v="17"/>
    <m/>
    <x v="16"/>
    <x v="43"/>
    <x v="1"/>
    <s v="Olkypay"/>
    <m/>
    <m/>
  </r>
  <r>
    <d v="2022-08-01T00:00:00"/>
    <d v="2022-08-01T00:00:00"/>
    <n v="8"/>
    <x v="1"/>
    <m/>
    <m/>
    <m/>
    <m/>
    <m/>
    <m/>
    <m/>
    <n v="-20.3"/>
    <n v="2471.2074000000071"/>
    <m/>
    <m/>
    <x v="1"/>
    <x v="2"/>
    <m/>
    <x v="11"/>
    <m/>
    <x v="7"/>
    <x v="33"/>
    <x v="1"/>
    <s v="Olkypay"/>
    <m/>
    <m/>
  </r>
  <r>
    <d v="2022-09-01T00:00:00"/>
    <d v="2022-09-01T00:00:00"/>
    <n v="9"/>
    <x v="1"/>
    <m/>
    <m/>
    <m/>
    <m/>
    <m/>
    <m/>
    <m/>
    <n v="-19.899999999999999"/>
    <n v="2451.307400000007"/>
    <m/>
    <m/>
    <x v="1"/>
    <x v="2"/>
    <m/>
    <x v="11"/>
    <m/>
    <x v="7"/>
    <x v="33"/>
    <x v="1"/>
    <s v="Olkypay"/>
    <m/>
    <m/>
  </r>
  <r>
    <d v="2022-09-30T00:00:00"/>
    <d v="2022-09-30T00:00:00"/>
    <n v="9"/>
    <x v="1"/>
    <m/>
    <m/>
    <m/>
    <m/>
    <m/>
    <m/>
    <m/>
    <n v="-42.47"/>
    <n v="2408.8374000000072"/>
    <m/>
    <m/>
    <x v="1"/>
    <x v="2"/>
    <m/>
    <x v="11"/>
    <m/>
    <x v="7"/>
    <x v="33"/>
    <x v="1"/>
    <s v="Olkypay"/>
    <m/>
    <m/>
  </r>
  <r>
    <d v="2022-10-01T00:00:00"/>
    <d v="2022-10-01T00:00:00"/>
    <n v="10"/>
    <x v="1"/>
    <m/>
    <m/>
    <m/>
    <m/>
    <m/>
    <m/>
    <m/>
    <n v="-19.899999999999999"/>
    <n v="2388.9374000000071"/>
    <m/>
    <m/>
    <x v="1"/>
    <x v="2"/>
    <m/>
    <x v="11"/>
    <m/>
    <x v="7"/>
    <x v="33"/>
    <x v="1"/>
    <s v="Olkypay"/>
    <m/>
    <m/>
  </r>
  <r>
    <d v="2022-10-31T00:00:00"/>
    <d v="2022-10-31T00:00:00"/>
    <n v="10"/>
    <x v="1"/>
    <m/>
    <m/>
    <m/>
    <m/>
    <m/>
    <m/>
    <m/>
    <n v="-178.33"/>
    <n v="2210.6074000000071"/>
    <m/>
    <m/>
    <x v="1"/>
    <x v="2"/>
    <s v="IMPOT FORTUNE"/>
    <x v="13"/>
    <s v="IMPOT FORTUNE"/>
    <x v="10"/>
    <x v="38"/>
    <x v="1"/>
    <s v="Olkypay"/>
    <n v="2022"/>
    <m/>
  </r>
  <r>
    <d v="2022-11-01T00:00:00"/>
    <d v="2022-11-01T00:00:00"/>
    <n v="11"/>
    <x v="1"/>
    <m/>
    <m/>
    <m/>
    <m/>
    <m/>
    <m/>
    <m/>
    <n v="-20.100000000000001"/>
    <n v="2190.5074000000072"/>
    <m/>
    <m/>
    <x v="1"/>
    <x v="2"/>
    <m/>
    <x v="11"/>
    <m/>
    <x v="7"/>
    <x v="33"/>
    <x v="1"/>
    <s v="Olkypay"/>
    <m/>
    <m/>
  </r>
  <r>
    <d v="2022-11-01T00:00:00"/>
    <d v="2022-12-01T00:00:00"/>
    <n v="12"/>
    <x v="1"/>
    <m/>
    <m/>
    <m/>
    <m/>
    <m/>
    <m/>
    <m/>
    <n v="-19.899999999999999"/>
    <n v="2170.6074000000071"/>
    <m/>
    <m/>
    <x v="1"/>
    <x v="2"/>
    <m/>
    <x v="11"/>
    <m/>
    <x v="7"/>
    <x v="33"/>
    <x v="1"/>
    <s v="Olkypay"/>
    <m/>
    <m/>
  </r>
  <r>
    <d v="2022-12-31T00:00:00"/>
    <d v="2022-12-31T00:00:00"/>
    <n v="12"/>
    <x v="1"/>
    <m/>
    <m/>
    <m/>
    <m/>
    <m/>
    <m/>
    <m/>
    <n v="-40"/>
    <n v="2130.6074000000071"/>
    <m/>
    <m/>
    <x v="1"/>
    <x v="2"/>
    <m/>
    <x v="11"/>
    <m/>
    <x v="7"/>
    <x v="33"/>
    <x v="1"/>
    <s v="Olkypay"/>
    <m/>
    <m/>
  </r>
  <r>
    <d v="2022-12-31T00:00:00"/>
    <d v="2022-12-31T00:00:00"/>
    <n v="12"/>
    <x v="1"/>
    <m/>
    <m/>
    <m/>
    <m/>
    <m/>
    <m/>
    <m/>
    <n v="-14126.71"/>
    <n v="-11996.102599999991"/>
    <m/>
    <m/>
    <x v="0"/>
    <x v="0"/>
    <s v="D. ACTIF CIRCULANT"/>
    <x v="1"/>
    <m/>
    <x v="1"/>
    <x v="2"/>
    <x v="0"/>
    <m/>
    <m/>
    <m/>
  </r>
  <r>
    <d v="2022-12-31T00:00:00"/>
    <d v="2022-12-31T00:00:00"/>
    <n v="12"/>
    <x v="1"/>
    <m/>
    <m/>
    <m/>
    <m/>
    <m/>
    <m/>
    <m/>
    <n v="14126.71"/>
    <n v="2130.6074000000081"/>
    <m/>
    <m/>
    <x v="0"/>
    <x v="0"/>
    <s v="D. ACTIF CIRCULANT"/>
    <x v="1"/>
    <m/>
    <x v="1"/>
    <x v="1"/>
    <x v="0"/>
    <s v="Sombra e Agua Fresca Resort Sàrl"/>
    <m/>
    <m/>
  </r>
  <r>
    <d v="2022-12-31T00:00:00"/>
    <d v="2022-12-31T00:00:00"/>
    <n v="12"/>
    <x v="1"/>
    <m/>
    <m/>
    <m/>
    <m/>
    <m/>
    <m/>
    <m/>
    <n v="-3154.39"/>
    <n v="-1023.7825999999918"/>
    <m/>
    <m/>
    <x v="0"/>
    <x v="1"/>
    <s v="C. DETTES"/>
    <x v="3"/>
    <m/>
    <x v="3"/>
    <x v="16"/>
    <x v="0"/>
    <m/>
    <m/>
    <m/>
  </r>
  <r>
    <d v="2022-12-31T00:00:00"/>
    <d v="2022-12-31T00:00:00"/>
    <n v="12"/>
    <x v="1"/>
    <m/>
    <m/>
    <m/>
    <m/>
    <m/>
    <m/>
    <m/>
    <n v="3154.39"/>
    <n v="2130.6074000000081"/>
    <m/>
    <m/>
    <x v="0"/>
    <x v="1"/>
    <s v="C. DETTES"/>
    <x v="4"/>
    <m/>
    <x v="3"/>
    <x v="1"/>
    <x v="0"/>
    <s v="Sombra e Agua Fresca Resort Sàrl"/>
    <m/>
    <m/>
  </r>
  <r>
    <d v="2022-12-31T00:00:00"/>
    <d v="2022-12-31T00:00:00"/>
    <n v="12"/>
    <x v="1"/>
    <m/>
    <m/>
    <m/>
    <m/>
    <m/>
    <m/>
    <m/>
    <n v="4640"/>
    <n v="6770.6074000000081"/>
    <m/>
    <m/>
    <x v="0"/>
    <x v="1"/>
    <s v="C. DETTES"/>
    <x v="5"/>
    <m/>
    <x v="3"/>
    <x v="16"/>
    <x v="0"/>
    <m/>
    <m/>
    <m/>
  </r>
  <r>
    <d v="2022-12-31T00:00:00"/>
    <d v="2022-12-31T00:00:00"/>
    <n v="12"/>
    <x v="1"/>
    <m/>
    <m/>
    <m/>
    <m/>
    <m/>
    <m/>
    <m/>
    <n v="-4640"/>
    <n v="2130.6074000000081"/>
    <m/>
    <m/>
    <x v="0"/>
    <x v="1"/>
    <s v="C. DETTES"/>
    <x v="4"/>
    <m/>
    <x v="3"/>
    <x v="1"/>
    <x v="0"/>
    <s v="Sombra e Agua Fresca Resort Sàrl"/>
    <m/>
    <m/>
  </r>
  <r>
    <d v="2022-12-31T00:00:00"/>
    <d v="2022-12-31T00:00:00"/>
    <n v="12"/>
    <x v="1"/>
    <m/>
    <m/>
    <m/>
    <m/>
    <m/>
    <m/>
    <m/>
    <n v="4280.01"/>
    <n v="6410.6174000000083"/>
    <m/>
    <m/>
    <x v="0"/>
    <x v="1"/>
    <s v="DETTES"/>
    <x v="18"/>
    <m/>
    <x v="3"/>
    <x v="38"/>
    <x v="0"/>
    <m/>
    <m/>
    <m/>
  </r>
  <r>
    <d v="2022-12-31T00:00:00"/>
    <d v="2022-12-31T00:00:00"/>
    <n v="12"/>
    <x v="1"/>
    <m/>
    <m/>
    <m/>
    <m/>
    <m/>
    <m/>
    <m/>
    <n v="-4280.01"/>
    <n v="2130.6074000000081"/>
    <m/>
    <m/>
    <x v="0"/>
    <x v="1"/>
    <s v="C. DETTES"/>
    <x v="4"/>
    <m/>
    <x v="3"/>
    <x v="1"/>
    <x v="0"/>
    <s v="Sombra e Agua Fresca Resort Sàrl"/>
    <m/>
    <m/>
  </r>
  <r>
    <d v="2022-12-31T00:00:00"/>
    <d v="2022-12-31T00:00:00"/>
    <n v="12"/>
    <x v="1"/>
    <m/>
    <m/>
    <m/>
    <m/>
    <m/>
    <m/>
    <m/>
    <n v="5652.07"/>
    <n v="7782.6774000000078"/>
    <m/>
    <m/>
    <x v="0"/>
    <x v="1"/>
    <s v="A. CAPITAUX PROPRES"/>
    <x v="9"/>
    <m/>
    <x v="5"/>
    <x v="19"/>
    <x v="0"/>
    <m/>
    <m/>
    <m/>
  </r>
  <r>
    <d v="2022-12-31T00:00:00"/>
    <d v="2022-12-31T00:00:00"/>
    <n v="12"/>
    <x v="1"/>
    <m/>
    <m/>
    <m/>
    <m/>
    <m/>
    <m/>
    <m/>
    <n v="-5652.07"/>
    <n v="2130.6074000000081"/>
    <m/>
    <m/>
    <x v="0"/>
    <x v="1"/>
    <s v="A. CAPITAUX PROPRES"/>
    <x v="9"/>
    <m/>
    <x v="5"/>
    <x v="1"/>
    <x v="0"/>
    <s v="Sombra e Agua Fresca Resort Sàrl"/>
    <m/>
    <m/>
  </r>
  <r>
    <d v="2022-12-31T00:00:00"/>
    <d v="2022-12-31T00:00:00"/>
    <n v="12"/>
    <x v="1"/>
    <m/>
    <m/>
    <m/>
    <m/>
    <m/>
    <m/>
    <m/>
    <n v="-5652.07"/>
    <n v="-3521.4625999999917"/>
    <m/>
    <m/>
    <x v="0"/>
    <x v="1"/>
    <s v="A. CAPITAUX PROPRES"/>
    <x v="19"/>
    <m/>
    <x v="17"/>
    <x v="44"/>
    <x v="0"/>
    <m/>
    <m/>
    <m/>
  </r>
  <r>
    <d v="2022-12-31T00:00:00"/>
    <d v="2022-12-31T00:00:00"/>
    <n v="12"/>
    <x v="1"/>
    <m/>
    <m/>
    <m/>
    <m/>
    <m/>
    <m/>
    <m/>
    <n v="5652.07"/>
    <n v="2130.6074000000081"/>
    <m/>
    <m/>
    <x v="0"/>
    <x v="1"/>
    <s v="A. CAPITAUX PROPRES"/>
    <x v="19"/>
    <m/>
    <x v="17"/>
    <x v="1"/>
    <x v="0"/>
    <s v="Sombra e Agua Fresca Resort Sàrl"/>
    <m/>
    <m/>
  </r>
  <r>
    <d v="2022-12-31T00:00:00"/>
    <d v="2022-12-31T00:00:00"/>
    <n v="12"/>
    <x v="1"/>
    <m/>
    <m/>
    <m/>
    <m/>
    <m/>
    <m/>
    <m/>
    <n v="-13596.1"/>
    <n v="-11465.492599999992"/>
    <m/>
    <m/>
    <x v="0"/>
    <x v="1"/>
    <s v="A. CAPITAUX PROPRES"/>
    <x v="9"/>
    <m/>
    <x v="5"/>
    <x v="19"/>
    <x v="0"/>
    <m/>
    <m/>
    <m/>
  </r>
  <r>
    <d v="2022-12-31T00:00:00"/>
    <d v="2022-12-31T00:00:00"/>
    <n v="12"/>
    <x v="1"/>
    <m/>
    <m/>
    <m/>
    <m/>
    <m/>
    <m/>
    <m/>
    <n v="13596.1"/>
    <n v="2130.6074000000081"/>
    <m/>
    <m/>
    <x v="0"/>
    <x v="1"/>
    <s v="A. CAPITAUX PROPRES"/>
    <x v="9"/>
    <m/>
    <x v="5"/>
    <x v="1"/>
    <x v="0"/>
    <s v="Sombra e Agua Fresca Resort Sàrl"/>
    <m/>
    <m/>
  </r>
  <r>
    <d v="2023-01-01T00:00:00"/>
    <d v="2023-01-01T00:00:00"/>
    <n v="1"/>
    <x v="2"/>
    <m/>
    <m/>
    <m/>
    <m/>
    <m/>
    <m/>
    <m/>
    <n v="0.32"/>
    <n v="2130.9274000000082"/>
    <s v="A"/>
    <m/>
    <x v="0"/>
    <x v="1"/>
    <s v="A. CAPITAUX PROPRES"/>
    <x v="10"/>
    <m/>
    <x v="6"/>
    <x v="26"/>
    <x v="0"/>
    <s v="Christine Oliveira"/>
    <m/>
    <m/>
  </r>
  <r>
    <d v="2023-01-01T00:00:00"/>
    <d v="2023-01-01T00:00:00"/>
    <n v="1"/>
    <x v="2"/>
    <m/>
    <m/>
    <m/>
    <m/>
    <m/>
    <m/>
    <m/>
    <n v="-0.32"/>
    <n v="2130.6074000000081"/>
    <s v="A"/>
    <m/>
    <x v="0"/>
    <x v="1"/>
    <s v="C. DETTES"/>
    <x v="2"/>
    <m/>
    <x v="2"/>
    <x v="3"/>
    <x v="0"/>
    <s v="Christine Oliveira"/>
    <m/>
    <m/>
  </r>
  <r>
    <d v="2023-01-01T00:00:00"/>
    <d v="2023-01-01T00:00:00"/>
    <n v="1"/>
    <x v="2"/>
    <m/>
    <m/>
    <m/>
    <m/>
    <m/>
    <m/>
    <m/>
    <n v="0.32"/>
    <n v="2130.9274000000082"/>
    <s v="A"/>
    <m/>
    <x v="0"/>
    <x v="1"/>
    <s v="A. CAPITAUX PROPRES"/>
    <x v="10"/>
    <m/>
    <x v="6"/>
    <x v="27"/>
    <x v="0"/>
    <s v="Jens Liesen"/>
    <m/>
    <m/>
  </r>
  <r>
    <d v="2023-01-01T00:00:00"/>
    <d v="2023-01-01T00:00:00"/>
    <n v="1"/>
    <x v="2"/>
    <m/>
    <m/>
    <m/>
    <m/>
    <m/>
    <m/>
    <m/>
    <n v="-0.32"/>
    <n v="2130.6074000000081"/>
    <s v="A"/>
    <m/>
    <x v="0"/>
    <x v="1"/>
    <s v="C. DETTES"/>
    <x v="2"/>
    <m/>
    <x v="2"/>
    <x v="4"/>
    <x v="0"/>
    <s v="Jens Liesen"/>
    <m/>
    <m/>
  </r>
  <r>
    <d v="2023-01-01T00:00:00"/>
    <d v="2023-01-01T00:00:00"/>
    <n v="1"/>
    <x v="2"/>
    <m/>
    <m/>
    <m/>
    <m/>
    <m/>
    <m/>
    <m/>
    <n v="0.25"/>
    <n v="2130.8574000000081"/>
    <s v="B"/>
    <m/>
    <x v="0"/>
    <x v="1"/>
    <s v="A. CAPITAUX PROPRES"/>
    <x v="10"/>
    <m/>
    <x v="6"/>
    <x v="28"/>
    <x v="0"/>
    <s v="Giorgio Vignolle"/>
    <m/>
    <m/>
  </r>
  <r>
    <d v="2023-01-01T00:00:00"/>
    <d v="2023-01-01T00:00:00"/>
    <n v="1"/>
    <x v="2"/>
    <m/>
    <m/>
    <m/>
    <m/>
    <m/>
    <m/>
    <m/>
    <n v="-0.25"/>
    <n v="2130.6074000000081"/>
    <s v="B"/>
    <m/>
    <x v="0"/>
    <x v="1"/>
    <s v="C. DETTES"/>
    <x v="2"/>
    <m/>
    <x v="2"/>
    <x v="5"/>
    <x v="0"/>
    <s v="Giorgio Vignolle"/>
    <m/>
    <m/>
  </r>
  <r>
    <d v="2023-01-01T00:00:00"/>
    <d v="2023-01-01T00:00:00"/>
    <n v="1"/>
    <x v="2"/>
    <m/>
    <m/>
    <m/>
    <m/>
    <m/>
    <m/>
    <m/>
    <n v="0.5"/>
    <n v="2131.1074000000081"/>
    <s v="D"/>
    <m/>
    <x v="0"/>
    <x v="1"/>
    <s v="A. CAPITAUX PROPRES"/>
    <x v="10"/>
    <m/>
    <x v="6"/>
    <x v="21"/>
    <x v="0"/>
    <s v="Giancarlo Raggi"/>
    <m/>
    <m/>
  </r>
  <r>
    <d v="2023-01-01T00:00:00"/>
    <d v="2023-01-01T00:00:00"/>
    <n v="1"/>
    <x v="2"/>
    <m/>
    <m/>
    <m/>
    <m/>
    <m/>
    <m/>
    <m/>
    <n v="-0.5"/>
    <n v="2130.6074000000081"/>
    <s v="D"/>
    <m/>
    <x v="0"/>
    <x v="1"/>
    <s v="C. DETTES"/>
    <x v="2"/>
    <m/>
    <x v="2"/>
    <x v="8"/>
    <x v="0"/>
    <s v="Giancarlo Raggi"/>
    <m/>
    <m/>
  </r>
  <r>
    <d v="2023-01-01T00:00:00"/>
    <d v="2023-01-01T00:00:00"/>
    <n v="1"/>
    <x v="2"/>
    <m/>
    <m/>
    <m/>
    <m/>
    <m/>
    <m/>
    <m/>
    <n v="-0.47"/>
    <n v="2130.1374000000083"/>
    <s v="D"/>
    <m/>
    <x v="0"/>
    <x v="1"/>
    <s v="A. CAPITAUX PROPRES"/>
    <x v="10"/>
    <m/>
    <x v="6"/>
    <x v="32"/>
    <x v="0"/>
    <s v="Ingrid Lambert"/>
    <m/>
    <m/>
  </r>
  <r>
    <d v="2023-01-01T00:00:00"/>
    <d v="2023-01-01T00:00:00"/>
    <n v="1"/>
    <x v="2"/>
    <m/>
    <m/>
    <m/>
    <m/>
    <m/>
    <m/>
    <m/>
    <n v="0.47"/>
    <n v="2130.6074000000081"/>
    <s v="D"/>
    <m/>
    <x v="0"/>
    <x v="1"/>
    <s v="C. DETTES"/>
    <x v="2"/>
    <m/>
    <x v="2"/>
    <x v="9"/>
    <x v="0"/>
    <s v="Ingrid Lambert"/>
    <m/>
    <m/>
  </r>
  <r>
    <d v="2023-01-01T00:00:00"/>
    <d v="2023-01-01T00:00:00"/>
    <n v="1"/>
    <x v="2"/>
    <m/>
    <m/>
    <m/>
    <m/>
    <m/>
    <m/>
    <m/>
    <n v="-0.1"/>
    <n v="2130.5074000000081"/>
    <s v="E"/>
    <m/>
    <x v="0"/>
    <x v="1"/>
    <s v="A. CAPITAUX PROPRES"/>
    <x v="10"/>
    <m/>
    <x v="6"/>
    <x v="25"/>
    <x v="0"/>
    <s v="Enrico Tubia"/>
    <m/>
    <m/>
  </r>
  <r>
    <d v="2023-01-01T00:00:00"/>
    <d v="2023-01-01T00:00:00"/>
    <n v="1"/>
    <x v="2"/>
    <m/>
    <m/>
    <m/>
    <m/>
    <m/>
    <m/>
    <m/>
    <n v="0.1"/>
    <n v="2130.6074000000081"/>
    <s v="E"/>
    <m/>
    <x v="0"/>
    <x v="1"/>
    <s v="C. DETTES"/>
    <x v="2"/>
    <m/>
    <x v="2"/>
    <x v="10"/>
    <x v="0"/>
    <s v="Enrico Tubia"/>
    <m/>
    <m/>
  </r>
  <r>
    <d v="2023-01-01T00:00:00"/>
    <d v="2023-01-01T00:00:00"/>
    <n v="1"/>
    <x v="2"/>
    <m/>
    <m/>
    <m/>
    <m/>
    <m/>
    <m/>
    <m/>
    <n v="0.27"/>
    <n v="2130.877400000008"/>
    <s v="F"/>
    <m/>
    <x v="0"/>
    <x v="1"/>
    <s v="A. CAPITAUX PROPRES"/>
    <x v="10"/>
    <m/>
    <x v="6"/>
    <x v="23"/>
    <x v="0"/>
    <s v="Edoardo Tubia"/>
    <m/>
    <m/>
  </r>
  <r>
    <d v="2023-01-01T00:00:00"/>
    <d v="2023-01-01T00:00:00"/>
    <n v="1"/>
    <x v="2"/>
    <m/>
    <m/>
    <m/>
    <m/>
    <m/>
    <m/>
    <m/>
    <n v="-0.27"/>
    <n v="2130.6074000000081"/>
    <s v="F"/>
    <m/>
    <x v="0"/>
    <x v="1"/>
    <s v="C. DETTES"/>
    <x v="2"/>
    <m/>
    <x v="2"/>
    <x v="11"/>
    <x v="0"/>
    <s v="Edoardo Tubia"/>
    <m/>
    <m/>
  </r>
  <r>
    <d v="2023-01-01T00:00:00"/>
    <d v="2023-01-01T00:00:00"/>
    <n v="1"/>
    <x v="2"/>
    <m/>
    <m/>
    <m/>
    <m/>
    <m/>
    <m/>
    <m/>
    <n v="-0.1"/>
    <n v="2130.5074000000081"/>
    <s v="F"/>
    <m/>
    <x v="0"/>
    <x v="1"/>
    <s v="A. CAPITAUX PROPRES"/>
    <x v="10"/>
    <m/>
    <x v="6"/>
    <x v="20"/>
    <x v="0"/>
    <s v="Silvia Tubia"/>
    <m/>
    <m/>
  </r>
  <r>
    <d v="2023-01-01T00:00:00"/>
    <d v="2023-01-01T00:00:00"/>
    <n v="1"/>
    <x v="2"/>
    <m/>
    <m/>
    <m/>
    <m/>
    <m/>
    <m/>
    <m/>
    <n v="0.1"/>
    <n v="2130.6074000000081"/>
    <s v="F"/>
    <m/>
    <x v="0"/>
    <x v="1"/>
    <s v="C. DETTES"/>
    <x v="2"/>
    <m/>
    <x v="2"/>
    <x v="12"/>
    <x v="0"/>
    <s v="Silvia Tubia"/>
    <m/>
    <m/>
  </r>
  <r>
    <d v="2023-01-01T00:00:00"/>
    <d v="2023-01-01T00:00:00"/>
    <n v="1"/>
    <x v="2"/>
    <m/>
    <m/>
    <m/>
    <m/>
    <m/>
    <m/>
    <m/>
    <n v="-0.41"/>
    <n v="2130.1974000000082"/>
    <s v="G"/>
    <m/>
    <x v="0"/>
    <x v="1"/>
    <s v="A. CAPITAUX PROPRES"/>
    <x v="10"/>
    <m/>
    <x v="6"/>
    <x v="24"/>
    <x v="0"/>
    <s v="Susik Hemawiti"/>
    <m/>
    <m/>
  </r>
  <r>
    <d v="2023-01-01T00:00:00"/>
    <d v="2023-01-01T00:00:00"/>
    <n v="1"/>
    <x v="2"/>
    <m/>
    <m/>
    <m/>
    <m/>
    <m/>
    <m/>
    <m/>
    <n v="0.41"/>
    <n v="2130.6074000000081"/>
    <s v="G"/>
    <m/>
    <x v="0"/>
    <x v="1"/>
    <s v="C. DETTES"/>
    <x v="2"/>
    <m/>
    <x v="2"/>
    <x v="13"/>
    <x v="0"/>
    <s v="Susik Hemawiti"/>
    <m/>
    <m/>
  </r>
  <r>
    <d v="2023-01-01T00:00:00"/>
    <d v="2023-01-01T00:00:00"/>
    <n v="1"/>
    <x v="2"/>
    <m/>
    <m/>
    <m/>
    <m/>
    <m/>
    <m/>
    <m/>
    <n v="-0.51"/>
    <n v="2130.0974000000078"/>
    <s v="H"/>
    <m/>
    <x v="0"/>
    <x v="1"/>
    <s v="A. CAPITAUX PROPRES"/>
    <x v="10"/>
    <m/>
    <x v="6"/>
    <x v="22"/>
    <x v="0"/>
    <s v="New Life Sàrl"/>
    <m/>
    <m/>
  </r>
  <r>
    <d v="2023-01-01T00:00:00"/>
    <d v="2023-01-01T00:00:00"/>
    <n v="1"/>
    <x v="2"/>
    <m/>
    <m/>
    <m/>
    <m/>
    <m/>
    <m/>
    <m/>
    <n v="0.51"/>
    <n v="2130.6074000000081"/>
    <s v="H"/>
    <m/>
    <x v="0"/>
    <x v="1"/>
    <s v="C. DETTES"/>
    <x v="2"/>
    <m/>
    <x v="2"/>
    <x v="14"/>
    <x v="0"/>
    <s v="New Life Sàrl"/>
    <m/>
    <m/>
  </r>
  <r>
    <d v="2023-01-01T00:00:00"/>
    <d v="2023-01-01T00:00:00"/>
    <n v="1"/>
    <x v="2"/>
    <m/>
    <m/>
    <m/>
    <m/>
    <m/>
    <m/>
    <m/>
    <n v="-0.04"/>
    <n v="2130.5674000000081"/>
    <s v="I"/>
    <m/>
    <x v="0"/>
    <x v="1"/>
    <s v="A. CAPITAUX PROPRES"/>
    <x v="10"/>
    <m/>
    <x v="6"/>
    <x v="31"/>
    <x v="0"/>
    <s v="Michel Barbancey"/>
    <m/>
    <m/>
  </r>
  <r>
    <d v="2023-01-01T00:00:00"/>
    <d v="2023-01-01T00:00:00"/>
    <n v="1"/>
    <x v="2"/>
    <m/>
    <m/>
    <m/>
    <m/>
    <m/>
    <m/>
    <m/>
    <n v="0.04"/>
    <n v="2130.6074000000081"/>
    <s v="I"/>
    <m/>
    <x v="0"/>
    <x v="1"/>
    <s v="C. DETTES"/>
    <x v="2"/>
    <m/>
    <x v="2"/>
    <x v="15"/>
    <x v="0"/>
    <s v="Michel Barbancey"/>
    <m/>
    <m/>
  </r>
  <r>
    <d v="2023-01-01T00:00:00"/>
    <d v="2023-01-01T00:00:00"/>
    <n v="1"/>
    <x v="2"/>
    <m/>
    <m/>
    <m/>
    <m/>
    <m/>
    <m/>
    <m/>
    <n v="-0.04"/>
    <n v="2130.5674000000081"/>
    <s v="C"/>
    <m/>
    <x v="0"/>
    <x v="1"/>
    <s v="A. CAPITAUX PROPRES"/>
    <x v="10"/>
    <m/>
    <x v="6"/>
    <x v="35"/>
    <x v="0"/>
    <s v="Cofre Luxembourg Wind SA"/>
    <m/>
    <m/>
  </r>
  <r>
    <d v="2023-01-01T00:00:00"/>
    <d v="2023-01-01T00:00:00"/>
    <n v="1"/>
    <x v="2"/>
    <m/>
    <m/>
    <m/>
    <m/>
    <m/>
    <m/>
    <m/>
    <n v="0.04"/>
    <n v="2130.6074000000081"/>
    <s v="C"/>
    <m/>
    <x v="0"/>
    <x v="1"/>
    <s v="C. DETTES"/>
    <x v="2"/>
    <m/>
    <x v="2"/>
    <x v="37"/>
    <x v="0"/>
    <s v="Cofre Luxembourg Wind SA"/>
    <m/>
    <m/>
  </r>
  <r>
    <d v="2023-01-02T00:00:00"/>
    <d v="2023-01-02T00:00:00"/>
    <n v="1"/>
    <x v="2"/>
    <m/>
    <m/>
    <m/>
    <m/>
    <m/>
    <m/>
    <m/>
    <n v="-19.899999999999999"/>
    <n v="2110.707400000008"/>
    <m/>
    <m/>
    <x v="1"/>
    <x v="2"/>
    <m/>
    <x v="11"/>
    <m/>
    <x v="7"/>
    <x v="33"/>
    <x v="1"/>
    <s v="Olkypay"/>
    <m/>
    <m/>
  </r>
  <r>
    <d v="2023-02-01T00:00:00"/>
    <d v="2023-02-01T00:00:00"/>
    <n v="2"/>
    <x v="2"/>
    <m/>
    <m/>
    <m/>
    <m/>
    <m/>
    <m/>
    <m/>
    <n v="-19.899999999999999"/>
    <n v="2090.8074000000079"/>
    <m/>
    <m/>
    <x v="1"/>
    <x v="2"/>
    <m/>
    <x v="11"/>
    <m/>
    <x v="7"/>
    <x v="33"/>
    <x v="1"/>
    <s v="Olkypay"/>
    <m/>
    <m/>
  </r>
  <r>
    <d v="2023-03-01T00:00:00"/>
    <d v="2023-03-01T00:00:00"/>
    <n v="3"/>
    <x v="2"/>
    <m/>
    <m/>
    <m/>
    <m/>
    <m/>
    <m/>
    <m/>
    <n v="-19.899999999999999"/>
    <n v="2070.9074000000078"/>
    <m/>
    <m/>
    <x v="1"/>
    <x v="2"/>
    <m/>
    <x v="11"/>
    <m/>
    <x v="7"/>
    <x v="33"/>
    <x v="1"/>
    <s v="Olkypay"/>
    <m/>
    <m/>
  </r>
  <r>
    <d v="2023-03-31T00:00:00"/>
    <d v="2023-03-31T00:00:00"/>
    <n v="3"/>
    <x v="2"/>
    <m/>
    <m/>
    <m/>
    <m/>
    <m/>
    <m/>
    <m/>
    <n v="-40"/>
    <n v="2030.9074000000078"/>
    <m/>
    <m/>
    <x v="1"/>
    <x v="2"/>
    <m/>
    <x v="11"/>
    <m/>
    <x v="7"/>
    <x v="33"/>
    <x v="1"/>
    <s v="Olkypay"/>
    <m/>
    <m/>
  </r>
  <r>
    <d v="2023-04-01T00:00:00"/>
    <d v="2023-04-01T00:00:00"/>
    <n v="4"/>
    <x v="2"/>
    <m/>
    <m/>
    <m/>
    <m/>
    <m/>
    <m/>
    <m/>
    <n v="-19.899999999999999"/>
    <n v="2011.0074000000077"/>
    <m/>
    <m/>
    <x v="1"/>
    <x v="2"/>
    <m/>
    <x v="11"/>
    <m/>
    <x v="7"/>
    <x v="33"/>
    <x v="1"/>
    <s v="Olkypay"/>
    <m/>
    <m/>
  </r>
  <r>
    <d v="2023-05-01T00:00:00"/>
    <d v="2023-05-01T00:00:00"/>
    <n v="5"/>
    <x v="2"/>
    <m/>
    <m/>
    <m/>
    <m/>
    <m/>
    <m/>
    <m/>
    <n v="-19.899999999999999"/>
    <n v="1991.1074000000076"/>
    <m/>
    <m/>
    <x v="1"/>
    <x v="2"/>
    <m/>
    <x v="11"/>
    <m/>
    <x v="7"/>
    <x v="33"/>
    <x v="1"/>
    <s v="Olkypay"/>
    <m/>
    <m/>
  </r>
  <r>
    <d v="2023-06-01T00:00:00"/>
    <d v="2023-06-01T00:00:00"/>
    <n v="6"/>
    <x v="2"/>
    <m/>
    <m/>
    <m/>
    <m/>
    <m/>
    <m/>
    <m/>
    <n v="-19.899999999999999"/>
    <n v="1971.2074000000075"/>
    <m/>
    <m/>
    <x v="1"/>
    <x v="2"/>
    <m/>
    <x v="11"/>
    <m/>
    <x v="7"/>
    <x v="33"/>
    <x v="1"/>
    <s v="Olkypay"/>
    <m/>
    <m/>
  </r>
  <r>
    <d v="2023-06-09T00:00:00"/>
    <d v="2023-06-09T00:00:00"/>
    <n v="6"/>
    <x v="2"/>
    <m/>
    <m/>
    <m/>
    <m/>
    <m/>
    <m/>
    <m/>
    <n v="12000"/>
    <n v="13971.207400000007"/>
    <m/>
    <m/>
    <x v="0"/>
    <x v="1"/>
    <s v="C. DETTES"/>
    <x v="6"/>
    <m/>
    <x v="2"/>
    <x v="17"/>
    <x v="1"/>
    <s v="Edoardo Tubia"/>
    <m/>
    <m/>
  </r>
  <r>
    <d v="2023-06-09T00:00:00"/>
    <d v="2023-06-09T00:00:00"/>
    <n v="6"/>
    <x v="2"/>
    <m/>
    <m/>
    <m/>
    <m/>
    <m/>
    <m/>
    <m/>
    <n v="-133.75"/>
    <n v="13837.457400000007"/>
    <m/>
    <m/>
    <x v="1"/>
    <x v="2"/>
    <s v="IMPOT FORTUNE"/>
    <x v="13"/>
    <s v="IMPOT FORTUNE"/>
    <x v="18"/>
    <x v="38"/>
    <x v="1"/>
    <s v="Olkypay"/>
    <n v="2023"/>
    <m/>
  </r>
  <r>
    <d v="2023-06-09T00:00:00"/>
    <d v="2023-06-09T00:00:00"/>
    <n v="6"/>
    <x v="2"/>
    <m/>
    <m/>
    <m/>
    <m/>
    <m/>
    <m/>
    <m/>
    <n v="-133.75"/>
    <n v="13703.707400000007"/>
    <m/>
    <m/>
    <x v="1"/>
    <x v="2"/>
    <s v="IMPOT FORTUNE"/>
    <x v="13"/>
    <s v="IMPOT FORTUNE"/>
    <x v="18"/>
    <x v="38"/>
    <x v="1"/>
    <s v="Olkypay"/>
    <n v="2023"/>
    <m/>
  </r>
  <r>
    <d v="2023-06-12T00:00:00"/>
    <d v="2023-06-12T00:00:00"/>
    <n v="6"/>
    <x v="2"/>
    <m/>
    <m/>
    <m/>
    <m/>
    <m/>
    <m/>
    <m/>
    <n v="-4280.01"/>
    <n v="9423.6974000000064"/>
    <m/>
    <m/>
    <x v="1"/>
    <x v="2"/>
    <s v="IMPOT FORTUNE"/>
    <x v="13"/>
    <s v="IMPOT FORTUNE"/>
    <x v="10"/>
    <x v="38"/>
    <x v="1"/>
    <s v="Olkypay"/>
    <n v="2022"/>
    <m/>
  </r>
  <r>
    <d v="2023-06-12T00:00:00"/>
    <d v="2023-06-12T00:00:00"/>
    <n v="6"/>
    <x v="2"/>
    <m/>
    <m/>
    <m/>
    <s v="LUX"/>
    <n v="-1500"/>
    <n v="0.16"/>
    <n v="-240"/>
    <n v="-1740"/>
    <n v="7683.6974000000064"/>
    <m/>
    <m/>
    <x v="1"/>
    <x v="2"/>
    <m/>
    <x v="20"/>
    <m/>
    <x v="19"/>
    <x v="45"/>
    <x v="1"/>
    <s v="Olkypay"/>
    <m/>
    <s v="X"/>
  </r>
  <r>
    <d v="2023-06-12T00:00:00"/>
    <d v="2023-06-12T00:00:00"/>
    <n v="6"/>
    <x v="2"/>
    <m/>
    <m/>
    <m/>
    <s v="LUX"/>
    <n v="-4000"/>
    <n v="0.16"/>
    <n v="-640"/>
    <n v="-4640"/>
    <n v="3043.6974000000064"/>
    <m/>
    <m/>
    <x v="1"/>
    <x v="2"/>
    <m/>
    <x v="20"/>
    <m/>
    <x v="20"/>
    <x v="45"/>
    <x v="1"/>
    <s v="Olkypay"/>
    <m/>
    <s v="X"/>
  </r>
  <r>
    <d v="2023-06-13T00:00:00"/>
    <d v="2023-06-13T00:00:00"/>
    <n v="6"/>
    <x v="2"/>
    <m/>
    <m/>
    <m/>
    <m/>
    <m/>
    <m/>
    <m/>
    <n v="5000"/>
    <n v="8043.6974000000064"/>
    <m/>
    <m/>
    <x v="0"/>
    <x v="1"/>
    <s v="C. DETTES"/>
    <x v="6"/>
    <m/>
    <x v="2"/>
    <x v="17"/>
    <x v="1"/>
    <s v="Edoardo Tubia"/>
    <m/>
    <m/>
  </r>
  <r>
    <d v="2023-06-14T00:00:00"/>
    <d v="2023-06-14T00:00:00"/>
    <n v="6"/>
    <x v="2"/>
    <m/>
    <m/>
    <m/>
    <m/>
    <m/>
    <m/>
    <m/>
    <n v="-2863.55"/>
    <n v="5180.1474000000062"/>
    <m/>
    <m/>
    <x v="0"/>
    <x v="1"/>
    <s v="C. DETTES"/>
    <x v="6"/>
    <m/>
    <x v="2"/>
    <x v="17"/>
    <x v="1"/>
    <s v="Edoardo Tubia"/>
    <m/>
    <m/>
  </r>
  <r>
    <d v="2023-06-14T00:00:00"/>
    <d v="2023-06-14T00:00:00"/>
    <n v="6"/>
    <x v="2"/>
    <m/>
    <m/>
    <m/>
    <m/>
    <m/>
    <m/>
    <m/>
    <n v="-2009.03"/>
    <n v="3171.1174000000065"/>
    <m/>
    <m/>
    <x v="0"/>
    <x v="1"/>
    <s v="C. DETTES"/>
    <x v="6"/>
    <m/>
    <x v="2"/>
    <x v="17"/>
    <x v="1"/>
    <s v="Edoardo Tubia"/>
    <m/>
    <m/>
  </r>
  <r>
    <d v="2023-06-14T00:00:00"/>
    <d v="2023-06-14T00:00:00"/>
    <n v="6"/>
    <x v="2"/>
    <m/>
    <m/>
    <m/>
    <m/>
    <m/>
    <m/>
    <m/>
    <n v="2863.55"/>
    <n v="6034.6674000000066"/>
    <m/>
    <m/>
    <x v="0"/>
    <x v="1"/>
    <s v="C. DETTES"/>
    <x v="6"/>
    <m/>
    <x v="2"/>
    <x v="17"/>
    <x v="0"/>
    <s v="Edoardo Tubia"/>
    <m/>
    <m/>
  </r>
  <r>
    <d v="2023-06-14T00:00:00"/>
    <d v="2023-06-14T00:00:00"/>
    <n v="6"/>
    <x v="2"/>
    <m/>
    <m/>
    <m/>
    <m/>
    <m/>
    <m/>
    <m/>
    <n v="-2863.55"/>
    <n v="3171.1174000000065"/>
    <m/>
    <m/>
    <x v="0"/>
    <x v="1"/>
    <s v="C. DETTES"/>
    <x v="7"/>
    <m/>
    <x v="3"/>
    <x v="1"/>
    <x v="0"/>
    <s v="Sombra e Agua Fresca Resort Sàrl"/>
    <m/>
    <m/>
  </r>
  <r>
    <d v="2023-06-30T00:00:00"/>
    <d v="2023-06-30T00:00:00"/>
    <n v="6"/>
    <x v="2"/>
    <m/>
    <m/>
    <m/>
    <m/>
    <m/>
    <m/>
    <m/>
    <n v="-1.2"/>
    <n v="3169.9174000000066"/>
    <m/>
    <m/>
    <x v="1"/>
    <x v="2"/>
    <m/>
    <x v="11"/>
    <m/>
    <x v="7"/>
    <x v="33"/>
    <x v="1"/>
    <s v="Olkypay"/>
    <m/>
    <m/>
  </r>
  <r>
    <d v="2023-06-30T00:00:00"/>
    <d v="2023-06-30T00:00:00"/>
    <n v="6"/>
    <x v="2"/>
    <m/>
    <m/>
    <m/>
    <m/>
    <m/>
    <m/>
    <m/>
    <n v="-51.56"/>
    <n v="3118.3574000000067"/>
    <m/>
    <m/>
    <x v="1"/>
    <x v="2"/>
    <m/>
    <x v="11"/>
    <m/>
    <x v="7"/>
    <x v="33"/>
    <x v="1"/>
    <s v="Olkypay"/>
    <m/>
    <m/>
  </r>
  <r>
    <d v="2023-07-01T00:00:00"/>
    <d v="2023-07-01T00:00:00"/>
    <n v="7"/>
    <x v="2"/>
    <m/>
    <m/>
    <m/>
    <m/>
    <m/>
    <m/>
    <m/>
    <n v="-19.899999999999999"/>
    <n v="3098.4574000000066"/>
    <m/>
    <m/>
    <x v="1"/>
    <x v="2"/>
    <m/>
    <x v="11"/>
    <m/>
    <x v="7"/>
    <x v="33"/>
    <x v="1"/>
    <s v="Olkypay"/>
    <m/>
    <m/>
  </r>
  <r>
    <d v="2023-08-01T00:00:00"/>
    <d v="2023-08-01T00:00:00"/>
    <n v="8"/>
    <x v="2"/>
    <m/>
    <m/>
    <m/>
    <m/>
    <m/>
    <m/>
    <m/>
    <n v="-19.899999999999999"/>
    <n v="3078.5574000000065"/>
    <m/>
    <m/>
    <x v="1"/>
    <x v="2"/>
    <m/>
    <x v="11"/>
    <m/>
    <x v="7"/>
    <x v="33"/>
    <x v="1"/>
    <s v="Olkypay"/>
    <m/>
    <m/>
  </r>
  <r>
    <d v="2023-08-04T00:00:00"/>
    <d v="2023-08-04T00:00:00"/>
    <n v="8"/>
    <x v="2"/>
    <m/>
    <m/>
    <m/>
    <m/>
    <m/>
    <m/>
    <m/>
    <n v="-350"/>
    <n v="2728.5574000000065"/>
    <m/>
    <m/>
    <x v="1"/>
    <x v="2"/>
    <m/>
    <x v="17"/>
    <m/>
    <x v="16"/>
    <x v="43"/>
    <x v="1"/>
    <s v="Olkypay"/>
    <m/>
    <m/>
  </r>
  <r>
    <d v="2023-09-01T00:00:00"/>
    <d v="2023-09-01T00:00:00"/>
    <n v="9"/>
    <x v="2"/>
    <m/>
    <m/>
    <m/>
    <m/>
    <m/>
    <m/>
    <m/>
    <n v="-20.100000000000001"/>
    <n v="2708.4574000000066"/>
    <m/>
    <m/>
    <x v="1"/>
    <x v="2"/>
    <m/>
    <x v="11"/>
    <m/>
    <x v="7"/>
    <x v="33"/>
    <x v="1"/>
    <s v="Olkypay"/>
    <m/>
    <m/>
  </r>
  <r>
    <d v="2023-10-02T00:00:00"/>
    <d v="2023-10-02T00:00:00"/>
    <n v="10"/>
    <x v="2"/>
    <m/>
    <m/>
    <m/>
    <m/>
    <m/>
    <m/>
    <m/>
    <n v="-19.899999999999999"/>
    <n v="2688.5574000000065"/>
    <m/>
    <m/>
    <x v="1"/>
    <x v="2"/>
    <m/>
    <x v="11"/>
    <m/>
    <x v="7"/>
    <x v="33"/>
    <x v="1"/>
    <s v="Olkypay"/>
    <m/>
    <m/>
  </r>
  <r>
    <d v="2023-10-03T00:00:00"/>
    <d v="2023-10-03T00:00:00"/>
    <n v="10"/>
    <x v="2"/>
    <m/>
    <m/>
    <m/>
    <m/>
    <m/>
    <m/>
    <m/>
    <n v="-40"/>
    <n v="2648.5574000000065"/>
    <m/>
    <m/>
    <x v="1"/>
    <x v="2"/>
    <m/>
    <x v="11"/>
    <m/>
    <x v="7"/>
    <x v="33"/>
    <x v="1"/>
    <s v="Olkypay"/>
    <m/>
    <m/>
  </r>
  <r>
    <d v="2023-10-24T00:00:00"/>
    <d v="2023-10-24T00:00:00"/>
    <n v="10"/>
    <x v="2"/>
    <m/>
    <m/>
    <m/>
    <m/>
    <m/>
    <m/>
    <m/>
    <n v="5000"/>
    <n v="7648.557400000007"/>
    <m/>
    <m/>
    <x v="0"/>
    <x v="1"/>
    <s v="C. DETTES"/>
    <x v="6"/>
    <m/>
    <x v="2"/>
    <x v="17"/>
    <x v="1"/>
    <s v="Edoardo Tubia"/>
    <m/>
    <m/>
  </r>
  <r>
    <d v="2023-10-25T00:00:00"/>
    <d v="2023-10-25T00:00:00"/>
    <n v="10"/>
    <x v="2"/>
    <m/>
    <m/>
    <m/>
    <m/>
    <m/>
    <m/>
    <m/>
    <n v="-2273.75"/>
    <n v="5374.807400000007"/>
    <m/>
    <m/>
    <x v="1"/>
    <x v="2"/>
    <s v="IMPOT FORTUNE"/>
    <x v="13"/>
    <s v="IMPOT FORTUNE"/>
    <x v="18"/>
    <x v="38"/>
    <x v="1"/>
    <s v="Olkypay"/>
    <n v="2023"/>
    <m/>
  </r>
  <r>
    <d v="2023-10-25T00:00:00"/>
    <d v="2023-10-25T00:00:00"/>
    <n v="10"/>
    <x v="2"/>
    <m/>
    <m/>
    <m/>
    <m/>
    <m/>
    <m/>
    <m/>
    <n v="-2273.75"/>
    <n v="3101.057400000007"/>
    <m/>
    <m/>
    <x v="1"/>
    <x v="2"/>
    <s v="IMPOT FORTUNE"/>
    <x v="13"/>
    <s v="IMPOT FORTUNE"/>
    <x v="18"/>
    <x v="38"/>
    <x v="1"/>
    <s v="Olkypay"/>
    <n v="2023"/>
    <m/>
  </r>
  <r>
    <d v="2023-11-01T00:00:00"/>
    <d v="2023-11-01T00:00:00"/>
    <n v="11"/>
    <x v="2"/>
    <m/>
    <m/>
    <m/>
    <m/>
    <m/>
    <m/>
    <m/>
    <n v="-20.3"/>
    <n v="3080.7574000000068"/>
    <m/>
    <m/>
    <x v="1"/>
    <x v="2"/>
    <m/>
    <x v="11"/>
    <m/>
    <x v="7"/>
    <x v="33"/>
    <x v="1"/>
    <s v="Olkypay"/>
    <m/>
    <m/>
  </r>
  <r>
    <d v="2023-11-10T00:00:00"/>
    <d v="2023-11-10T00:00:00"/>
    <n v="11"/>
    <x v="2"/>
    <m/>
    <m/>
    <m/>
    <m/>
    <m/>
    <m/>
    <m/>
    <n v="-14963.96"/>
    <n v="-11883.202599999993"/>
    <s v="B"/>
    <m/>
    <x v="0"/>
    <x v="1"/>
    <s v="C. DETTES"/>
    <x v="2"/>
    <m/>
    <x v="2"/>
    <x v="5"/>
    <x v="0"/>
    <s v="Giorgio Vignolle"/>
    <m/>
    <m/>
  </r>
  <r>
    <d v="2023-11-10T00:00:00"/>
    <d v="2023-11-10T00:00:00"/>
    <n v="11"/>
    <x v="2"/>
    <m/>
    <m/>
    <m/>
    <m/>
    <m/>
    <m/>
    <m/>
    <n v="-57915.15"/>
    <n v="-69798.352599999998"/>
    <s v="B"/>
    <m/>
    <x v="0"/>
    <x v="1"/>
    <s v="C. DETTES"/>
    <x v="2"/>
    <m/>
    <x v="2"/>
    <x v="6"/>
    <x v="0"/>
    <s v="Gabriel Vignolle"/>
    <m/>
    <m/>
  </r>
  <r>
    <d v="2023-11-10T00:00:00"/>
    <d v="2023-11-10T00:00:00"/>
    <n v="11"/>
    <x v="2"/>
    <m/>
    <m/>
    <m/>
    <m/>
    <m/>
    <m/>
    <m/>
    <n v="-57912.15"/>
    <n v="-127710.50260000001"/>
    <s v="B"/>
    <m/>
    <x v="0"/>
    <x v="1"/>
    <s v="C. DETTES"/>
    <x v="2"/>
    <m/>
    <x v="2"/>
    <x v="7"/>
    <x v="0"/>
    <s v="Matteo Vignolle"/>
    <m/>
    <m/>
  </r>
  <r>
    <d v="2023-11-10T00:00:00"/>
    <d v="2023-11-10T00:00:00"/>
    <n v="11"/>
    <x v="2"/>
    <m/>
    <m/>
    <m/>
    <m/>
    <m/>
    <m/>
    <m/>
    <n v="14963.96"/>
    <n v="-112746.54260000002"/>
    <s v="C"/>
    <m/>
    <x v="0"/>
    <x v="1"/>
    <s v="C. DETTES"/>
    <x v="2"/>
    <m/>
    <x v="2"/>
    <x v="34"/>
    <x v="0"/>
    <s v="Giorgio Vignolle"/>
    <m/>
    <m/>
  </r>
  <r>
    <d v="2023-11-10T00:00:00"/>
    <d v="2023-11-10T00:00:00"/>
    <n v="11"/>
    <x v="2"/>
    <m/>
    <m/>
    <m/>
    <m/>
    <m/>
    <m/>
    <m/>
    <n v="57915.15"/>
    <n v="-54831.392600000014"/>
    <s v="C"/>
    <m/>
    <x v="0"/>
    <x v="1"/>
    <s v="C. DETTES"/>
    <x v="2"/>
    <m/>
    <x v="2"/>
    <x v="34"/>
    <x v="0"/>
    <s v="Gabriel Vignolle"/>
    <m/>
    <m/>
  </r>
  <r>
    <d v="2023-11-10T00:00:00"/>
    <d v="2023-11-10T00:00:00"/>
    <n v="11"/>
    <x v="2"/>
    <m/>
    <m/>
    <m/>
    <m/>
    <m/>
    <m/>
    <m/>
    <n v="57912.15"/>
    <n v="3080.7573999999877"/>
    <s v="C"/>
    <m/>
    <x v="0"/>
    <x v="1"/>
    <s v="C. DETTES"/>
    <x v="2"/>
    <m/>
    <x v="2"/>
    <x v="34"/>
    <x v="0"/>
    <s v="Matteo Vignolle"/>
    <m/>
    <m/>
  </r>
  <r>
    <d v="2023-11-10T00:00:00"/>
    <d v="2023-11-10T00:00:00"/>
    <n v="11"/>
    <x v="2"/>
    <m/>
    <m/>
    <m/>
    <m/>
    <m/>
    <m/>
    <m/>
    <n v="-14963.96"/>
    <n v="-11883.202600000011"/>
    <s v="C"/>
    <m/>
    <x v="0"/>
    <x v="1"/>
    <s v="C. DETTES"/>
    <x v="2"/>
    <m/>
    <x v="2"/>
    <x v="34"/>
    <x v="0"/>
    <s v="Baguenier Henri"/>
    <m/>
    <m/>
  </r>
  <r>
    <d v="2023-11-10T00:00:00"/>
    <d v="2023-11-10T00:00:00"/>
    <n v="11"/>
    <x v="2"/>
    <m/>
    <m/>
    <m/>
    <m/>
    <m/>
    <m/>
    <m/>
    <n v="-57914.15"/>
    <n v="-69797.352600000013"/>
    <s v="C"/>
    <m/>
    <x v="0"/>
    <x v="1"/>
    <s v="C. DETTES"/>
    <x v="2"/>
    <m/>
    <x v="2"/>
    <x v="34"/>
    <x v="0"/>
    <s v="Baguenier Henri"/>
    <m/>
    <m/>
  </r>
  <r>
    <d v="2023-11-10T00:00:00"/>
    <d v="2023-11-10T00:00:00"/>
    <n v="11"/>
    <x v="2"/>
    <m/>
    <m/>
    <m/>
    <m/>
    <m/>
    <m/>
    <m/>
    <n v="-57914.15"/>
    <n v="-127711.50260000001"/>
    <s v="C"/>
    <m/>
    <x v="0"/>
    <x v="1"/>
    <s v="C. DETTES"/>
    <x v="2"/>
    <m/>
    <x v="2"/>
    <x v="34"/>
    <x v="0"/>
    <s v="Baguenier Henri"/>
    <m/>
    <m/>
  </r>
  <r>
    <d v="2023-11-10T00:00:00"/>
    <d v="2023-11-10T00:00:00"/>
    <n v="11"/>
    <x v="2"/>
    <m/>
    <m/>
    <m/>
    <m/>
    <m/>
    <m/>
    <m/>
    <n v="14963.96"/>
    <n v="-112747.54260000002"/>
    <s v="C"/>
    <m/>
    <x v="0"/>
    <x v="1"/>
    <s v="C. DETTES"/>
    <x v="2"/>
    <m/>
    <x v="2"/>
    <x v="37"/>
    <x v="0"/>
    <s v="Baguenier Henri"/>
    <m/>
    <m/>
  </r>
  <r>
    <d v="2023-11-10T00:00:00"/>
    <d v="2023-11-10T00:00:00"/>
    <n v="11"/>
    <x v="2"/>
    <m/>
    <m/>
    <m/>
    <m/>
    <m/>
    <m/>
    <m/>
    <n v="57914.15"/>
    <n v="-54833.392600000014"/>
    <s v="C"/>
    <m/>
    <x v="0"/>
    <x v="1"/>
    <s v="C. DETTES"/>
    <x v="2"/>
    <m/>
    <x v="2"/>
    <x v="37"/>
    <x v="0"/>
    <s v="Baguenier Henri"/>
    <m/>
    <m/>
  </r>
  <r>
    <d v="2023-11-10T00:00:00"/>
    <d v="2023-11-10T00:00:00"/>
    <n v="11"/>
    <x v="2"/>
    <m/>
    <m/>
    <m/>
    <m/>
    <m/>
    <m/>
    <m/>
    <n v="57914.15"/>
    <n v="3080.7573999999877"/>
    <s v="C"/>
    <m/>
    <x v="0"/>
    <x v="1"/>
    <s v="C. DETTES"/>
    <x v="2"/>
    <m/>
    <x v="2"/>
    <x v="37"/>
    <x v="0"/>
    <s v="Baguenier Henri"/>
    <m/>
    <m/>
  </r>
  <r>
    <d v="2023-12-01T00:00:00"/>
    <d v="2023-12-01T00:00:00"/>
    <n v="12"/>
    <x v="2"/>
    <m/>
    <m/>
    <m/>
    <m/>
    <m/>
    <m/>
    <m/>
    <n v="-19.899999999999999"/>
    <n v="3060.8573999999876"/>
    <m/>
    <m/>
    <x v="1"/>
    <x v="2"/>
    <m/>
    <x v="11"/>
    <m/>
    <x v="7"/>
    <x v="33"/>
    <x v="1"/>
    <s v="Olkypay"/>
    <m/>
    <m/>
  </r>
  <r>
    <d v="2023-12-31T00:00:00"/>
    <d v="2023-12-31T00:00:00"/>
    <n v="12"/>
    <x v="2"/>
    <m/>
    <m/>
    <m/>
    <m/>
    <m/>
    <m/>
    <m/>
    <n v="3210"/>
    <n v="6270.857399999988"/>
    <m/>
    <m/>
    <x v="0"/>
    <x v="0"/>
    <s v="D. ACTIF CIRCULANT"/>
    <x v="21"/>
    <m/>
    <x v="1"/>
    <x v="46"/>
    <x v="0"/>
    <m/>
    <m/>
    <m/>
  </r>
  <r>
    <d v="2023-12-31T00:00:00"/>
    <d v="2023-12-31T00:00:00"/>
    <n v="12"/>
    <x v="2"/>
    <m/>
    <m/>
    <m/>
    <m/>
    <m/>
    <m/>
    <m/>
    <n v="-3210"/>
    <n v="3060.857399999988"/>
    <m/>
    <m/>
    <x v="0"/>
    <x v="0"/>
    <s v="D. ACTIF CIRCULANT"/>
    <x v="21"/>
    <m/>
    <x v="1"/>
    <x v="1"/>
    <x v="0"/>
    <s v="Sombra e Agua Fresca Resort Sàrl"/>
    <m/>
    <m/>
  </r>
  <r>
    <d v="2023-12-31T00:00:00"/>
    <d v="2023-12-31T00:00:00"/>
    <n v="12"/>
    <x v="2"/>
    <m/>
    <m/>
    <m/>
    <m/>
    <m/>
    <m/>
    <m/>
    <n v="930.25"/>
    <n v="3991.107399999988"/>
    <m/>
    <m/>
    <x v="0"/>
    <x v="0"/>
    <s v="D. ACTIF CIRCULANT"/>
    <x v="1"/>
    <m/>
    <x v="1"/>
    <x v="2"/>
    <x v="0"/>
    <m/>
    <m/>
    <m/>
  </r>
  <r>
    <d v="2023-12-31T00:00:00"/>
    <d v="2023-12-31T00:00:00"/>
    <n v="12"/>
    <x v="2"/>
    <m/>
    <m/>
    <m/>
    <m/>
    <m/>
    <m/>
    <m/>
    <n v="-930.25"/>
    <n v="3060.857399999988"/>
    <m/>
    <m/>
    <x v="0"/>
    <x v="0"/>
    <s v="D. ACTIF CIRCULANT"/>
    <x v="1"/>
    <m/>
    <x v="1"/>
    <x v="1"/>
    <x v="0"/>
    <s v="Sombra e Agua Fresca Resort Sàrl"/>
    <m/>
    <m/>
  </r>
  <r>
    <d v="2023-12-31T00:00:00"/>
    <d v="2023-12-31T00:00:00"/>
    <n v="12"/>
    <x v="2"/>
    <m/>
    <m/>
    <m/>
    <m/>
    <m/>
    <m/>
    <m/>
    <n v="-4655"/>
    <n v="-1594.142600000012"/>
    <m/>
    <m/>
    <x v="0"/>
    <x v="1"/>
    <s v="C. DETTES"/>
    <x v="5"/>
    <m/>
    <x v="3"/>
    <x v="16"/>
    <x v="0"/>
    <m/>
    <m/>
    <m/>
  </r>
  <r>
    <d v="2023-12-31T00:00:00"/>
    <d v="2023-12-31T00:00:00"/>
    <n v="12"/>
    <x v="2"/>
    <m/>
    <m/>
    <m/>
    <m/>
    <m/>
    <m/>
    <m/>
    <n v="4655"/>
    <n v="3060.857399999988"/>
    <m/>
    <m/>
    <x v="0"/>
    <x v="1"/>
    <s v="C. DETTES"/>
    <x v="4"/>
    <m/>
    <x v="3"/>
    <x v="1"/>
    <x v="0"/>
    <s v="Sombra e Agua Fresca Resort Sàrl"/>
    <m/>
    <m/>
  </r>
  <r>
    <d v="2023-12-31T00:00:00"/>
    <d v="2023-12-31T00:00:00"/>
    <n v="12"/>
    <x v="2"/>
    <m/>
    <m/>
    <m/>
    <m/>
    <m/>
    <m/>
    <m/>
    <n v="-4280.01"/>
    <n v="-1219.1526000000122"/>
    <m/>
    <m/>
    <x v="0"/>
    <x v="1"/>
    <s v="DETTES"/>
    <x v="18"/>
    <m/>
    <x v="3"/>
    <x v="38"/>
    <x v="0"/>
    <m/>
    <m/>
    <m/>
  </r>
  <r>
    <d v="2023-12-31T00:00:00"/>
    <d v="2023-12-31T00:00:00"/>
    <n v="12"/>
    <x v="2"/>
    <m/>
    <m/>
    <m/>
    <m/>
    <m/>
    <m/>
    <m/>
    <n v="4280.01"/>
    <n v="3060.857399999988"/>
    <m/>
    <m/>
    <x v="0"/>
    <x v="1"/>
    <s v="C. DETTES"/>
    <x v="4"/>
    <m/>
    <x v="3"/>
    <x v="1"/>
    <x v="0"/>
    <s v="Sombra e Agua Fresca Resort Sàrl"/>
    <m/>
    <m/>
  </r>
  <r>
    <d v="2023-12-31T00:00:00"/>
    <d v="2023-12-31T00:00:00"/>
    <n v="12"/>
    <x v="2"/>
    <m/>
    <m/>
    <m/>
    <m/>
    <m/>
    <m/>
    <m/>
    <n v="6967.17"/>
    <n v="10028.027399999988"/>
    <m/>
    <m/>
    <x v="0"/>
    <x v="1"/>
    <s v="A. CAPITAUX PROPRES"/>
    <x v="9"/>
    <m/>
    <x v="5"/>
    <x v="19"/>
    <x v="0"/>
    <m/>
    <m/>
    <m/>
  </r>
  <r>
    <d v="2023-12-31T00:00:00"/>
    <d v="2023-12-31T00:00:00"/>
    <n v="12"/>
    <x v="2"/>
    <m/>
    <m/>
    <m/>
    <m/>
    <m/>
    <m/>
    <m/>
    <n v="-6967.17"/>
    <n v="3060.857399999988"/>
    <m/>
    <m/>
    <x v="0"/>
    <x v="1"/>
    <s v="A. CAPITAUX PROPRES"/>
    <x v="9"/>
    <m/>
    <x v="5"/>
    <x v="1"/>
    <x v="0"/>
    <s v="Sombra e Agua Fresca Resort Sàrl"/>
    <m/>
    <m/>
  </r>
  <r>
    <d v="2023-12-31T00:00:00"/>
    <d v="2023-12-31T00:00:00"/>
    <n v="12"/>
    <x v="2"/>
    <m/>
    <m/>
    <m/>
    <m/>
    <m/>
    <m/>
    <m/>
    <n v="-6967.17"/>
    <n v="-3906.312600000012"/>
    <m/>
    <m/>
    <x v="0"/>
    <x v="1"/>
    <s v="A. CAPITAUX PROPRES"/>
    <x v="19"/>
    <m/>
    <x v="17"/>
    <x v="44"/>
    <x v="0"/>
    <m/>
    <m/>
    <m/>
  </r>
  <r>
    <d v="2023-12-31T00:00:00"/>
    <d v="2023-12-31T00:00:00"/>
    <n v="12"/>
    <x v="2"/>
    <m/>
    <m/>
    <m/>
    <m/>
    <m/>
    <m/>
    <m/>
    <n v="6967.17"/>
    <n v="3060.857399999988"/>
    <m/>
    <m/>
    <x v="0"/>
    <x v="1"/>
    <s v="A. CAPITAUX PROPRES"/>
    <x v="19"/>
    <m/>
    <x v="17"/>
    <x v="1"/>
    <x v="0"/>
    <s v="Sombra e Agua Fresca Resort Sàrl"/>
    <m/>
    <m/>
  </r>
  <r>
    <d v="2023-12-31T00:00:00"/>
    <d v="2023-12-31T00:00:00"/>
    <n v="12"/>
    <x v="2"/>
    <m/>
    <m/>
    <m/>
    <m/>
    <m/>
    <m/>
    <m/>
    <n v="-7041.2"/>
    <n v="-3980.3426000000118"/>
    <m/>
    <m/>
    <x v="0"/>
    <x v="1"/>
    <s v="A. CAPITAUX PROPRES"/>
    <x v="9"/>
    <m/>
    <x v="5"/>
    <x v="19"/>
    <x v="0"/>
    <m/>
    <m/>
    <m/>
  </r>
  <r>
    <d v="2023-12-31T00:00:00"/>
    <d v="2023-12-31T00:00:00"/>
    <n v="12"/>
    <x v="2"/>
    <m/>
    <m/>
    <m/>
    <m/>
    <m/>
    <m/>
    <m/>
    <n v="7041.2"/>
    <n v="3060.857399999988"/>
    <m/>
    <m/>
    <x v="0"/>
    <x v="1"/>
    <s v="A. CAPITAUX PROPRES"/>
    <x v="9"/>
    <m/>
    <x v="5"/>
    <x v="1"/>
    <x v="0"/>
    <s v="Sombra e Agua Fresca Resort Sàrl"/>
    <m/>
    <m/>
  </r>
  <r>
    <d v="2024-01-02T00:00:00"/>
    <d v="2024-01-02T00:00:00"/>
    <n v="1"/>
    <x v="3"/>
    <m/>
    <m/>
    <m/>
    <m/>
    <m/>
    <m/>
    <m/>
    <n v="-19.899999999999999"/>
    <n v="3040.957399999988"/>
    <m/>
    <m/>
    <x v="1"/>
    <x v="2"/>
    <m/>
    <x v="11"/>
    <m/>
    <x v="7"/>
    <x v="33"/>
    <x v="1"/>
    <s v="Olkypay"/>
    <m/>
    <m/>
  </r>
  <r>
    <d v="2024-01-02T00:00:00"/>
    <d v="2024-01-02T00:00:00"/>
    <n v="1"/>
    <x v="3"/>
    <m/>
    <m/>
    <m/>
    <m/>
    <m/>
    <m/>
    <m/>
    <n v="-43.4"/>
    <n v="2997.5573999999879"/>
    <m/>
    <m/>
    <x v="1"/>
    <x v="2"/>
    <m/>
    <x v="11"/>
    <m/>
    <x v="7"/>
    <x v="33"/>
    <x v="1"/>
    <s v="Olkypay"/>
    <m/>
    <m/>
  </r>
  <r>
    <d v="2024-02-01T00:00:00"/>
    <d v="2024-02-01T00:00:00"/>
    <n v="2"/>
    <x v="3"/>
    <m/>
    <m/>
    <m/>
    <m/>
    <m/>
    <m/>
    <m/>
    <n v="-1203.75"/>
    <n v="1793.8073999999879"/>
    <m/>
    <m/>
    <x v="1"/>
    <x v="2"/>
    <s v="IMPOT FORTUNE"/>
    <x v="13"/>
    <s v="IMPOT FORTUNE"/>
    <x v="21"/>
    <x v="38"/>
    <x v="1"/>
    <s v="Olkypay"/>
    <n v="2024"/>
    <m/>
  </r>
  <r>
    <d v="2024-02-01T00:00:00"/>
    <d v="2024-02-01T00:00:00"/>
    <n v="2"/>
    <x v="3"/>
    <m/>
    <m/>
    <m/>
    <m/>
    <m/>
    <m/>
    <m/>
    <n v="-19.899999999999999"/>
    <n v="1773.9073999999878"/>
    <m/>
    <m/>
    <x v="1"/>
    <x v="2"/>
    <m/>
    <x v="11"/>
    <m/>
    <x v="7"/>
    <x v="33"/>
    <x v="1"/>
    <s v="Olkypay"/>
    <m/>
    <m/>
  </r>
  <r>
    <d v="2024-03-01T00:00:00"/>
    <d v="2024-03-01T00:00:00"/>
    <n v="3"/>
    <x v="3"/>
    <m/>
    <m/>
    <m/>
    <m/>
    <m/>
    <m/>
    <m/>
    <n v="-20.100000000000001"/>
    <n v="1753.8073999999879"/>
    <m/>
    <m/>
    <x v="1"/>
    <x v="2"/>
    <m/>
    <x v="11"/>
    <m/>
    <x v="7"/>
    <x v="33"/>
    <x v="1"/>
    <s v="Olkypay"/>
    <m/>
    <m/>
  </r>
  <r>
    <d v="2024-04-01T00:00:00"/>
    <d v="2024-04-01T00:00:00"/>
    <n v="4"/>
    <x v="3"/>
    <m/>
    <m/>
    <m/>
    <m/>
    <m/>
    <m/>
    <m/>
    <n v="-19.899999999999999"/>
    <n v="1733.9073999999878"/>
    <m/>
    <m/>
    <x v="1"/>
    <x v="2"/>
    <m/>
    <x v="11"/>
    <m/>
    <x v="7"/>
    <x v="33"/>
    <x v="1"/>
    <s v="Olkypay"/>
    <m/>
    <m/>
  </r>
  <r>
    <d v="2024-04-01T00:00:00"/>
    <d v="2024-04-01T00:00:00"/>
    <n v="4"/>
    <x v="3"/>
    <m/>
    <m/>
    <m/>
    <m/>
    <m/>
    <m/>
    <m/>
    <n v="-44.24"/>
    <n v="1689.6673999999878"/>
    <m/>
    <m/>
    <x v="1"/>
    <x v="2"/>
    <m/>
    <x v="11"/>
    <m/>
    <x v="7"/>
    <x v="33"/>
    <x v="1"/>
    <s v="Olkypay"/>
    <m/>
    <m/>
  </r>
  <r>
    <d v="2024-04-02T00:00:00"/>
    <d v="2024-04-02T00:00:00"/>
    <n v="4"/>
    <x v="3"/>
    <m/>
    <m/>
    <m/>
    <m/>
    <m/>
    <m/>
    <m/>
    <n v="4.24"/>
    <n v="1693.9073999999878"/>
    <m/>
    <m/>
    <x v="1"/>
    <x v="2"/>
    <m/>
    <x v="11"/>
    <m/>
    <x v="7"/>
    <x v="33"/>
    <x v="1"/>
    <s v="Olkypay"/>
    <m/>
    <m/>
  </r>
  <r>
    <d v="2024-05-01T00:00:00"/>
    <d v="2024-05-01T00:00:00"/>
    <n v="5"/>
    <x v="3"/>
    <m/>
    <m/>
    <m/>
    <m/>
    <m/>
    <m/>
    <m/>
    <n v="-1203.75"/>
    <n v="490.15739999998777"/>
    <m/>
    <m/>
    <x v="1"/>
    <x v="2"/>
    <s v="IMPOT FORTUNE"/>
    <x v="13"/>
    <s v="IMPOT FORTUNE"/>
    <x v="21"/>
    <x v="38"/>
    <x v="1"/>
    <s v="Olkypay"/>
    <n v="2024"/>
    <m/>
  </r>
  <r>
    <d v="2024-05-01T00:00:00"/>
    <d v="2024-05-01T00:00:00"/>
    <n v="5"/>
    <x v="3"/>
    <m/>
    <m/>
    <m/>
    <m/>
    <m/>
    <m/>
    <m/>
    <n v="-19.899999999999999"/>
    <n v="470.2573999999878"/>
    <m/>
    <m/>
    <x v="1"/>
    <x v="2"/>
    <m/>
    <x v="11"/>
    <m/>
    <x v="7"/>
    <x v="33"/>
    <x v="1"/>
    <s v="Olkypay"/>
    <m/>
    <m/>
  </r>
  <r>
    <d v="2024-05-15T00:00:00"/>
    <d v="2024-05-15T00:00:00"/>
    <n v="5"/>
    <x v="3"/>
    <m/>
    <m/>
    <m/>
    <m/>
    <m/>
    <m/>
    <m/>
    <n v="3210"/>
    <n v="3680.2573999999877"/>
    <m/>
    <m/>
    <x v="1"/>
    <x v="2"/>
    <s v="IMPOT FORTUNE"/>
    <x v="13"/>
    <s v="IMPOT FORTUNE"/>
    <x v="22"/>
    <x v="38"/>
    <x v="1"/>
    <s v="Olkypay"/>
    <n v="2023"/>
    <m/>
  </r>
  <r>
    <d v="2024-06-01T00:00:00"/>
    <d v="2024-06-01T00:00:00"/>
    <n v="6"/>
    <x v="3"/>
    <m/>
    <m/>
    <m/>
    <m/>
    <m/>
    <m/>
    <m/>
    <n v="-20.100000000000001"/>
    <n v="3660.1573999999878"/>
    <m/>
    <m/>
    <x v="1"/>
    <x v="2"/>
    <m/>
    <x v="11"/>
    <m/>
    <x v="7"/>
    <x v="33"/>
    <x v="1"/>
    <s v="Olkypay"/>
    <m/>
    <m/>
  </r>
  <r>
    <d v="2024-07-01T00:00:00"/>
    <d v="2024-07-01T00:00:00"/>
    <n v="7"/>
    <x v="3"/>
    <m/>
    <m/>
    <m/>
    <m/>
    <m/>
    <m/>
    <m/>
    <n v="-19.899999999999999"/>
    <n v="3640.2573999999877"/>
    <m/>
    <m/>
    <x v="1"/>
    <x v="2"/>
    <m/>
    <x v="11"/>
    <m/>
    <x v="7"/>
    <x v="33"/>
    <x v="1"/>
    <s v="Olkypay"/>
    <m/>
    <m/>
  </r>
  <r>
    <d v="2024-07-01T00:00:00"/>
    <d v="2024-07-01T00:00:00"/>
    <n v="7"/>
    <x v="3"/>
    <m/>
    <m/>
    <m/>
    <m/>
    <m/>
    <m/>
    <m/>
    <n v="-40"/>
    <n v="3600.2573999999877"/>
    <m/>
    <m/>
    <x v="1"/>
    <x v="2"/>
    <m/>
    <x v="11"/>
    <m/>
    <x v="7"/>
    <x v="33"/>
    <x v="1"/>
    <s v="Olkypay"/>
    <m/>
    <m/>
  </r>
  <r>
    <d v="2024-07-17T00:00:00"/>
    <d v="2024-07-17T00:00:00"/>
    <n v="7"/>
    <x v="3"/>
    <m/>
    <m/>
    <m/>
    <m/>
    <m/>
    <m/>
    <m/>
    <n v="-350"/>
    <n v="3250.2573999999877"/>
    <m/>
    <m/>
    <x v="1"/>
    <x v="2"/>
    <m/>
    <x v="17"/>
    <m/>
    <x v="16"/>
    <x v="43"/>
    <x v="1"/>
    <s v="Olkypay"/>
    <m/>
    <m/>
  </r>
  <r>
    <d v="2024-08-01T00:00:00"/>
    <d v="2024-08-01T00:00:00"/>
    <n v="8"/>
    <x v="3"/>
    <m/>
    <m/>
    <m/>
    <m/>
    <m/>
    <m/>
    <m/>
    <n v="-20.100000000000001"/>
    <n v="3230.1573999999878"/>
    <m/>
    <m/>
    <x v="1"/>
    <x v="2"/>
    <m/>
    <x v="11"/>
    <m/>
    <x v="7"/>
    <x v="33"/>
    <x v="1"/>
    <s v="Olkypay"/>
    <m/>
    <m/>
  </r>
  <r>
    <d v="2024-09-02T00:00:00"/>
    <d v="2024-09-02T00:00:00"/>
    <n v="9"/>
    <x v="3"/>
    <m/>
    <m/>
    <m/>
    <m/>
    <m/>
    <m/>
    <m/>
    <n v="-19.899999999999999"/>
    <n v="3210.2573999999877"/>
    <m/>
    <m/>
    <x v="1"/>
    <x v="2"/>
    <m/>
    <x v="11"/>
    <m/>
    <x v="7"/>
    <x v="33"/>
    <x v="1"/>
    <s v="Olkypay"/>
    <m/>
    <m/>
  </r>
  <r>
    <d v="2024-10-01T00:00:00"/>
    <d v="2024-10-01T00:00:00"/>
    <n v="10"/>
    <x v="3"/>
    <m/>
    <m/>
    <m/>
    <m/>
    <m/>
    <m/>
    <m/>
    <n v="-19.899999999999999"/>
    <n v="3190.3573999999876"/>
    <m/>
    <m/>
    <x v="1"/>
    <x v="2"/>
    <m/>
    <x v="11"/>
    <m/>
    <x v="7"/>
    <x v="33"/>
    <x v="1"/>
    <s v="Olkypay"/>
    <m/>
    <m/>
  </r>
  <r>
    <d v="2024-10-01T00:00:00"/>
    <d v="2024-10-01T00:00:00"/>
    <n v="10"/>
    <x v="3"/>
    <m/>
    <m/>
    <m/>
    <m/>
    <m/>
    <m/>
    <m/>
    <n v="-40"/>
    <n v="3150.3573999999876"/>
    <m/>
    <m/>
    <x v="1"/>
    <x v="2"/>
    <m/>
    <x v="11"/>
    <m/>
    <x v="7"/>
    <x v="33"/>
    <x v="1"/>
    <s v="Olkypay"/>
    <m/>
    <m/>
  </r>
  <r>
    <d v="2024-11-01T00:00:00"/>
    <d v="2024-11-01T00:00:00"/>
    <n v="11"/>
    <x v="3"/>
    <m/>
    <m/>
    <m/>
    <m/>
    <m/>
    <m/>
    <m/>
    <n v="-19.899999999999999"/>
    <n v="3130.4573999999875"/>
    <m/>
    <m/>
    <x v="1"/>
    <x v="2"/>
    <m/>
    <x v="11"/>
    <m/>
    <x v="7"/>
    <x v="33"/>
    <x v="1"/>
    <s v="Olkypay"/>
    <m/>
    <m/>
  </r>
  <r>
    <d v="2024-11-28T00:00:00"/>
    <d v="2024-11-28T00:00:00"/>
    <n v="11"/>
    <x v="3"/>
    <m/>
    <m/>
    <m/>
    <m/>
    <m/>
    <m/>
    <m/>
    <n v="-520"/>
    <n v="2610.4573999999875"/>
    <s v="H"/>
    <n v="-520"/>
    <x v="0"/>
    <x v="1"/>
    <s v="A. CAPITAUX PROPRES"/>
    <x v="10"/>
    <m/>
    <x v="6"/>
    <x v="22"/>
    <x v="0"/>
    <s v="New Life Sàrl"/>
    <m/>
    <m/>
  </r>
  <r>
    <d v="2024-11-28T00:00:00"/>
    <d v="2024-11-28T00:00:00"/>
    <n v="11"/>
    <x v="3"/>
    <m/>
    <m/>
    <m/>
    <m/>
    <m/>
    <m/>
    <m/>
    <n v="520"/>
    <n v="3130.4573999999875"/>
    <s v="H"/>
    <n v="520"/>
    <x v="0"/>
    <x v="1"/>
    <s v="A. CAPITAUX PROPRES"/>
    <x v="10"/>
    <m/>
    <x v="6"/>
    <x v="23"/>
    <x v="0"/>
    <s v="Tubia Edoardo"/>
    <m/>
    <m/>
  </r>
  <r>
    <d v="2024-11-28T00:00:00"/>
    <d v="2024-11-28T00:00:00"/>
    <n v="11"/>
    <x v="3"/>
    <m/>
    <m/>
    <m/>
    <m/>
    <m/>
    <m/>
    <m/>
    <n v="-34497.86"/>
    <n v="-31367.402600000012"/>
    <s v="H"/>
    <m/>
    <x v="0"/>
    <x v="1"/>
    <s v="C. DETTES"/>
    <x v="2"/>
    <m/>
    <x v="2"/>
    <x v="14"/>
    <x v="0"/>
    <s v="New Life Sàrl"/>
    <m/>
    <m/>
  </r>
  <r>
    <d v="2024-11-28T00:00:00"/>
    <d v="2024-11-28T00:00:00"/>
    <n v="11"/>
    <x v="3"/>
    <m/>
    <m/>
    <m/>
    <m/>
    <m/>
    <m/>
    <m/>
    <n v="34497.86"/>
    <n v="3130.4573999999884"/>
    <s v="H"/>
    <m/>
    <x v="0"/>
    <x v="1"/>
    <s v="C. DETTES"/>
    <x v="2"/>
    <m/>
    <x v="2"/>
    <x v="11"/>
    <x v="0"/>
    <s v="Edoardo Tubia"/>
    <m/>
    <m/>
  </r>
  <r>
    <d v="2024-12-02T00:00:00"/>
    <d v="2024-12-02T00:00:00"/>
    <n v="12"/>
    <x v="3"/>
    <m/>
    <m/>
    <m/>
    <m/>
    <m/>
    <m/>
    <m/>
    <n v="-19.899999999999999"/>
    <n v="3110.5573999999883"/>
    <m/>
    <m/>
    <x v="1"/>
    <x v="2"/>
    <m/>
    <x v="11"/>
    <m/>
    <x v="7"/>
    <x v="33"/>
    <x v="1"/>
    <s v="Olkypay"/>
    <m/>
    <m/>
  </r>
  <r>
    <d v="2024-12-12T00:00:00"/>
    <d v="2024-12-12T00:00:00"/>
    <n v="12"/>
    <x v="3"/>
    <m/>
    <m/>
    <m/>
    <m/>
    <m/>
    <m/>
    <m/>
    <n v="5000"/>
    <n v="8110.5573999999888"/>
    <m/>
    <m/>
    <x v="0"/>
    <x v="1"/>
    <s v="C. DETTES"/>
    <x v="6"/>
    <m/>
    <x v="2"/>
    <x v="17"/>
    <x v="1"/>
    <s v="Edoardo Tubia"/>
    <m/>
    <m/>
  </r>
  <r>
    <d v="2024-12-12T00:00:00"/>
    <d v="2024-12-12T00:00:00"/>
    <n v="12"/>
    <x v="3"/>
    <m/>
    <m/>
    <m/>
    <s v="LUX"/>
    <n v="-4000"/>
    <n v="0.16"/>
    <n v="-640"/>
    <n v="-4640"/>
    <n v="3470.5573999999888"/>
    <m/>
    <m/>
    <x v="1"/>
    <x v="2"/>
    <m/>
    <x v="20"/>
    <m/>
    <x v="23"/>
    <x v="45"/>
    <x v="1"/>
    <s v="Olkypay"/>
    <m/>
    <s v="X"/>
  </r>
  <r>
    <d v="2024-12-23T00:00:00"/>
    <d v="2024-12-23T00:00:00"/>
    <n v="12"/>
    <x v="3"/>
    <m/>
    <m/>
    <m/>
    <m/>
    <m/>
    <m/>
    <m/>
    <n v="802.5"/>
    <n v="4273.0573999999888"/>
    <m/>
    <m/>
    <x v="1"/>
    <x v="2"/>
    <s v="IMPOT FORTUNE"/>
    <x v="13"/>
    <s v="IMPOT FORTUNE"/>
    <x v="24"/>
    <x v="38"/>
    <x v="1"/>
    <s v="Olkypay"/>
    <n v="2024"/>
    <m/>
  </r>
  <r>
    <d v="2024-12-31T00:00:00"/>
    <d v="2024-12-31T00:00:00"/>
    <n v="12"/>
    <x v="3"/>
    <m/>
    <m/>
    <m/>
    <m/>
    <m/>
    <m/>
    <m/>
    <n v="-43.4"/>
    <n v="4229.6573999999891"/>
    <m/>
    <m/>
    <x v="1"/>
    <x v="2"/>
    <m/>
    <x v="11"/>
    <m/>
    <x v="7"/>
    <x v="33"/>
    <x v="1"/>
    <s v="Olkypay"/>
    <m/>
    <m/>
  </r>
  <r>
    <d v="2024-12-31T00:00:00"/>
    <d v="2024-12-31T00:00:00"/>
    <n v="12"/>
    <x v="3"/>
    <m/>
    <m/>
    <m/>
    <m/>
    <m/>
    <m/>
    <m/>
    <n v="-0.2"/>
    <n v="4229.4573999999893"/>
    <m/>
    <m/>
    <x v="1"/>
    <x v="2"/>
    <m/>
    <x v="11"/>
    <m/>
    <x v="7"/>
    <x v="33"/>
    <x v="1"/>
    <s v="Olkypay"/>
    <m/>
    <m/>
  </r>
  <r>
    <d v="2024-12-31T00:00:00"/>
    <d v="2024-12-31T00:00:00"/>
    <n v="12"/>
    <x v="3"/>
    <m/>
    <m/>
    <m/>
    <m/>
    <m/>
    <m/>
    <m/>
    <n v="-3210"/>
    <n v="1019.4573999999893"/>
    <m/>
    <m/>
    <x v="0"/>
    <x v="0"/>
    <s v="D. ACTIF CIRCULANT"/>
    <x v="21"/>
    <m/>
    <x v="1"/>
    <x v="46"/>
    <x v="0"/>
    <m/>
    <m/>
    <m/>
  </r>
  <r>
    <d v="2024-12-31T00:00:00"/>
    <d v="2024-12-31T00:00:00"/>
    <n v="12"/>
    <x v="3"/>
    <m/>
    <m/>
    <m/>
    <m/>
    <m/>
    <m/>
    <m/>
    <n v="3210"/>
    <n v="4229.4573999999893"/>
    <m/>
    <m/>
    <x v="0"/>
    <x v="0"/>
    <s v="D. ACTIF CIRCULANT"/>
    <x v="21"/>
    <m/>
    <x v="1"/>
    <x v="1"/>
    <x v="0"/>
    <s v="Sombra e Agua Fresca Resort Sàrl"/>
    <m/>
    <m/>
  </r>
  <r>
    <d v="2024-12-31T00:00:00"/>
    <d v="2024-12-31T00:00:00"/>
    <n v="12"/>
    <x v="3"/>
    <m/>
    <m/>
    <m/>
    <m/>
    <m/>
    <m/>
    <m/>
    <n v="1168.5999999999999"/>
    <n v="5398.0573999999888"/>
    <m/>
    <m/>
    <x v="0"/>
    <x v="0"/>
    <s v="D. ACTIF CIRCULANT"/>
    <x v="1"/>
    <m/>
    <x v="1"/>
    <x v="2"/>
    <x v="0"/>
    <m/>
    <m/>
    <m/>
  </r>
  <r>
    <d v="2024-12-31T00:00:00"/>
    <d v="2024-12-31T00:00:00"/>
    <n v="12"/>
    <x v="3"/>
    <m/>
    <m/>
    <m/>
    <m/>
    <m/>
    <m/>
    <m/>
    <n v="-1168.5999999999999"/>
    <n v="4229.4573999999884"/>
    <m/>
    <m/>
    <x v="0"/>
    <x v="0"/>
    <s v="D. ACTIF CIRCULANT"/>
    <x v="1"/>
    <m/>
    <x v="1"/>
    <x v="1"/>
    <x v="0"/>
    <s v="Sombra e Agua Fresca Resort Sàrl"/>
    <m/>
    <m/>
  </r>
  <r>
    <d v="2024-12-31T00:00:00"/>
    <d v="2024-12-31T00:00:00"/>
    <n v="12"/>
    <x v="3"/>
    <m/>
    <m/>
    <m/>
    <m/>
    <m/>
    <m/>
    <m/>
    <n v="-4655"/>
    <n v="-425.54260000001159"/>
    <m/>
    <m/>
    <x v="0"/>
    <x v="1"/>
    <s v="C. DETTES"/>
    <x v="5"/>
    <m/>
    <x v="3"/>
    <x v="16"/>
    <x v="0"/>
    <m/>
    <m/>
    <m/>
  </r>
  <r>
    <d v="2024-12-31T00:00:00"/>
    <d v="2024-12-31T00:00:00"/>
    <n v="12"/>
    <x v="3"/>
    <m/>
    <m/>
    <m/>
    <m/>
    <m/>
    <m/>
    <m/>
    <n v="4655"/>
    <n v="4229.4573999999884"/>
    <m/>
    <m/>
    <x v="0"/>
    <x v="1"/>
    <s v="C. DETTES"/>
    <x v="4"/>
    <m/>
    <x v="3"/>
    <x v="1"/>
    <x v="0"/>
    <s v="Sombra e Agua Fresca Resort Sàrl"/>
    <m/>
    <m/>
  </r>
  <r>
    <d v="2024-12-31T00:00:00"/>
    <d v="2024-12-31T00:00:00"/>
    <n v="12"/>
    <x v="3"/>
    <m/>
    <m/>
    <m/>
    <m/>
    <m/>
    <m/>
    <m/>
    <n v="-1605"/>
    <n v="2624.4573999999884"/>
    <m/>
    <m/>
    <x v="0"/>
    <x v="1"/>
    <s v="DETTES"/>
    <x v="18"/>
    <m/>
    <x v="3"/>
    <x v="38"/>
    <x v="0"/>
    <m/>
    <m/>
    <m/>
  </r>
  <r>
    <d v="2024-12-31T00:00:00"/>
    <d v="2024-12-31T00:00:00"/>
    <n v="12"/>
    <x v="3"/>
    <m/>
    <m/>
    <m/>
    <m/>
    <m/>
    <m/>
    <m/>
    <n v="1605"/>
    <n v="4229.4573999999884"/>
    <m/>
    <m/>
    <x v="0"/>
    <x v="1"/>
    <s v="C. DETTES"/>
    <x v="4"/>
    <m/>
    <x v="3"/>
    <x v="1"/>
    <x v="0"/>
    <s v="Sombra e Agua Fresca Resort Sàrl"/>
    <m/>
    <m/>
  </r>
  <r>
    <d v="2024-12-31T00:00:00"/>
    <d v="2024-12-31T00:00:00"/>
    <n v="12"/>
    <x v="3"/>
    <m/>
    <m/>
    <m/>
    <m/>
    <m/>
    <m/>
    <m/>
    <n v="13596.1"/>
    <n v="17825.557399999991"/>
    <m/>
    <m/>
    <x v="0"/>
    <x v="1"/>
    <s v="A. CAPITAUX PROPRES"/>
    <x v="9"/>
    <m/>
    <x v="5"/>
    <x v="19"/>
    <x v="0"/>
    <m/>
    <m/>
    <m/>
  </r>
  <r>
    <d v="2024-12-31T00:00:00"/>
    <d v="2024-12-31T00:00:00"/>
    <n v="12"/>
    <x v="3"/>
    <m/>
    <m/>
    <m/>
    <m/>
    <m/>
    <m/>
    <m/>
    <n v="-13596.1"/>
    <n v="4229.4573999999902"/>
    <m/>
    <m/>
    <x v="0"/>
    <x v="1"/>
    <s v="A. CAPITAUX PROPRES"/>
    <x v="9"/>
    <m/>
    <x v="5"/>
    <x v="1"/>
    <x v="0"/>
    <s v="Sombra e Agua Fresca Resort Sàrl"/>
    <m/>
    <m/>
  </r>
  <r>
    <d v="2024-12-31T00:00:00"/>
    <d v="2024-12-31T00:00:00"/>
    <n v="12"/>
    <x v="3"/>
    <m/>
    <m/>
    <m/>
    <m/>
    <m/>
    <m/>
    <m/>
    <n v="-13596.1"/>
    <n v="-9366.6426000000101"/>
    <m/>
    <m/>
    <x v="0"/>
    <x v="1"/>
    <s v="A. CAPITAUX PROPRES"/>
    <x v="19"/>
    <m/>
    <x v="17"/>
    <x v="44"/>
    <x v="0"/>
    <m/>
    <m/>
    <m/>
  </r>
  <r>
    <d v="2024-12-31T00:00:00"/>
    <d v="2024-12-31T00:00:00"/>
    <n v="12"/>
    <x v="3"/>
    <m/>
    <m/>
    <m/>
    <m/>
    <m/>
    <m/>
    <m/>
    <n v="13596.1"/>
    <n v="4229.4573999999902"/>
    <m/>
    <m/>
    <x v="0"/>
    <x v="1"/>
    <s v="A. CAPITAUX PROPRES"/>
    <x v="19"/>
    <m/>
    <x v="17"/>
    <x v="1"/>
    <x v="0"/>
    <s v="Sombra e Agua Fresca Resort Sàrl"/>
    <m/>
    <m/>
  </r>
  <r>
    <d v="2024-12-31T00:00:00"/>
    <d v="2024-12-31T00:00:00"/>
    <n v="12"/>
    <x v="3"/>
    <m/>
    <m/>
    <m/>
    <m/>
    <m/>
    <m/>
    <m/>
    <n v="-6967.17"/>
    <n v="-2737.7126000000098"/>
    <m/>
    <m/>
    <x v="0"/>
    <x v="1"/>
    <s v="A. CAPITAUX PROPRES"/>
    <x v="9"/>
    <m/>
    <x v="5"/>
    <x v="19"/>
    <x v="0"/>
    <m/>
    <m/>
    <m/>
  </r>
  <r>
    <d v="2024-12-31T00:00:00"/>
    <d v="2024-12-31T00:00:00"/>
    <n v="12"/>
    <x v="3"/>
    <m/>
    <m/>
    <m/>
    <m/>
    <m/>
    <m/>
    <m/>
    <n v="6967.17"/>
    <n v="4229.4573999999902"/>
    <m/>
    <m/>
    <x v="0"/>
    <x v="1"/>
    <s v="A. CAPITAUX PROPRES"/>
    <x v="9"/>
    <m/>
    <x v="5"/>
    <x v="1"/>
    <x v="0"/>
    <s v="Sombra e Agua Fresca Resort Sàrl"/>
    <m/>
    <m/>
  </r>
  <r>
    <d v="2025-01-01T00:00:00"/>
    <d v="2025-01-01T00:00:00"/>
    <n v="1"/>
    <x v="4"/>
    <m/>
    <m/>
    <m/>
    <m/>
    <m/>
    <m/>
    <m/>
    <n v="-19.899999999999999"/>
    <n v="4209.5573999999906"/>
    <m/>
    <m/>
    <x v="1"/>
    <x v="2"/>
    <m/>
    <x v="11"/>
    <m/>
    <x v="7"/>
    <x v="33"/>
    <x v="1"/>
    <s v="Olkypay"/>
    <m/>
    <m/>
  </r>
  <r>
    <d v="2025-01-14T00:00:00"/>
    <d v="2025-01-14T00:00:00"/>
    <n v="1"/>
    <x v="4"/>
    <m/>
    <m/>
    <m/>
    <s v="LUX"/>
    <n v="-10.43"/>
    <n v="0.17"/>
    <n v="-1.7731000000000001"/>
    <n v="-12.2"/>
    <n v="4197.3573999999908"/>
    <m/>
    <m/>
    <x v="1"/>
    <x v="2"/>
    <m/>
    <x v="16"/>
    <m/>
    <x v="25"/>
    <x v="47"/>
    <x v="1"/>
    <s v="Sombra e Agua Fresca Resort Sàrl"/>
    <m/>
    <s v="X"/>
  </r>
  <r>
    <d v="2025-02-01T00:00:00"/>
    <d v="2025-02-01T00:00:00"/>
    <n v="2"/>
    <x v="4"/>
    <m/>
    <m/>
    <m/>
    <m/>
    <m/>
    <m/>
    <m/>
    <n v="-20.100000000000001"/>
    <n v="4177.2573999999904"/>
    <m/>
    <m/>
    <x v="1"/>
    <x v="2"/>
    <m/>
    <x v="11"/>
    <m/>
    <x v="7"/>
    <x v="33"/>
    <x v="1"/>
    <s v="Olkypay"/>
    <m/>
    <m/>
  </r>
  <r>
    <d v="2025-02-10T00:00:00"/>
    <d v="2025-02-10T00:00:00"/>
    <n v="2"/>
    <x v="4"/>
    <m/>
    <m/>
    <m/>
    <m/>
    <m/>
    <m/>
    <m/>
    <n v="-401.25"/>
    <n v="3776.0073999999904"/>
    <m/>
    <m/>
    <x v="1"/>
    <x v="2"/>
    <m/>
    <x v="13"/>
    <s v="IMPOT FORTUNE"/>
    <x v="26"/>
    <x v="38"/>
    <x v="1"/>
    <s v="Olkypay"/>
    <n v="2025"/>
    <m/>
  </r>
  <r>
    <d v="2025-03-01T00:00:00"/>
    <d v="2025-03-01T00:00:00"/>
    <n v="3"/>
    <x v="4"/>
    <m/>
    <m/>
    <m/>
    <m/>
    <m/>
    <m/>
    <m/>
    <n v="-20.100000000000001"/>
    <n v="3755.9073999999905"/>
    <m/>
    <m/>
    <x v="1"/>
    <x v="2"/>
    <m/>
    <x v="11"/>
    <m/>
    <x v="7"/>
    <x v="33"/>
    <x v="1"/>
    <s v="Olkypay"/>
    <m/>
    <m/>
  </r>
  <r>
    <d v="2025-04-01T00:00:00"/>
    <d v="2025-04-01T00:00:00"/>
    <n v="4"/>
    <x v="4"/>
    <m/>
    <m/>
    <m/>
    <m/>
    <m/>
    <m/>
    <m/>
    <n v="-19.899999999999999"/>
    <n v="3736.0073999999904"/>
    <m/>
    <m/>
    <x v="1"/>
    <x v="2"/>
    <m/>
    <x v="11"/>
    <m/>
    <x v="7"/>
    <x v="33"/>
    <x v="1"/>
    <s v="Olkypay"/>
    <m/>
    <m/>
  </r>
  <r>
    <d v="2025-04-01T00:00:00"/>
    <d v="2025-04-01T00:00:00"/>
    <n v="4"/>
    <x v="4"/>
    <m/>
    <m/>
    <m/>
    <m/>
    <m/>
    <m/>
    <m/>
    <n v="-40"/>
    <n v="3696.0073999999904"/>
    <m/>
    <m/>
    <x v="1"/>
    <x v="2"/>
    <m/>
    <x v="11"/>
    <m/>
    <x v="7"/>
    <x v="33"/>
    <x v="1"/>
    <s v="Olkypay"/>
    <m/>
    <m/>
  </r>
  <r>
    <d v="2025-04-15T00:00:00"/>
    <d v="2025-04-15T00:00:00"/>
    <n v="4"/>
    <x v="4"/>
    <m/>
    <m/>
    <m/>
    <s v="LUX"/>
    <n v="-10.43"/>
    <n v="0.17"/>
    <n v="-1.7731000000000001"/>
    <n v="-12.2"/>
    <n v="3683.8073999999906"/>
    <m/>
    <m/>
    <x v="1"/>
    <x v="2"/>
    <m/>
    <x v="16"/>
    <m/>
    <x v="25"/>
    <x v="47"/>
    <x v="1"/>
    <s v="Sombra e Agua Fresca Resort Sàrl"/>
    <m/>
    <s v="X"/>
  </r>
  <r>
    <d v="2025-05-01T00:00:00"/>
    <d v="2025-05-01T00:00:00"/>
    <n v="5"/>
    <x v="4"/>
    <m/>
    <m/>
    <m/>
    <m/>
    <m/>
    <m/>
    <m/>
    <n v="-20.309999999999999"/>
    <n v="3663.4973999999906"/>
    <m/>
    <m/>
    <x v="1"/>
    <x v="2"/>
    <m/>
    <x v="11"/>
    <m/>
    <x v="7"/>
    <x v="33"/>
    <x v="1"/>
    <s v="Olkypay"/>
    <m/>
    <m/>
  </r>
  <r>
    <d v="2025-06-01T00:00:00"/>
    <d v="2025-06-01T00:00:00"/>
    <n v="6"/>
    <x v="4"/>
    <m/>
    <m/>
    <m/>
    <m/>
    <m/>
    <m/>
    <m/>
    <n v="-19.899999999999999"/>
    <n v="3643.5973999999906"/>
    <m/>
    <m/>
    <x v="1"/>
    <x v="2"/>
    <m/>
    <x v="11"/>
    <m/>
    <x v="7"/>
    <x v="33"/>
    <x v="1"/>
    <s v="Olkypay"/>
    <m/>
    <m/>
  </r>
  <r>
    <d v="2025-06-13T00:00:00"/>
    <d v="2025-06-13T00:00:00"/>
    <n v="6"/>
    <x v="4"/>
    <m/>
    <m/>
    <m/>
    <m/>
    <m/>
    <m/>
    <m/>
    <n v="-401.25"/>
    <n v="3242.3473999999906"/>
    <m/>
    <m/>
    <x v="1"/>
    <x v="2"/>
    <m/>
    <x v="13"/>
    <s v="IMPOT FORTUNE"/>
    <x v="26"/>
    <x v="38"/>
    <x v="1"/>
    <s v="Olkypay"/>
    <n v="2025"/>
    <m/>
  </r>
  <r>
    <d v="2025-07-01T00:00:00"/>
    <d v="2025-07-01T00:00:00"/>
    <n v="7"/>
    <x v="4"/>
    <m/>
    <m/>
    <m/>
    <m/>
    <m/>
    <m/>
    <m/>
    <n v="-20.5"/>
    <n v="3221.8473999999906"/>
    <m/>
    <m/>
    <x v="1"/>
    <x v="2"/>
    <m/>
    <x v="11"/>
    <m/>
    <x v="7"/>
    <x v="33"/>
    <x v="1"/>
    <s v="Olkypay"/>
    <m/>
    <m/>
  </r>
  <r>
    <d v="2025-07-01T00:00:00"/>
    <d v="2025-07-01T00:00:00"/>
    <n v="7"/>
    <x v="4"/>
    <m/>
    <m/>
    <m/>
    <m/>
    <m/>
    <m/>
    <m/>
    <n v="-40"/>
    <n v="3181.8473999999906"/>
    <m/>
    <m/>
    <x v="1"/>
    <x v="2"/>
    <m/>
    <x v="11"/>
    <m/>
    <x v="7"/>
    <x v="33"/>
    <x v="1"/>
    <s v="Olkypay"/>
    <m/>
    <m/>
  </r>
  <r>
    <d v="2025-07-10T00:00:00"/>
    <d v="2025-07-10T00:00:00"/>
    <n v="7"/>
    <x v="4"/>
    <m/>
    <m/>
    <m/>
    <m/>
    <m/>
    <m/>
    <m/>
    <n v="-350"/>
    <n v="2831.8473999999906"/>
    <m/>
    <m/>
    <x v="1"/>
    <x v="2"/>
    <m/>
    <x v="17"/>
    <m/>
    <x v="16"/>
    <x v="43"/>
    <x v="1"/>
    <s v="Olkypay"/>
    <m/>
    <m/>
  </r>
  <r>
    <d v="2025-07-22T00:00:00"/>
    <d v="2025-07-22T00:00:00"/>
    <n v="7"/>
    <x v="4"/>
    <m/>
    <m/>
    <m/>
    <m/>
    <m/>
    <m/>
    <m/>
    <n v="-401.25"/>
    <n v="2430.5973999999906"/>
    <m/>
    <m/>
    <x v="1"/>
    <x v="2"/>
    <m/>
    <x v="13"/>
    <s v="IMPOT FORTUNE"/>
    <x v="26"/>
    <x v="38"/>
    <x v="1"/>
    <s v="Olkypay"/>
    <n v="2025"/>
    <m/>
  </r>
  <r>
    <d v="2025-08-01T00:00:00"/>
    <d v="2025-08-01T00:00:00"/>
    <n v="8"/>
    <x v="4"/>
    <m/>
    <m/>
    <m/>
    <m/>
    <m/>
    <m/>
    <m/>
    <n v="-21.08"/>
    <n v="2409.5173999999906"/>
    <m/>
    <m/>
    <x v="1"/>
    <x v="2"/>
    <m/>
    <x v="11"/>
    <m/>
    <x v="7"/>
    <x v="33"/>
    <x v="1"/>
    <s v="Olkypay"/>
    <m/>
    <m/>
  </r>
  <r>
    <d v="2025-09-01T00:00:00"/>
    <d v="2025-09-01T00:00:00"/>
    <n v="9"/>
    <x v="4"/>
    <m/>
    <m/>
    <m/>
    <m/>
    <m/>
    <m/>
    <m/>
    <n v="-19.899999999999999"/>
    <n v="2389.6173999999905"/>
    <m/>
    <m/>
    <x v="1"/>
    <x v="2"/>
    <m/>
    <x v="11"/>
    <m/>
    <x v="7"/>
    <x v="33"/>
    <x v="1"/>
    <s v="Olkypay"/>
    <m/>
    <m/>
  </r>
  <r>
    <d v="2025-10-01T00:00:00"/>
    <d v="2025-10-01T00:00:00"/>
    <n v="10"/>
    <x v="4"/>
    <m/>
    <m/>
    <m/>
    <m/>
    <m/>
    <m/>
    <m/>
    <n v="-19.899999999999999"/>
    <n v="2369.7173999999904"/>
    <m/>
    <m/>
    <x v="1"/>
    <x v="2"/>
    <m/>
    <x v="11"/>
    <m/>
    <x v="7"/>
    <x v="33"/>
    <x v="1"/>
    <s v="Olkypay"/>
    <m/>
    <m/>
  </r>
  <r>
    <d v="2025-10-31T00:00:00"/>
    <d v="2025-10-31T00:00:00"/>
    <n v="10"/>
    <x v="4"/>
    <m/>
    <m/>
    <m/>
    <m/>
    <m/>
    <m/>
    <m/>
    <n v="4000"/>
    <n v="6369.7173999999904"/>
    <m/>
    <m/>
    <x v="0"/>
    <x v="1"/>
    <s v="C. DETTES"/>
    <x v="6"/>
    <m/>
    <x v="2"/>
    <x v="17"/>
    <x v="1"/>
    <s v="Edoardo Tubia"/>
    <m/>
    <m/>
  </r>
  <r>
    <d v="2025-11-01T00:00:00"/>
    <d v="2025-11-01T00:00:00"/>
    <n v="11"/>
    <x v="4"/>
    <m/>
    <m/>
    <m/>
    <m/>
    <m/>
    <m/>
    <m/>
    <n v="-19.899999999999999"/>
    <n v="6349.8173999999908"/>
    <m/>
    <m/>
    <x v="1"/>
    <x v="2"/>
    <m/>
    <x v="11"/>
    <m/>
    <x v="7"/>
    <x v="33"/>
    <x v="1"/>
    <s v="Olkypay"/>
    <m/>
    <m/>
  </r>
  <r>
    <d v="2025-11-03T00:00:00"/>
    <d v="2025-11-03T00:00:00"/>
    <n v="11"/>
    <x v="4"/>
    <m/>
    <m/>
    <m/>
    <s v="LUX"/>
    <n v="-4000"/>
    <n v="0.17"/>
    <n v="-680"/>
    <n v="-4680"/>
    <n v="1669.8173999999908"/>
    <m/>
    <m/>
    <x v="1"/>
    <x v="2"/>
    <m/>
    <x v="20"/>
    <m/>
    <x v="27"/>
    <x v="45"/>
    <x v="1"/>
    <s v="Olkypay"/>
    <m/>
    <s v="X"/>
  </r>
  <r>
    <d v="2025-11-03T00:00:00"/>
    <d v="2025-11-03T00:00:00"/>
    <n v="11"/>
    <x v="4"/>
    <m/>
    <m/>
    <m/>
    <m/>
    <m/>
    <m/>
    <m/>
    <n v="-401.25"/>
    <n v="1268.5673999999908"/>
    <m/>
    <m/>
    <x v="1"/>
    <x v="2"/>
    <m/>
    <x v="13"/>
    <s v="IMPOT FORTUNE"/>
    <x v="26"/>
    <x v="38"/>
    <x v="1"/>
    <s v="Olkypay"/>
    <n v="2025"/>
    <m/>
  </r>
  <r>
    <d v="2025-12-01T00:00:00"/>
    <d v="2025-12-01T00:00:00"/>
    <n v="12"/>
    <x v="4"/>
    <m/>
    <m/>
    <m/>
    <m/>
    <m/>
    <m/>
    <m/>
    <n v="-23.24"/>
    <n v="1245.3273999999908"/>
    <m/>
    <m/>
    <x v="1"/>
    <x v="2"/>
    <m/>
    <x v="11"/>
    <m/>
    <x v="7"/>
    <x v="33"/>
    <x v="1"/>
    <s v="Olkypay"/>
    <m/>
    <m/>
  </r>
  <r>
    <d v="2025-12-08T00:00:00"/>
    <d v="2025-12-08T00:00:00"/>
    <n v="12"/>
    <x v="4"/>
    <n v="-62000"/>
    <m/>
    <n v="6.2"/>
    <m/>
    <m/>
    <m/>
    <m/>
    <n v="10000"/>
    <n v="11245.327399999991"/>
    <m/>
    <m/>
    <x v="0"/>
    <x v="3"/>
    <m/>
    <x v="22"/>
    <m/>
    <x v="28"/>
    <x v="48"/>
    <x v="1"/>
    <s v="Olkypay"/>
    <m/>
    <m/>
  </r>
  <r>
    <d v="2025-12-30T00:00:00"/>
    <d v="2025-12-30T00:00:00"/>
    <n v="12"/>
    <x v="4"/>
    <m/>
    <m/>
    <m/>
    <m/>
    <m/>
    <m/>
    <m/>
    <n v="-1000"/>
    <n v="10245.327399999991"/>
    <m/>
    <m/>
    <x v="0"/>
    <x v="1"/>
    <s v="C. DETTES"/>
    <x v="6"/>
    <m/>
    <x v="2"/>
    <x v="17"/>
    <x v="1"/>
    <s v="Edoardo Tubia"/>
    <m/>
    <m/>
  </r>
  <r>
    <d v="2025-12-31T00:00:00"/>
    <d v="2025-12-31T00:00:00"/>
    <n v="12"/>
    <x v="4"/>
    <m/>
    <m/>
    <m/>
    <m/>
    <m/>
    <m/>
    <m/>
    <n v="-51.2"/>
    <n v="10194.12739999999"/>
    <m/>
    <m/>
    <x v="1"/>
    <x v="2"/>
    <m/>
    <x v="11"/>
    <m/>
    <x v="7"/>
    <x v="33"/>
    <x v="1"/>
    <s v="Olkypay"/>
    <m/>
    <m/>
  </r>
  <r>
    <d v="2025-12-31T00:00:00"/>
    <d v="2025-12-31T00:00:00"/>
    <n v="12"/>
    <x v="4"/>
    <m/>
    <m/>
    <m/>
    <m/>
    <m/>
    <m/>
    <m/>
    <n v="-0.9"/>
    <n v="10193.227399999991"/>
    <m/>
    <m/>
    <x v="1"/>
    <x v="2"/>
    <m/>
    <x v="11"/>
    <m/>
    <x v="7"/>
    <x v="33"/>
    <x v="1"/>
    <s v="Olkypay"/>
    <m/>
    <m/>
  </r>
  <r>
    <d v="2026-01-01T00:00:00"/>
    <d v="2026-01-01T00:00:00"/>
    <n v="1"/>
    <x v="5"/>
    <m/>
    <m/>
    <m/>
    <m/>
    <m/>
    <m/>
    <m/>
    <n v="-19.899999999999999"/>
    <n v="10173.327399999991"/>
    <m/>
    <m/>
    <x v="1"/>
    <x v="2"/>
    <m/>
    <x v="11"/>
    <m/>
    <x v="7"/>
    <x v="33"/>
    <x v="1"/>
    <s v="Olkypay"/>
    <m/>
    <m/>
  </r>
  <r>
    <d v="2026-01-30T00:00:00"/>
    <d v="2026-01-30T00:00:00"/>
    <n v="1"/>
    <x v="5"/>
    <m/>
    <m/>
    <m/>
    <m/>
    <m/>
    <m/>
    <m/>
    <n v="-40"/>
    <n v="10133.327399999991"/>
    <m/>
    <m/>
    <x v="1"/>
    <x v="2"/>
    <m/>
    <x v="11"/>
    <m/>
    <x v="7"/>
    <x v="33"/>
    <x v="1"/>
    <s v="Olkypay"/>
    <m/>
    <m/>
  </r>
  <r>
    <d v="2026-02-01T00:00:00"/>
    <d v="2026-02-01T00:00:00"/>
    <n v="2"/>
    <x v="5"/>
    <m/>
    <m/>
    <m/>
    <m/>
    <m/>
    <m/>
    <m/>
    <n v="-19.899999999999999"/>
    <n v="10113.427399999991"/>
    <m/>
    <m/>
    <x v="1"/>
    <x v="2"/>
    <m/>
    <x v="11"/>
    <m/>
    <x v="7"/>
    <x v="33"/>
    <x v="1"/>
    <s v="Olkypay"/>
    <m/>
    <m/>
  </r>
  <r>
    <d v="2026-02-10T00:00:00"/>
    <d v="2026-02-10T00:00:00"/>
    <n v="2"/>
    <x v="5"/>
    <m/>
    <m/>
    <m/>
    <m/>
    <m/>
    <m/>
    <m/>
    <n v="-401.25"/>
    <n v="9712.1773999999914"/>
    <m/>
    <m/>
    <x v="1"/>
    <x v="2"/>
    <m/>
    <x v="13"/>
    <s v="IMPOT FORTUNE"/>
    <x v="29"/>
    <x v="38"/>
    <x v="1"/>
    <s v="Sombra e Agua Fresca Resort Sàrl"/>
    <n v="2026"/>
    <m/>
  </r>
  <r>
    <d v="2026-03-02T00:00:00"/>
    <d v="2026-03-02T00:00:00"/>
    <n v="3"/>
    <x v="5"/>
    <m/>
    <m/>
    <m/>
    <m/>
    <m/>
    <m/>
    <m/>
    <n v="-20.5"/>
    <n v="9691.6773999999914"/>
    <m/>
    <m/>
    <x v="1"/>
    <x v="2"/>
    <m/>
    <x v="11"/>
    <m/>
    <x v="7"/>
    <x v="33"/>
    <x v="1"/>
    <s v="Olkypay"/>
    <m/>
    <m/>
  </r>
  <r>
    <d v="2026-03-04T00:00:00"/>
    <d v="2026-03-04T00:00:00"/>
    <n v="3"/>
    <x v="5"/>
    <m/>
    <m/>
    <m/>
    <m/>
    <m/>
    <m/>
    <m/>
    <n v="-1000"/>
    <n v="8691.6773999999914"/>
    <m/>
    <m/>
    <x v="0"/>
    <x v="1"/>
    <s v="C. DETTES"/>
    <x v="6"/>
    <m/>
    <x v="2"/>
    <x v="17"/>
    <x v="1"/>
    <s v="Edoardo Tubia"/>
    <m/>
    <m/>
  </r>
  <r>
    <d v="2026-03-04T00:00:00"/>
    <d v="2026-03-04T00:00:00"/>
    <n v="3"/>
    <x v="5"/>
    <m/>
    <m/>
    <m/>
    <m/>
    <m/>
    <m/>
    <m/>
    <n v="1000"/>
    <n v="9691.6773999999914"/>
    <m/>
    <m/>
    <x v="0"/>
    <x v="1"/>
    <s v="C. DETTES"/>
    <x v="6"/>
    <m/>
    <x v="2"/>
    <x v="17"/>
    <x v="2"/>
    <s v="Edoardo Tubia"/>
    <m/>
    <m/>
  </r>
  <r>
    <d v="2026-03-04T00:00:00"/>
    <d v="2026-03-04T00:00:00"/>
    <n v="3"/>
    <x v="5"/>
    <m/>
    <m/>
    <m/>
    <m/>
    <m/>
    <m/>
    <m/>
    <n v="-10"/>
    <n v="9681.6773999999914"/>
    <m/>
    <m/>
    <x v="1"/>
    <x v="2"/>
    <m/>
    <x v="11"/>
    <m/>
    <x v="7"/>
    <x v="49"/>
    <x v="2"/>
    <s v="Revolut"/>
    <m/>
    <m/>
  </r>
  <r>
    <d v="2026-03-06T00:00:00"/>
    <d v="2026-03-06T00:00:00"/>
    <n v="3"/>
    <x v="5"/>
    <m/>
    <m/>
    <m/>
    <m/>
    <m/>
    <m/>
    <m/>
    <n v="-4000"/>
    <n v="5681.6773999999914"/>
    <m/>
    <m/>
    <x v="0"/>
    <x v="1"/>
    <s v="C. DETTES"/>
    <x v="6"/>
    <m/>
    <x v="2"/>
    <x v="17"/>
    <x v="1"/>
    <s v="Edoardo Tubia"/>
    <m/>
    <m/>
  </r>
  <r>
    <d v="2026-03-09T00:00:00"/>
    <d v="2026-03-09T00:00:00"/>
    <n v="3"/>
    <x v="5"/>
    <m/>
    <m/>
    <m/>
    <m/>
    <m/>
    <m/>
    <m/>
    <n v="4000"/>
    <n v="9681.6773999999914"/>
    <m/>
    <m/>
    <x v="0"/>
    <x v="1"/>
    <s v="C. DETTES"/>
    <x v="6"/>
    <m/>
    <x v="2"/>
    <x v="17"/>
    <x v="2"/>
    <s v="Edoardo Tubia"/>
    <m/>
    <m/>
  </r>
  <r>
    <d v="2026-03-09T00:00:00"/>
    <d v="2026-03-09T00:00:00"/>
    <n v="3"/>
    <x v="5"/>
    <m/>
    <m/>
    <m/>
    <m/>
    <m/>
    <m/>
    <m/>
    <n v="-4000"/>
    <n v="5681.6773999999914"/>
    <m/>
    <m/>
    <x v="0"/>
    <x v="1"/>
    <s v="C. DETTES"/>
    <x v="6"/>
    <m/>
    <x v="2"/>
    <x v="17"/>
    <x v="1"/>
    <s v="Edoardo Tubia"/>
    <m/>
    <m/>
  </r>
  <r>
    <d v="2026-03-09T00:00:00"/>
    <d v="2026-03-09T00:00:00"/>
    <n v="3"/>
    <x v="5"/>
    <m/>
    <m/>
    <m/>
    <m/>
    <m/>
    <m/>
    <m/>
    <n v="4000"/>
    <n v="9681.6773999999914"/>
    <m/>
    <m/>
    <x v="0"/>
    <x v="1"/>
    <s v="C. DETTES"/>
    <x v="6"/>
    <m/>
    <x v="2"/>
    <x v="17"/>
    <x v="2"/>
    <s v="Edoardo Tubia"/>
    <m/>
    <m/>
  </r>
  <r>
    <d v="2026-03-11T00:00:00"/>
    <d v="2026-03-11T00:00:00"/>
    <n v="3"/>
    <x v="5"/>
    <m/>
    <m/>
    <m/>
    <m/>
    <m/>
    <m/>
    <m/>
    <n v="-5.7"/>
    <n v="9675.9773999999907"/>
    <m/>
    <m/>
    <x v="1"/>
    <x v="2"/>
    <m/>
    <x v="11"/>
    <m/>
    <x v="7"/>
    <x v="33"/>
    <x v="1"/>
    <s v="Olkypay"/>
    <m/>
    <m/>
  </r>
  <r>
    <d v="2026-03-11T00:00:00"/>
    <d v="2026-03-11T00:00:00"/>
    <n v="3"/>
    <x v="5"/>
    <m/>
    <m/>
    <m/>
    <m/>
    <m/>
    <m/>
    <m/>
    <n v="585.98"/>
    <n v="10261.95739999999"/>
    <m/>
    <m/>
    <x v="0"/>
    <x v="1"/>
    <s v="C. DETTES"/>
    <x v="6"/>
    <m/>
    <x v="2"/>
    <x v="17"/>
    <x v="2"/>
    <s v="Edoardo Tubia"/>
    <m/>
    <m/>
  </r>
  <r>
    <d v="2026-03-12T00:00:00"/>
    <d v="2026-03-12T00:00:00"/>
    <n v="3"/>
    <x v="5"/>
    <m/>
    <m/>
    <m/>
    <m/>
    <m/>
    <m/>
    <m/>
    <n v="-585.98"/>
    <n v="9675.9773999999907"/>
    <m/>
    <m/>
    <x v="0"/>
    <x v="1"/>
    <s v="C. DETTES"/>
    <x v="6"/>
    <m/>
    <x v="2"/>
    <x v="17"/>
    <x v="1"/>
    <s v="Edoardo Tubia"/>
    <m/>
    <m/>
  </r>
  <r>
    <d v="2026-04-01T00:00:00"/>
    <d v="2026-04-01T00:00:00"/>
    <n v="4"/>
    <x v="5"/>
    <m/>
    <m/>
    <m/>
    <m/>
    <m/>
    <m/>
    <m/>
    <n v="-40"/>
    <n v="9635.9773999999907"/>
    <m/>
    <m/>
    <x v="1"/>
    <x v="2"/>
    <m/>
    <x v="11"/>
    <m/>
    <x v="7"/>
    <x v="33"/>
    <x v="1"/>
    <s v="Olkypay"/>
    <m/>
    <m/>
  </r>
  <r>
    <d v="2026-04-01T00:00:00"/>
    <d v="2026-04-01T00:00:00"/>
    <n v="4"/>
    <x v="5"/>
    <m/>
    <m/>
    <m/>
    <m/>
    <m/>
    <m/>
    <m/>
    <n v="-0.69"/>
    <n v="9635.2873999999902"/>
    <m/>
    <m/>
    <x v="1"/>
    <x v="2"/>
    <m/>
    <x v="11"/>
    <m/>
    <x v="7"/>
    <x v="33"/>
    <x v="1"/>
    <s v="Olkypay"/>
    <m/>
    <m/>
  </r>
  <r>
    <d v="2026-04-01T00:00:00"/>
    <d v="2026-04-01T00:00:00"/>
    <n v="4"/>
    <x v="5"/>
    <m/>
    <m/>
    <m/>
    <m/>
    <m/>
    <m/>
    <m/>
    <n v="-19.899999999999999"/>
    <n v="9615.3873999999905"/>
    <m/>
    <m/>
    <x v="1"/>
    <x v="2"/>
    <m/>
    <x v="11"/>
    <m/>
    <x v="7"/>
    <x v="33"/>
    <x v="1"/>
    <s v="Olkypay"/>
    <m/>
    <m/>
  </r>
  <r>
    <d v="2026-04-02T00:00:00"/>
    <d v="2026-04-02T00:00:00"/>
    <n v="4"/>
    <x v="5"/>
    <m/>
    <m/>
    <m/>
    <m/>
    <m/>
    <m/>
    <m/>
    <n v="-10"/>
    <n v="9605.3873999999905"/>
    <m/>
    <m/>
    <x v="1"/>
    <x v="2"/>
    <m/>
    <x v="11"/>
    <m/>
    <x v="7"/>
    <x v="49"/>
    <x v="2"/>
    <s v="Revolut"/>
    <m/>
    <m/>
  </r>
  <r>
    <d v="2026-04-02T00:00:00"/>
    <d v="2026-04-02T00:00:00"/>
    <n v="4"/>
    <x v="5"/>
    <m/>
    <m/>
    <m/>
    <m/>
    <m/>
    <m/>
    <m/>
    <n v="-16"/>
    <n v="9589.3873999999905"/>
    <m/>
    <m/>
    <x v="1"/>
    <x v="2"/>
    <m/>
    <x v="11"/>
    <m/>
    <x v="7"/>
    <x v="49"/>
    <x v="2"/>
    <s v="Revolut"/>
    <m/>
    <m/>
  </r>
  <r>
    <d v="2026-05-02T00:00:00"/>
    <d v="2026-05-02T00:00:00"/>
    <n v="5"/>
    <x v="5"/>
    <m/>
    <m/>
    <m/>
    <m/>
    <m/>
    <m/>
    <m/>
    <n v="-19.899999999999999"/>
    <n v="9569.4873999999909"/>
    <m/>
    <m/>
    <x v="1"/>
    <x v="2"/>
    <m/>
    <x v="11"/>
    <m/>
    <x v="7"/>
    <x v="33"/>
    <x v="1"/>
    <s v="Olkypay"/>
    <m/>
    <m/>
  </r>
  <r>
    <d v="2026-05-02T00:00:00"/>
    <d v="2026-05-02T00:00:00"/>
    <n v="5"/>
    <x v="5"/>
    <m/>
    <m/>
    <m/>
    <m/>
    <m/>
    <m/>
    <m/>
    <n v="-10"/>
    <n v="9559.4873999999909"/>
    <m/>
    <m/>
    <x v="1"/>
    <x v="2"/>
    <m/>
    <x v="11"/>
    <m/>
    <x v="7"/>
    <x v="49"/>
    <x v="2"/>
    <s v="Revolut"/>
    <m/>
    <m/>
  </r>
  <r>
    <d v="2026-05-02T00:00:00"/>
    <d v="2026-05-02T00:00:00"/>
    <n v="5"/>
    <x v="5"/>
    <m/>
    <m/>
    <m/>
    <m/>
    <m/>
    <m/>
    <m/>
    <n v="-8"/>
    <n v="9551.4873999999909"/>
    <m/>
    <m/>
    <x v="1"/>
    <x v="2"/>
    <m/>
    <x v="11"/>
    <m/>
    <x v="7"/>
    <x v="49"/>
    <x v="2"/>
    <s v="Revolut"/>
    <m/>
    <m/>
  </r>
  <r>
    <d v="2026-05-19T00:00:00"/>
    <d v="2026-05-19T00:00:00"/>
    <n v="5"/>
    <x v="5"/>
    <m/>
    <m/>
    <m/>
    <m/>
    <m/>
    <m/>
    <m/>
    <n v="-19.510000000000002"/>
    <n v="9531.9773999999907"/>
    <m/>
    <m/>
    <x v="1"/>
    <x v="2"/>
    <m/>
    <x v="11"/>
    <m/>
    <x v="7"/>
    <x v="33"/>
    <x v="1"/>
    <s v="Olkypay"/>
    <m/>
    <m/>
  </r>
  <r>
    <d v="2026-05-21T00:00:00"/>
    <d v="2026-05-21T00:00:00"/>
    <n v="5"/>
    <x v="5"/>
    <m/>
    <m/>
    <m/>
    <m/>
    <m/>
    <m/>
    <m/>
    <n v="19.510000000000002"/>
    <n v="9551.4873999999909"/>
    <m/>
    <m/>
    <x v="1"/>
    <x v="2"/>
    <m/>
    <x v="11"/>
    <m/>
    <x v="7"/>
    <x v="49"/>
    <x v="2"/>
    <s v="Olkypay"/>
    <m/>
    <m/>
  </r>
  <r>
    <d v="2026-05-21T00:00:00"/>
    <d v="2026-05-21T00:00:00"/>
    <n v="5"/>
    <x v="5"/>
    <m/>
    <m/>
    <m/>
    <m/>
    <m/>
    <m/>
    <m/>
    <n v="-401.25"/>
    <n v="9150.2373999999909"/>
    <m/>
    <m/>
    <x v="1"/>
    <x v="2"/>
    <m/>
    <x v="13"/>
    <s v="IMPOT FORTUNE"/>
    <x v="29"/>
    <x v="38"/>
    <x v="2"/>
    <s v="Sombra e Agua Fresca Resort Sàrl"/>
    <n v="2026"/>
    <m/>
  </r>
  <r>
    <d v="2026-06-02T00:00:00"/>
    <d v="2026-06-02T00:00:00"/>
    <n v="6"/>
    <x v="5"/>
    <m/>
    <m/>
    <m/>
    <m/>
    <m/>
    <m/>
    <m/>
    <n v="-10"/>
    <n v="9140.2373999999909"/>
    <m/>
    <m/>
    <x v="1"/>
    <x v="2"/>
    <m/>
    <x v="11"/>
    <m/>
    <x v="7"/>
    <x v="49"/>
    <x v="2"/>
    <s v="Revolut"/>
    <m/>
    <m/>
  </r>
  <r>
    <d v="2026-06-02T00:00:00"/>
    <d v="2026-06-02T00:00:00"/>
    <n v="6"/>
    <x v="5"/>
    <m/>
    <m/>
    <m/>
    <m/>
    <m/>
    <m/>
    <m/>
    <n v="-8"/>
    <n v="9132.2373999999909"/>
    <m/>
    <m/>
    <x v="1"/>
    <x v="2"/>
    <m/>
    <x v="11"/>
    <m/>
    <x v="7"/>
    <x v="49"/>
    <x v="2"/>
    <s v="Revolut"/>
    <m/>
    <m/>
  </r>
  <r>
    <d v="2026-06-30T00:00:00"/>
    <d v="2026-06-30T00:00:00"/>
    <n v="6"/>
    <x v="5"/>
    <m/>
    <m/>
    <m/>
    <m/>
    <m/>
    <m/>
    <m/>
    <n v="-43434.36"/>
    <n v="-34302.12260000001"/>
    <s v="H"/>
    <m/>
    <x v="0"/>
    <x v="1"/>
    <s v="C. DETTES"/>
    <x v="2"/>
    <m/>
    <x v="2"/>
    <x v="11"/>
    <x v="0"/>
    <s v="Edoardo Tubia"/>
    <m/>
    <m/>
  </r>
  <r>
    <d v="2026-06-30T00:00:00"/>
    <d v="2026-06-30T00:00:00"/>
    <n v="6"/>
    <x v="5"/>
    <m/>
    <m/>
    <m/>
    <m/>
    <m/>
    <m/>
    <m/>
    <n v="43434.36"/>
    <n v="9132.2373999999909"/>
    <s v="H"/>
    <m/>
    <x v="0"/>
    <x v="1"/>
    <s v="C. DETTES"/>
    <x v="2"/>
    <m/>
    <x v="2"/>
    <x v="14"/>
    <x v="0"/>
    <s v="New Life Sàrl"/>
    <m/>
    <m/>
  </r>
  <r>
    <d v="2026-06-30T00:00:00"/>
    <d v="2026-06-30T00:00:00"/>
    <n v="6"/>
    <x v="5"/>
    <m/>
    <m/>
    <m/>
    <m/>
    <m/>
    <m/>
    <m/>
    <n v="-520"/>
    <n v="8612.2373999999909"/>
    <s v="H"/>
    <n v="-520"/>
    <x v="0"/>
    <x v="1"/>
    <s v="A. CAPITAUX PROPRES"/>
    <x v="10"/>
    <m/>
    <x v="6"/>
    <x v="23"/>
    <x v="0"/>
    <s v="Tubia Edoardo"/>
    <m/>
    <m/>
  </r>
  <r>
    <d v="2026-06-30T00:00:00"/>
    <d v="2026-06-30T00:00:00"/>
    <n v="6"/>
    <x v="5"/>
    <m/>
    <m/>
    <m/>
    <m/>
    <m/>
    <m/>
    <m/>
    <n v="520"/>
    <n v="9132.2373999999909"/>
    <s v="H"/>
    <n v="520"/>
    <x v="0"/>
    <x v="1"/>
    <s v="A. CAPITAUX PROPRES"/>
    <x v="10"/>
    <m/>
    <x v="6"/>
    <x v="22"/>
    <x v="0"/>
    <s v="New Life Sàrl"/>
    <m/>
    <m/>
  </r>
  <r>
    <d v="2026-06-30T00:00:00"/>
    <d v="2026-06-30T00:00:00"/>
    <n v="6"/>
    <x v="5"/>
    <m/>
    <m/>
    <m/>
    <m/>
    <m/>
    <m/>
    <m/>
    <n v="-135"/>
    <n v="8997.2373999999909"/>
    <s v="F"/>
    <n v="-135"/>
    <x v="0"/>
    <x v="1"/>
    <s v="A. CAPITAUX PROPRES"/>
    <x v="10"/>
    <m/>
    <x v="6"/>
    <x v="23"/>
    <x v="0"/>
    <s v="Tubia Edoardo"/>
    <m/>
    <m/>
  </r>
  <r>
    <d v="2026-06-30T00:00:00"/>
    <d v="2026-06-30T00:00:00"/>
    <n v="6"/>
    <x v="5"/>
    <m/>
    <m/>
    <m/>
    <m/>
    <m/>
    <m/>
    <m/>
    <n v="135"/>
    <n v="9132.2373999999909"/>
    <s v="F"/>
    <n v="135"/>
    <x v="0"/>
    <x v="1"/>
    <s v="A. CAPITAUX PROPRES"/>
    <x v="10"/>
    <m/>
    <x v="6"/>
    <x v="22"/>
    <x v="0"/>
    <s v="New Life Sàrl"/>
    <m/>
    <m/>
  </r>
  <r>
    <d v="2026-07-02T00:00:00"/>
    <d v="2026-07-02T00:00:00"/>
    <n v="7"/>
    <x v="5"/>
    <m/>
    <m/>
    <m/>
    <m/>
    <m/>
    <m/>
    <m/>
    <n v="-10"/>
    <n v="9122.2373999999909"/>
    <m/>
    <m/>
    <x v="1"/>
    <x v="2"/>
    <m/>
    <x v="11"/>
    <m/>
    <x v="7"/>
    <x v="49"/>
    <x v="2"/>
    <s v="Revolut"/>
    <m/>
    <m/>
  </r>
  <r>
    <d v="2026-07-02T00:00:00"/>
    <d v="2026-07-02T00:00:00"/>
    <n v="7"/>
    <x v="5"/>
    <m/>
    <m/>
    <m/>
    <m/>
    <m/>
    <m/>
    <m/>
    <n v="-8"/>
    <n v="9114.2373999999909"/>
    <m/>
    <m/>
    <x v="1"/>
    <x v="2"/>
    <m/>
    <x v="11"/>
    <m/>
    <x v="7"/>
    <x v="49"/>
    <x v="2"/>
    <s v="Revolut"/>
    <m/>
    <m/>
  </r>
  <r>
    <d v="2026-07-09T00:00:00"/>
    <d v="2026-07-09T00:00:00"/>
    <n v="7"/>
    <x v="5"/>
    <m/>
    <m/>
    <m/>
    <m/>
    <m/>
    <m/>
    <m/>
    <n v="-350"/>
    <n v="8764.2373999999909"/>
    <m/>
    <m/>
    <x v="1"/>
    <x v="2"/>
    <m/>
    <x v="17"/>
    <m/>
    <x v="16"/>
    <x v="43"/>
    <x v="2"/>
    <s v="Revolut"/>
    <m/>
    <m/>
  </r>
  <r>
    <d v="2026-08-02T00:00:00"/>
    <d v="2026-08-02T00:00:00"/>
    <n v="8"/>
    <x v="5"/>
    <m/>
    <m/>
    <m/>
    <m/>
    <m/>
    <m/>
    <m/>
    <n v="-10"/>
    <n v="8754.2373999999909"/>
    <m/>
    <m/>
    <x v="1"/>
    <x v="2"/>
    <m/>
    <x v="11"/>
    <m/>
    <x v="7"/>
    <x v="49"/>
    <x v="2"/>
    <s v="Revolut"/>
    <m/>
    <m/>
  </r>
  <r>
    <d v="2026-08-02T00:00:00"/>
    <d v="2026-08-02T00:00:00"/>
    <n v="8"/>
    <x v="5"/>
    <m/>
    <m/>
    <m/>
    <m/>
    <m/>
    <m/>
    <m/>
    <n v="-8"/>
    <n v="8746.2373999999909"/>
    <m/>
    <m/>
    <x v="1"/>
    <x v="2"/>
    <m/>
    <x v="11"/>
    <m/>
    <x v="7"/>
    <x v="49"/>
    <x v="2"/>
    <s v="Revolut"/>
    <m/>
    <m/>
  </r>
  <r>
    <d v="2026-08-09T00:00:00"/>
    <d v="2026-08-09T00:00:00"/>
    <n v="8"/>
    <x v="5"/>
    <m/>
    <m/>
    <m/>
    <m/>
    <m/>
    <m/>
    <m/>
    <n v="-401.25"/>
    <n v="8344.9873999999909"/>
    <m/>
    <m/>
    <x v="1"/>
    <x v="2"/>
    <m/>
    <x v="13"/>
    <s v="IMPOT FORTUNE"/>
    <x v="29"/>
    <x v="38"/>
    <x v="2"/>
    <s v="Sombra e Agua Fresca Resort Sàrl"/>
    <n v="2026"/>
    <m/>
  </r>
  <r>
    <d v="2026-09-02T00:00:00"/>
    <d v="2026-09-02T00:00:00"/>
    <n v="9"/>
    <x v="5"/>
    <m/>
    <m/>
    <m/>
    <m/>
    <m/>
    <m/>
    <m/>
    <n v="-10"/>
    <n v="8334.9873999999909"/>
    <m/>
    <m/>
    <x v="1"/>
    <x v="2"/>
    <m/>
    <x v="11"/>
    <m/>
    <x v="7"/>
    <x v="49"/>
    <x v="2"/>
    <s v="Revolut"/>
    <m/>
    <m/>
  </r>
  <r>
    <d v="2026-09-02T00:00:00"/>
    <d v="2026-09-02T00:00:00"/>
    <n v="9"/>
    <x v="5"/>
    <m/>
    <m/>
    <m/>
    <m/>
    <m/>
    <m/>
    <m/>
    <n v="-8"/>
    <n v="8326.9873999999909"/>
    <m/>
    <m/>
    <x v="1"/>
    <x v="2"/>
    <m/>
    <x v="11"/>
    <m/>
    <x v="7"/>
    <x v="49"/>
    <x v="2"/>
    <s v="Revolut"/>
    <m/>
    <m/>
  </r>
  <r>
    <d v="2026-10-02T00:00:00"/>
    <d v="2026-10-02T00:00:00"/>
    <n v="10"/>
    <x v="5"/>
    <m/>
    <m/>
    <m/>
    <m/>
    <m/>
    <m/>
    <m/>
    <n v="-10"/>
    <n v="8316.9873999999909"/>
    <m/>
    <m/>
    <x v="1"/>
    <x v="2"/>
    <m/>
    <x v="11"/>
    <m/>
    <x v="7"/>
    <x v="49"/>
    <x v="2"/>
    <s v="Revolut"/>
    <m/>
    <m/>
  </r>
  <r>
    <d v="2026-10-02T00:00:00"/>
    <d v="2026-10-02T00:00:00"/>
    <n v="10"/>
    <x v="5"/>
    <m/>
    <m/>
    <m/>
    <m/>
    <m/>
    <m/>
    <m/>
    <n v="-8"/>
    <n v="8308.9873999999909"/>
    <m/>
    <m/>
    <x v="1"/>
    <x v="2"/>
    <m/>
    <x v="11"/>
    <m/>
    <x v="7"/>
    <x v="49"/>
    <x v="2"/>
    <s v="Revolut"/>
    <m/>
    <m/>
  </r>
  <r>
    <m/>
    <m/>
    <m/>
    <x v="6"/>
    <m/>
    <m/>
    <m/>
    <m/>
    <m/>
    <m/>
    <m/>
    <m/>
    <m/>
    <m/>
    <m/>
    <x v="2"/>
    <x v="3"/>
    <m/>
    <x v="22"/>
    <m/>
    <x v="30"/>
    <x v="50"/>
    <x v="0"/>
    <m/>
    <m/>
    <m/>
  </r>
  <r>
    <m/>
    <m/>
    <m/>
    <x v="6"/>
    <n v="-62000"/>
    <n v="-3081.75"/>
    <m/>
    <m/>
    <m/>
    <m/>
    <m/>
    <n v="8308.9873999999909"/>
    <m/>
    <m/>
    <m/>
    <x v="2"/>
    <x v="3"/>
    <m/>
    <x v="22"/>
    <m/>
    <x v="30"/>
    <x v="50"/>
    <x v="0"/>
    <m/>
    <m/>
    <m/>
  </r>
  <r>
    <m/>
    <m/>
    <m/>
    <x v="6"/>
    <m/>
    <m/>
    <m/>
    <m/>
    <m/>
    <m/>
    <m/>
    <m/>
    <m/>
    <m/>
    <m/>
    <x v="2"/>
    <x v="3"/>
    <m/>
    <x v="22"/>
    <m/>
    <x v="30"/>
    <x v="50"/>
    <x v="0"/>
    <m/>
    <m/>
    <m/>
  </r>
  <r>
    <m/>
    <m/>
    <m/>
    <x v="6"/>
    <m/>
    <m/>
    <m/>
    <m/>
    <m/>
    <m/>
    <m/>
    <m/>
    <m/>
    <m/>
    <m/>
    <x v="2"/>
    <x v="3"/>
    <m/>
    <x v="22"/>
    <m/>
    <x v="30"/>
    <x v="5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>
  <location ref="A4:H99" firstHeaderRow="1" firstDataRow="2" firstDataCol="1" rowPageCount="2" colPageCount="1"/>
  <pivotFields count="26">
    <pivotField subtotalTop="0" showAll="0" defaultSubtotal="0"/>
    <pivotField subtotalTop="0" showAll="0" defaultSubtotal="0"/>
    <pivotField subtotalTop="0" showAll="0" defaultSubtotal="0"/>
    <pivotField axis="axisCol" subtotalTop="0" showAll="0" sortType="ascending" defaultSubtotal="0">
      <items count="7">
        <item x="0"/>
        <item x="1"/>
        <item x="2"/>
        <item x="3"/>
        <item x="4"/>
        <item x="5"/>
        <item h="1" x="6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axis="axisPage" subtotalTop="0" multipleItemSelectionAllowed="1" showAll="0" defaultSubtotal="0">
      <items count="3">
        <item x="0"/>
        <item h="1" x="2"/>
        <item x="1"/>
      </items>
    </pivotField>
    <pivotField axis="axisRow" subtotalTop="0" showAll="0" defaultSubtotal="0">
      <items count="4">
        <item x="3"/>
        <item x="2"/>
        <item x="1"/>
        <item x="0"/>
      </items>
    </pivotField>
    <pivotField subtotalTop="0" showAll="0" defaultSubtotal="0"/>
    <pivotField axis="axisRow" subtotalTop="0" showAll="0" sortType="ascending" defaultSubtotal="0">
      <items count="27">
        <item m="1" x="24"/>
        <item m="1" x="23"/>
        <item m="1" x="25"/>
        <item x="3"/>
        <item x="5"/>
        <item x="18"/>
        <item x="6"/>
        <item x="11"/>
        <item x="12"/>
        <item x="20"/>
        <item x="14"/>
        <item x="15"/>
        <item x="16"/>
        <item x="17"/>
        <item x="13"/>
        <item x="4"/>
        <item x="10"/>
        <item x="21"/>
        <item x="0"/>
        <item x="1"/>
        <item x="8"/>
        <item m="1" x="26"/>
        <item x="2"/>
        <item x="7"/>
        <item x="19"/>
        <item x="9"/>
        <item x="22"/>
      </items>
    </pivotField>
    <pivotField subtotalTop="0" showAll="0" defaultSubtotal="0"/>
    <pivotField axis="axisRow" subtotalTop="0" showAll="0" defaultSubtotal="0">
      <items count="34">
        <item x="6"/>
        <item x="4"/>
        <item x="1"/>
        <item x="0"/>
        <item x="13"/>
        <item x="7"/>
        <item x="16"/>
        <item x="3"/>
        <item m="1" x="32"/>
        <item x="2"/>
        <item x="10"/>
        <item x="18"/>
        <item x="21"/>
        <item x="12"/>
        <item x="11"/>
        <item x="14"/>
        <item x="19"/>
        <item x="20"/>
        <item x="9"/>
        <item x="8"/>
        <item x="15"/>
        <item x="22"/>
        <item m="1" x="33"/>
        <item x="5"/>
        <item x="17"/>
        <item x="30"/>
        <item x="23"/>
        <item x="24"/>
        <item x="25"/>
        <item x="26"/>
        <item x="27"/>
        <item x="28"/>
        <item m="1" x="31"/>
        <item x="29"/>
      </items>
    </pivotField>
    <pivotField axis="axisRow" subtotalTop="0" showAll="0" sortType="ascending" defaultSubtotal="0">
      <items count="81">
        <item x="26"/>
        <item x="27"/>
        <item x="30"/>
        <item x="29"/>
        <item x="28"/>
        <item x="35"/>
        <item x="21"/>
        <item x="32"/>
        <item x="25"/>
        <item x="20"/>
        <item x="23"/>
        <item x="24"/>
        <item x="22"/>
        <item x="31"/>
        <item m="1" x="54"/>
        <item x="44"/>
        <item x="0"/>
        <item x="4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7"/>
        <item x="17"/>
        <item x="2"/>
        <item x="39"/>
        <item x="38"/>
        <item x="41"/>
        <item x="18"/>
        <item h="1" x="34"/>
        <item m="1" x="61"/>
        <item x="43"/>
        <item m="1" x="57"/>
        <item m="1" x="55"/>
        <item m="1" x="73"/>
        <item x="45"/>
        <item m="1" x="58"/>
        <item m="1" x="53"/>
        <item x="16"/>
        <item x="48"/>
        <item m="1" x="78"/>
        <item m="1" x="69"/>
        <item m="1" x="62"/>
        <item m="1" x="68"/>
        <item m="1" x="71"/>
        <item m="1" x="80"/>
        <item m="1" x="52"/>
        <item m="1" x="79"/>
        <item m="1" x="59"/>
        <item m="1" x="64"/>
        <item m="1" x="65"/>
        <item x="40"/>
        <item m="1" x="56"/>
        <item x="36"/>
        <item m="1" x="51"/>
        <item x="33"/>
        <item x="19"/>
        <item x="47"/>
        <item m="1" x="67"/>
        <item m="1" x="70"/>
        <item h="1" x="49"/>
        <item m="1" x="60"/>
        <item x="1"/>
        <item m="1" x="75"/>
        <item m="1" x="77"/>
        <item m="1" x="66"/>
        <item m="1" x="63"/>
        <item x="42"/>
        <item m="1" x="76"/>
        <item m="1" x="74"/>
        <item m="1" x="72"/>
        <item x="50"/>
      </items>
    </pivotField>
    <pivotField axis="axisPage" subtotalTop="0" showAll="0" defaultSubtotal="0">
      <items count="3">
        <item x="1"/>
        <item x="0"/>
        <item x="2"/>
      </items>
    </pivotField>
    <pivotField subtotalTop="0" showAll="0" defaultSubtotal="0"/>
    <pivotField subtotalTop="0" showAll="0" defaultSubtotal="0"/>
    <pivotField subtotalTop="0" showAll="0" defaultSubtotal="0"/>
  </pivotFields>
  <rowFields count="4">
    <field x="16"/>
    <field x="18"/>
    <field x="20"/>
    <field x="21"/>
  </rowFields>
  <rowItems count="94">
    <i>
      <x/>
    </i>
    <i r="1">
      <x v="26"/>
    </i>
    <i r="2">
      <x v="31"/>
    </i>
    <i r="3">
      <x v="48"/>
    </i>
    <i>
      <x v="1"/>
    </i>
    <i r="1">
      <x v="3"/>
    </i>
    <i r="2">
      <x v="15"/>
    </i>
    <i r="3">
      <x v="36"/>
    </i>
    <i r="2">
      <x v="18"/>
    </i>
    <i r="3">
      <x v="62"/>
    </i>
    <i r="2">
      <x v="19"/>
    </i>
    <i r="3">
      <x v="62"/>
    </i>
    <i r="1">
      <x v="7"/>
    </i>
    <i r="2">
      <x v="5"/>
    </i>
    <i r="3">
      <x v="64"/>
    </i>
    <i r="1">
      <x v="8"/>
    </i>
    <i r="2">
      <x v="18"/>
    </i>
    <i r="3">
      <x v="62"/>
    </i>
    <i r="1">
      <x v="9"/>
    </i>
    <i r="2">
      <x v="16"/>
    </i>
    <i r="3">
      <x v="44"/>
    </i>
    <i r="2">
      <x v="17"/>
    </i>
    <i r="3">
      <x v="44"/>
    </i>
    <i r="2">
      <x v="26"/>
    </i>
    <i r="3">
      <x v="44"/>
    </i>
    <i r="2">
      <x v="30"/>
    </i>
    <i r="3">
      <x v="44"/>
    </i>
    <i r="1">
      <x v="10"/>
    </i>
    <i r="2">
      <x v="14"/>
    </i>
    <i r="3">
      <x v="34"/>
    </i>
    <i r="1">
      <x v="11"/>
    </i>
    <i r="2">
      <x v="4"/>
    </i>
    <i r="3">
      <x v="60"/>
    </i>
    <i r="2">
      <x v="18"/>
    </i>
    <i r="3">
      <x v="62"/>
    </i>
    <i r="1">
      <x v="12"/>
    </i>
    <i r="2">
      <x v="20"/>
    </i>
    <i r="3">
      <x v="76"/>
    </i>
    <i r="2">
      <x v="28"/>
    </i>
    <i r="3">
      <x v="66"/>
    </i>
    <i r="1">
      <x v="13"/>
    </i>
    <i r="2">
      <x v="6"/>
    </i>
    <i r="3">
      <x v="40"/>
    </i>
    <i r="1">
      <x v="14"/>
    </i>
    <i r="2">
      <x v="10"/>
    </i>
    <i r="3">
      <x v="35"/>
    </i>
    <i r="2">
      <x v="11"/>
    </i>
    <i r="3">
      <x v="35"/>
    </i>
    <i r="2">
      <x v="12"/>
    </i>
    <i r="3">
      <x v="35"/>
    </i>
    <i r="2">
      <x v="13"/>
    </i>
    <i r="3">
      <x v="35"/>
    </i>
    <i r="2">
      <x v="21"/>
    </i>
    <i r="3">
      <x v="35"/>
    </i>
    <i r="2">
      <x v="27"/>
    </i>
    <i r="3">
      <x v="35"/>
    </i>
    <i r="2">
      <x v="29"/>
    </i>
    <i r="3">
      <x v="35"/>
    </i>
    <i r="2">
      <x v="33"/>
    </i>
    <i r="3">
      <x v="35"/>
    </i>
    <i>
      <x v="2"/>
    </i>
    <i r="1">
      <x v="6"/>
    </i>
    <i r="2">
      <x v="9"/>
    </i>
    <i r="3">
      <x v="32"/>
    </i>
    <i r="1">
      <x v="16"/>
    </i>
    <i r="2">
      <x/>
    </i>
    <i r="3">
      <x/>
    </i>
    <i r="3">
      <x v="1"/>
    </i>
    <i r="3">
      <x v="2"/>
    </i>
    <i r="3">
      <x v="3"/>
    </i>
    <i r="3">
      <x v="4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1">
      <x v="22"/>
    </i>
    <i r="2">
      <x v="9"/>
    </i>
    <i r="3">
      <x v="18"/>
    </i>
    <i r="3">
      <x v="19"/>
    </i>
    <i r="3">
      <x v="20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15" hier="-1"/>
    <pageField fld="22" item="0" hier="-1"/>
  </pageFields>
  <dataFields count="1">
    <dataField name="Sum of Importo" fld="11" baseField="1" baseItem="64" numFmtId="8"/>
  </dataFields>
  <formats count="4">
    <format dxfId="70">
      <pivotArea field="16" type="button" dataOnly="0" labelOnly="1" outline="0" axis="axisRow" fieldPosition="0"/>
    </format>
    <format dxfId="69">
      <pivotArea dataOnly="0" labelOnly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68">
      <pivotArea dataOnly="0" labelOnly="1" grandCol="1" outline="0" fieldPosition="0"/>
    </format>
    <format dxfId="67">
      <pivotArea grandRow="1" grandCol="1" outline="0" collapsedLevelsAreSubtotals="1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F16C8-ED78-428F-8D91-A7DC3A5B9F1D}" name="PivotTable1" cacheId="2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>
  <location ref="A4:C20" firstHeaderRow="1" firstDataRow="2" firstDataCol="1" rowPageCount="2" colPageCount="1"/>
  <pivotFields count="26">
    <pivotField subtotalTop="0" showAll="0" defaultSubtotal="0"/>
    <pivotField subtotalTop="0" showAll="0" defaultSubtotal="0"/>
    <pivotField subtotalTop="0" showAll="0" defaultSubtotal="0"/>
    <pivotField axis="axisCol" subtotalTop="0" showAll="0" sortType="ascending" defaultSubtotal="0">
      <items count="7">
        <item x="0"/>
        <item x="1"/>
        <item x="2"/>
        <item x="3"/>
        <item x="4"/>
        <item x="5"/>
        <item h="1" x="6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axis="axisPage" subtotalTop="0" multipleItemSelectionAllowed="1" showAll="0" defaultSubtotal="0">
      <items count="3">
        <item x="0"/>
        <item x="1"/>
        <item h="1" x="2"/>
      </items>
    </pivotField>
    <pivotField axis="axisRow" subtotalTop="0" showAll="0" defaultSubtotal="0">
      <items count="4">
        <item x="3"/>
        <item x="2"/>
        <item x="1"/>
        <item x="0"/>
      </items>
    </pivotField>
    <pivotField subtotalTop="0" showAll="0" defaultSubtotal="0"/>
    <pivotField axis="axisRow" subtotalTop="0" showAll="0" sortType="ascending" defaultSubtotal="0">
      <items count="23">
        <item x="3"/>
        <item x="5"/>
        <item x="18"/>
        <item x="6"/>
        <item x="11"/>
        <item x="12"/>
        <item x="20"/>
        <item x="14"/>
        <item x="15"/>
        <item x="16"/>
        <item x="17"/>
        <item x="13"/>
        <item x="4"/>
        <item x="10"/>
        <item x="21"/>
        <item x="0"/>
        <item x="1"/>
        <item x="8"/>
        <item x="2"/>
        <item x="7"/>
        <item x="19"/>
        <item x="9"/>
        <item h="1" x="22"/>
      </items>
    </pivotField>
    <pivotField subtotalTop="0" showAll="0" defaultSubtotal="0"/>
    <pivotField axis="axisRow" subtotalTop="0" showAll="0" defaultSubtotal="0">
      <items count="31">
        <item x="6"/>
        <item x="4"/>
        <item x="1"/>
        <item x="0"/>
        <item x="13"/>
        <item x="7"/>
        <item x="16"/>
        <item x="3"/>
        <item x="2"/>
        <item x="10"/>
        <item x="18"/>
        <item x="21"/>
        <item x="12"/>
        <item x="11"/>
        <item x="14"/>
        <item x="19"/>
        <item x="20"/>
        <item x="9"/>
        <item x="8"/>
        <item x="15"/>
        <item x="22"/>
        <item x="5"/>
        <item x="17"/>
        <item x="23"/>
        <item x="24"/>
        <item x="25"/>
        <item x="26"/>
        <item x="27"/>
        <item x="28"/>
        <item x="29"/>
        <item h="1" x="30"/>
      </items>
    </pivotField>
    <pivotField axis="axisRow" subtotalTop="0" showAll="0" sortType="ascending" defaultSubtotal="0">
      <items count="51">
        <item x="26"/>
        <item x="27"/>
        <item x="30"/>
        <item x="29"/>
        <item x="28"/>
        <item x="35"/>
        <item x="21"/>
        <item x="32"/>
        <item x="25"/>
        <item x="20"/>
        <item x="23"/>
        <item x="24"/>
        <item x="22"/>
        <item x="31"/>
        <item x="44"/>
        <item x="0"/>
        <item x="4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7"/>
        <item x="17"/>
        <item x="2"/>
        <item x="39"/>
        <item x="38"/>
        <item x="41"/>
        <item x="18"/>
        <item x="34"/>
        <item x="43"/>
        <item x="45"/>
        <item x="16"/>
        <item x="48"/>
        <item x="40"/>
        <item x="36"/>
        <item x="33"/>
        <item x="19"/>
        <item x="47"/>
        <item x="49"/>
        <item x="1"/>
        <item x="42"/>
        <item h="1" x="50"/>
      </items>
    </pivotField>
    <pivotField axis="axisPage" subtotalTop="0" multipleItemSelectionAllowed="1" showAll="0" defaultSubtotal="0">
      <items count="3">
        <item h="1" x="1"/>
        <item h="1" x="0"/>
        <item x="2"/>
      </items>
    </pivotField>
    <pivotField subtotalTop="0" showAll="0" defaultSubtotal="0"/>
    <pivotField subtotalTop="0" showAll="0" defaultSubtotal="0"/>
    <pivotField subtotalTop="0" showAll="0" defaultSubtotal="0"/>
  </pivotFields>
  <rowFields count="4">
    <field x="16"/>
    <field x="18"/>
    <field x="20"/>
    <field x="21"/>
  </rowFields>
  <rowItems count="15">
    <i>
      <x v="1"/>
    </i>
    <i r="1">
      <x v="4"/>
    </i>
    <i r="2">
      <x v="5"/>
    </i>
    <i r="3">
      <x v="47"/>
    </i>
    <i r="1">
      <x v="10"/>
    </i>
    <i r="2">
      <x v="6"/>
    </i>
    <i r="3">
      <x v="38"/>
    </i>
    <i r="1">
      <x v="11"/>
    </i>
    <i r="2">
      <x v="29"/>
    </i>
    <i r="3">
      <x v="34"/>
    </i>
    <i>
      <x v="2"/>
    </i>
    <i r="1">
      <x v="3"/>
    </i>
    <i r="2">
      <x v="8"/>
    </i>
    <i r="3">
      <x v="31"/>
    </i>
    <i t="grand">
      <x/>
    </i>
  </rowItems>
  <colFields count="1">
    <field x="3"/>
  </colFields>
  <colItems count="2">
    <i>
      <x v="5"/>
    </i>
    <i t="grand">
      <x/>
    </i>
  </colItems>
  <pageFields count="2">
    <pageField fld="15" hier="-1"/>
    <pageField fld="22" hier="-1"/>
  </pageFields>
  <dataFields count="1">
    <dataField name="Sum of Importo" fld="11" baseField="1" baseItem="64" numFmtId="8"/>
  </dataFields>
  <formats count="4">
    <format dxfId="66">
      <pivotArea field="16" type="button" dataOnly="0" labelOnly="1" outline="0" axis="axisRow" fieldPosition="0"/>
    </format>
    <format dxfId="65">
      <pivotArea dataOnly="0" labelOnly="1" fieldPosition="0">
        <references count="1">
          <reference field="3" count="4">
            <x v="0"/>
            <x v="1"/>
            <x v="2"/>
            <x v="3"/>
          </reference>
        </references>
      </pivotArea>
    </format>
    <format dxfId="64">
      <pivotArea dataOnly="0" labelOnly="1" grandCol="1" outline="0" fieldPosition="0"/>
    </format>
    <format dxfId="63">
      <pivotArea grandRow="1" grandCol="1" outline="0" collapsedLevelsAreSubtotals="1" fieldPosition="0"/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E0520-EFC0-4864-8D82-894FE1DE776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5:B66" firstHeaderRow="1" firstDataRow="1" firstDataCol="1" rowPageCount="3" colPageCount="1"/>
  <pivotFields count="26">
    <pivotField subtotalTop="0" showAll="0"/>
    <pivotField subtotalTop="0" showAll="0"/>
    <pivotField subtotalTop="0" showAll="0"/>
    <pivotField axis="axisPage" subtotalTop="0" multipleItemSelectionAllowed="1" showAll="0" sortType="ascending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axis="axisPage" subtotalTop="0" multipleItemSelectionAllowed="1" showAll="0">
      <items count="4">
        <item x="0"/>
        <item h="1" x="2"/>
        <item h="1" x="1"/>
        <item t="default"/>
      </items>
    </pivotField>
    <pivotField axis="axisPage" subtotalTop="0" multipleItemSelectionAllowed="1" showAll="0">
      <items count="5">
        <item h="1" x="3"/>
        <item h="1" x="2"/>
        <item x="1"/>
        <item h="1" x="0"/>
        <item t="default"/>
      </items>
    </pivotField>
    <pivotField axis="axisRow" subtotalTop="0" showAll="0">
      <items count="8">
        <item x="3"/>
        <item x="2"/>
        <item h="1" x="4"/>
        <item x="0"/>
        <item x="1"/>
        <item x="5"/>
        <item x="6"/>
        <item t="default"/>
      </items>
    </pivotField>
    <pivotField axis="axisRow" subtotalTop="0" showAll="0">
      <items count="28">
        <item m="1" x="24"/>
        <item m="1" x="23"/>
        <item m="1" x="25"/>
        <item x="3"/>
        <item x="5"/>
        <item x="18"/>
        <item x="11"/>
        <item x="12"/>
        <item x="20"/>
        <item x="14"/>
        <item x="15"/>
        <item x="16"/>
        <item x="17"/>
        <item x="13"/>
        <item x="4"/>
        <item x="10"/>
        <item x="21"/>
        <item x="0"/>
        <item x="1"/>
        <item x="8"/>
        <item m="1" x="26"/>
        <item x="2"/>
        <item x="6"/>
        <item h="1" x="7"/>
        <item x="19"/>
        <item x="9"/>
        <item h="1" x="22"/>
        <item t="default"/>
      </items>
    </pivotField>
    <pivotField showAll="0"/>
    <pivotField axis="axisRow" subtotalTop="0" showAll="0">
      <items count="35">
        <item x="6"/>
        <item x="4"/>
        <item x="1"/>
        <item x="0"/>
        <item x="13"/>
        <item x="7"/>
        <item x="16"/>
        <item x="3"/>
        <item m="1" x="32"/>
        <item x="2"/>
        <item x="25"/>
        <item x="10"/>
        <item x="18"/>
        <item x="21"/>
        <item x="26"/>
        <item x="12"/>
        <item x="11"/>
        <item x="14"/>
        <item x="19"/>
        <item x="20"/>
        <item x="23"/>
        <item x="9"/>
        <item x="8"/>
        <item x="15"/>
        <item x="22"/>
        <item x="24"/>
        <item m="1" x="33"/>
        <item x="5"/>
        <item x="17"/>
        <item x="30"/>
        <item x="27"/>
        <item x="28"/>
        <item m="1" x="31"/>
        <item x="29"/>
        <item t="default"/>
      </items>
    </pivotField>
    <pivotField axis="axisRow" subtotalTop="0" showAll="0" sortType="ascending">
      <items count="82">
        <item x="26"/>
        <item x="27"/>
        <item x="30"/>
        <item x="29"/>
        <item x="28"/>
        <item x="35"/>
        <item x="21"/>
        <item x="32"/>
        <item x="25"/>
        <item x="20"/>
        <item x="23"/>
        <item x="24"/>
        <item x="22"/>
        <item x="31"/>
        <item m="1" x="54"/>
        <item x="44"/>
        <item x="0"/>
        <item x="4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7"/>
        <item x="17"/>
        <item x="2"/>
        <item x="39"/>
        <item h="1" x="38"/>
        <item x="41"/>
        <item x="18"/>
        <item h="1" x="34"/>
        <item m="1" x="61"/>
        <item x="43"/>
        <item m="1" x="57"/>
        <item m="1" x="55"/>
        <item m="1" x="73"/>
        <item x="45"/>
        <item m="1" x="58"/>
        <item m="1" x="53"/>
        <item h="1" x="16"/>
        <item h="1" x="48"/>
        <item m="1" x="78"/>
        <item m="1" x="69"/>
        <item m="1" x="62"/>
        <item m="1" x="68"/>
        <item m="1" x="71"/>
        <item m="1" x="80"/>
        <item m="1" x="52"/>
        <item m="1" x="79"/>
        <item m="1" x="59"/>
        <item m="1" x="64"/>
        <item m="1" x="65"/>
        <item x="40"/>
        <item m="1" x="56"/>
        <item x="36"/>
        <item m="1" x="51"/>
        <item x="33"/>
        <item x="19"/>
        <item x="47"/>
        <item m="1" x="67"/>
        <item m="1" x="70"/>
        <item h="1" x="49"/>
        <item m="1" x="60"/>
        <item h="1" x="1"/>
        <item m="1" x="75"/>
        <item m="1" x="77"/>
        <item m="1" x="66"/>
        <item m="1" x="63"/>
        <item x="42"/>
        <item m="1" x="76"/>
        <item m="1" x="74"/>
        <item m="1" x="72"/>
        <item x="50"/>
        <item t="default"/>
      </items>
    </pivotField>
    <pivotField subtotalTop="0" showAll="0"/>
    <pivotField subtotalTop="0" showAll="0"/>
    <pivotField subtotalTop="0" showAll="0"/>
    <pivotField subtotalTop="0" showAll="0"/>
  </pivotFields>
  <rowFields count="4">
    <field x="17"/>
    <field x="18"/>
    <field x="20"/>
    <field x="21"/>
  </rowFields>
  <rowItems count="61">
    <i>
      <x/>
    </i>
    <i r="1">
      <x v="15"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t="default" r="2">
      <x/>
    </i>
    <i t="default" r="1">
      <x v="15"/>
    </i>
    <i r="1">
      <x v="19"/>
    </i>
    <i r="2">
      <x v="1"/>
    </i>
    <i r="3">
      <x v="37"/>
    </i>
    <i t="default" r="2">
      <x v="1"/>
    </i>
    <i t="default" r="1">
      <x v="19"/>
    </i>
    <i r="1">
      <x v="24"/>
    </i>
    <i r="2">
      <x v="28"/>
    </i>
    <i r="3">
      <x v="15"/>
    </i>
    <i t="default" r="2">
      <x v="28"/>
    </i>
    <i t="default" r="1">
      <x v="24"/>
    </i>
    <i r="1">
      <x v="25"/>
    </i>
    <i r="2">
      <x v="27"/>
    </i>
    <i r="3">
      <x v="65"/>
    </i>
    <i t="default" r="2">
      <x v="27"/>
    </i>
    <i t="default" r="1">
      <x v="25"/>
    </i>
    <i t="default">
      <x/>
    </i>
    <i>
      <x v="1"/>
    </i>
    <i r="1">
      <x v="21"/>
    </i>
    <i r="2">
      <x v="9"/>
    </i>
    <i r="3">
      <x v="18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t="default" r="2">
      <x v="9"/>
    </i>
    <i t="default" r="1">
      <x v="21"/>
    </i>
    <i r="1">
      <x v="22"/>
    </i>
    <i r="2">
      <x v="9"/>
    </i>
    <i r="3">
      <x v="32"/>
    </i>
    <i t="default" r="2">
      <x v="9"/>
    </i>
    <i t="default" r="1">
      <x v="22"/>
    </i>
    <i t="default">
      <x v="1"/>
    </i>
    <i t="grand">
      <x/>
    </i>
  </rowItems>
  <colItems count="1">
    <i/>
  </colItems>
  <pageFields count="3">
    <pageField fld="15" hier="-1"/>
    <pageField fld="16" hier="-1"/>
    <pageField fld="3" hier="-1"/>
  </pageFields>
  <dataFields count="1">
    <dataField name="Sum of Importo" fld="11" baseField="1" baseItem="64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A5:B19" firstHeaderRow="1" firstDataRow="1" firstDataCol="1" rowPageCount="3" colPageCount="1"/>
  <pivotFields count="26">
    <pivotField subtotalTop="0" showAll="0"/>
    <pivotField subtotalTop="0" showAll="0"/>
    <pivotField subtotalTop="0" showAll="0"/>
    <pivotField axis="axisPage" subtotalTop="0" multipleItemSelectionAllowed="1" showAll="0" sortType="ascending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axis="axisPage" subtotalTop="0" multipleItemSelectionAllowed="1" showAll="0">
      <items count="4">
        <item x="0"/>
        <item h="1" x="2"/>
        <item h="1" x="1"/>
        <item t="default"/>
      </items>
    </pivotField>
    <pivotField axis="axisPage" subtotalTop="0" multipleItemSelectionAllowed="1" showAll="0">
      <items count="5">
        <item h="1" x="3"/>
        <item h="1" x="2"/>
        <item h="1" x="1"/>
        <item x="0"/>
        <item t="default"/>
      </items>
    </pivotField>
    <pivotField axis="axisRow" subtotalTop="0" showAll="0">
      <items count="8">
        <item x="3"/>
        <item x="2"/>
        <item h="1" x="4"/>
        <item x="0"/>
        <item x="1"/>
        <item x="5"/>
        <item x="6"/>
        <item t="default"/>
      </items>
    </pivotField>
    <pivotField axis="axisRow" subtotalTop="0" showAll="0" sortType="ascending">
      <items count="28">
        <item m="1" x="24"/>
        <item m="1" x="23"/>
        <item m="1" x="25"/>
        <item x="3"/>
        <item x="5"/>
        <item x="18"/>
        <item x="6"/>
        <item x="11"/>
        <item x="12"/>
        <item x="20"/>
        <item x="14"/>
        <item x="15"/>
        <item x="16"/>
        <item x="17"/>
        <item x="13"/>
        <item x="4"/>
        <item x="10"/>
        <item x="21"/>
        <item x="0"/>
        <item x="1"/>
        <item x="8"/>
        <item m="1" x="26"/>
        <item x="2"/>
        <item h="1" x="7"/>
        <item x="19"/>
        <item x="9"/>
        <item h="1" x="22"/>
        <item t="default"/>
      </items>
    </pivotField>
    <pivotField showAll="0"/>
    <pivotField subtotalTop="0" showAll="0"/>
    <pivotField axis="axisRow" subtotalTop="0" showAll="0">
      <items count="82">
        <item m="1" x="57"/>
        <item m="1" x="58"/>
        <item m="1" x="53"/>
        <item m="1" x="78"/>
        <item m="1" x="69"/>
        <item m="1" x="62"/>
        <item m="1" x="80"/>
        <item m="1" x="52"/>
        <item m="1" x="64"/>
        <item m="1" x="65"/>
        <item m="1" x="56"/>
        <item m="1" x="60"/>
        <item m="1" x="75"/>
        <item x="50"/>
        <item m="1" x="71"/>
        <item m="1" x="55"/>
        <item x="36"/>
        <item x="33"/>
        <item x="38"/>
        <item x="39"/>
        <item x="40"/>
        <item x="41"/>
        <item x="42"/>
        <item x="43"/>
        <item m="1" x="73"/>
        <item x="45"/>
        <item h="1"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37"/>
        <item m="1" x="63"/>
        <item m="1" x="67"/>
        <item m="1" x="77"/>
        <item m="1" x="68"/>
        <item m="1" x="66"/>
        <item m="1" x="51"/>
        <item m="1" x="59"/>
        <item m="1" x="74"/>
        <item m="1" x="72"/>
        <item m="1" x="76"/>
        <item m="1" x="61"/>
        <item m="1" x="79"/>
        <item h="1" x="34"/>
        <item x="18"/>
        <item m="1" x="70"/>
        <item x="19"/>
        <item x="16"/>
        <item x="0"/>
        <item x="2"/>
        <item m="1" x="54"/>
        <item x="44"/>
        <item x="46"/>
        <item h="1" x="47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5"/>
        <item h="1" x="48"/>
        <item h="1" x="49"/>
        <item t="default"/>
      </items>
    </pivotField>
    <pivotField subtotalTop="0" showAll="0"/>
    <pivotField subtotalTop="0" showAll="0"/>
    <pivotField subtotalTop="0" showAll="0"/>
    <pivotField subtotalTop="0" showAll="0"/>
  </pivotFields>
  <rowFields count="3">
    <field x="17"/>
    <field x="18"/>
    <field x="21"/>
  </rowFields>
  <rowItems count="14">
    <i>
      <x v="3"/>
    </i>
    <i r="1">
      <x v="18"/>
    </i>
    <i r="2">
      <x v="59"/>
    </i>
    <i t="default" r="1">
      <x v="18"/>
    </i>
    <i t="default">
      <x v="3"/>
    </i>
    <i>
      <x v="4"/>
    </i>
    <i r="1">
      <x v="17"/>
    </i>
    <i r="2">
      <x v="63"/>
    </i>
    <i t="default" r="1">
      <x v="17"/>
    </i>
    <i r="1">
      <x v="19"/>
    </i>
    <i r="2">
      <x v="60"/>
    </i>
    <i t="default" r="1">
      <x v="19"/>
    </i>
    <i t="default">
      <x v="4"/>
    </i>
    <i t="grand">
      <x/>
    </i>
  </rowItems>
  <colItems count="1">
    <i/>
  </colItems>
  <pageFields count="3">
    <pageField fld="15" hier="-1"/>
    <pageField fld="16" hier="-1"/>
    <pageField fld="3" hier="-1"/>
  </pageFields>
  <dataFields count="1">
    <dataField name="Sum of Importo" fld="11" baseField="1" baseItem="64" numFmtId="8"/>
  </dataFields>
  <formats count="1">
    <format dxfId="62">
      <pivotArea collapsedLevelsAreSubtotals="1" fieldPosition="0">
        <references count="3">
          <reference field="17" count="1" selected="0">
            <x v="1"/>
          </reference>
          <reference field="18" count="1" selected="0">
            <x v="6"/>
          </reference>
          <reference field="21" count="1">
            <x v="4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>
  <location ref="A4:G18" firstHeaderRow="1" firstDataRow="2" firstDataCol="1" rowPageCount="2" colPageCount="1"/>
  <pivotFields count="26">
    <pivotField subtotalTop="0" showAll="0" defaultSubtotal="0"/>
    <pivotField subtotalTop="0" showAll="0" defaultSubtotal="0"/>
    <pivotField subtotalTop="0" showAll="0" defaultSubtotal="0"/>
    <pivotField subtotalTop="0" showAll="0" sortType="ascending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axis="axisPage" subtotalTop="0" multipleItemSelectionAllowed="1" showAll="0" defaultSubtotal="0">
      <items count="3">
        <item h="1" x="0"/>
        <item h="1" x="2"/>
        <item x="1"/>
      </items>
    </pivotField>
    <pivotField axis="axisRow" subtotalTop="0" showAll="0" defaultSubtotal="0">
      <items count="4">
        <item x="3"/>
        <item x="2"/>
        <item x="1"/>
        <item x="0"/>
      </items>
    </pivotField>
    <pivotField subtotalTop="0" showAll="0" defaultSubtotal="0"/>
    <pivotField axis="axisRow" subtotalTop="0" showAll="0" sortType="ascending" defaultSubtotal="0">
      <items count="27">
        <item m="1" x="24"/>
        <item m="1" x="23"/>
        <item m="1" x="25"/>
        <item x="3"/>
        <item x="5"/>
        <item x="18"/>
        <item x="6"/>
        <item x="11"/>
        <item x="12"/>
        <item x="20"/>
        <item x="14"/>
        <item x="15"/>
        <item x="16"/>
        <item x="17"/>
        <item x="13"/>
        <item x="4"/>
        <item x="10"/>
        <item x="21"/>
        <item x="0"/>
        <item x="1"/>
        <item x="8"/>
        <item m="1" x="26"/>
        <item x="2"/>
        <item x="7"/>
        <item x="19"/>
        <item x="9"/>
        <item x="22"/>
      </items>
    </pivotField>
    <pivotField axis="axisRow" subtotalTop="0" showAll="0" defaultSubtotal="0">
      <items count="2">
        <item x="0"/>
        <item x="1"/>
      </items>
    </pivotField>
    <pivotField axis="axisRow" subtotalTop="0" showAll="0" defaultSubtotal="0">
      <items count="34">
        <item x="6"/>
        <item x="4"/>
        <item x="1"/>
        <item x="0"/>
        <item x="13"/>
        <item x="7"/>
        <item x="16"/>
        <item x="3"/>
        <item x="2"/>
        <item x="12"/>
        <item m="1" x="32"/>
        <item x="10"/>
        <item x="18"/>
        <item x="22"/>
        <item x="21"/>
        <item x="11"/>
        <item x="14"/>
        <item x="19"/>
        <item x="20"/>
        <item x="9"/>
        <item x="8"/>
        <item x="15"/>
        <item m="1" x="33"/>
        <item x="5"/>
        <item x="17"/>
        <item x="30"/>
        <item x="23"/>
        <item x="24"/>
        <item x="25"/>
        <item x="26"/>
        <item x="27"/>
        <item x="28"/>
        <item m="1" x="31"/>
        <item x="29"/>
      </items>
    </pivotField>
    <pivotField axis="axisRow" subtotalTop="0" showAll="0" defaultSubtotal="0">
      <items count="81">
        <item h="1" m="1" x="57"/>
        <item h="1" m="1" x="58"/>
        <item h="1" m="1" x="53"/>
        <item h="1" m="1" x="78"/>
        <item h="1" m="1" x="69"/>
        <item h="1" m="1" x="62"/>
        <item h="1" m="1" x="80"/>
        <item h="1" m="1" x="52"/>
        <item h="1" m="1" x="64"/>
        <item h="1" m="1" x="65"/>
        <item h="1" m="1" x="56"/>
        <item h="1" m="1" x="60"/>
        <item h="1" m="1" x="75"/>
        <item h="1" x="50"/>
        <item h="1" m="1" x="71"/>
        <item h="1" m="1" x="55"/>
        <item h="1" x="36"/>
        <item h="1" x="33"/>
        <item x="38"/>
        <item h="1" x="39"/>
        <item h="1" x="40"/>
        <item h="1" x="41"/>
        <item h="1" x="42"/>
        <item h="1" x="43"/>
        <item h="1" m="1" x="73"/>
        <item h="1" x="45"/>
        <item h="1" x="1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7"/>
        <item h="1" x="37"/>
        <item h="1" m="1" x="63"/>
        <item h="1" m="1" x="67"/>
        <item h="1" m="1" x="77"/>
        <item h="1" m="1" x="68"/>
        <item h="1" m="1" x="66"/>
        <item h="1" m="1" x="51"/>
        <item h="1" m="1" x="59"/>
        <item h="1" m="1" x="74"/>
        <item h="1" m="1" x="72"/>
        <item h="1" m="1" x="76"/>
        <item h="1" m="1" x="61"/>
        <item h="1" m="1" x="79"/>
        <item h="1" x="34"/>
        <item h="1" x="18"/>
        <item h="1" m="1" x="70"/>
        <item h="1" x="19"/>
        <item h="1" x="16"/>
        <item h="1" x="0"/>
        <item h="1" x="2"/>
        <item h="1" m="1" x="54"/>
        <item h="1" x="44"/>
        <item h="1" x="46"/>
        <item h="1" x="47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5"/>
        <item h="1" x="48"/>
        <item h="1" x="49"/>
      </items>
    </pivotField>
    <pivotField axis="axisPage" subtotalTop="0" showAll="0" defaultSubtotal="0">
      <items count="3">
        <item x="1"/>
        <item x="0"/>
        <item x="2"/>
      </items>
    </pivotField>
    <pivotField subtotalTop="0" showAll="0" defaultSubtotal="0"/>
    <pivotField axis="axisCol" subtotalTop="0" showAll="0" defaultSubtotal="0">
      <items count="6">
        <item x="1"/>
        <item x="2"/>
        <item x="3"/>
        <item x="0"/>
        <item x="4"/>
        <item x="5"/>
      </items>
    </pivotField>
    <pivotField subtotalTop="0" showAll="0" defaultSubtotal="0"/>
  </pivotFields>
  <rowFields count="5">
    <field x="21"/>
    <field x="19"/>
    <field x="16"/>
    <field x="18"/>
    <field x="20"/>
  </rowFields>
  <rowItems count="13">
    <i>
      <x v="18"/>
    </i>
    <i r="1">
      <x v="1"/>
    </i>
    <i r="2">
      <x v="1"/>
    </i>
    <i r="3">
      <x v="14"/>
    </i>
    <i r="4">
      <x v="9"/>
    </i>
    <i r="4">
      <x v="11"/>
    </i>
    <i r="4">
      <x v="12"/>
    </i>
    <i r="4">
      <x v="13"/>
    </i>
    <i r="4">
      <x v="14"/>
    </i>
    <i r="4">
      <x v="27"/>
    </i>
    <i r="4">
      <x v="29"/>
    </i>
    <i r="4">
      <x v="33"/>
    </i>
    <i t="grand">
      <x/>
    </i>
  </rowItems>
  <colFields count="1">
    <field x="24"/>
  </colFields>
  <colItems count="6">
    <i>
      <x/>
    </i>
    <i>
      <x v="1"/>
    </i>
    <i>
      <x v="2"/>
    </i>
    <i>
      <x v="4"/>
    </i>
    <i>
      <x v="5"/>
    </i>
    <i t="grand">
      <x/>
    </i>
  </colItems>
  <pageFields count="2">
    <pageField fld="15" hier="-1"/>
    <pageField fld="22" hier="-1"/>
  </pageFields>
  <dataFields count="1">
    <dataField name="Sum of Importo" fld="11" baseField="1" baseItem="64" numFmtId="8"/>
  </dataFields>
  <formats count="7">
    <format dxfId="61">
      <pivotArea collapsedLevelsAreSubtotals="1" fieldPosition="0">
        <references count="4">
          <reference field="16" count="1" selected="0">
            <x v="1"/>
          </reference>
          <reference field="18" count="1" selected="0">
            <x v="14"/>
          </reference>
          <reference field="20" count="1">
            <x v="14"/>
          </reference>
          <reference field="21" count="0" selected="0"/>
        </references>
      </pivotArea>
    </format>
    <format dxfId="60">
      <pivotArea dataOnly="0" labelOnly="1" grandCol="1" outline="0" fieldPosition="0"/>
    </format>
    <format dxfId="59">
      <pivotArea dataOnly="0" labelOnly="1" fieldPosition="0">
        <references count="1">
          <reference field="24" count="4">
            <x v="0"/>
            <x v="1"/>
            <x v="2"/>
            <x v="4"/>
          </reference>
        </references>
      </pivotArea>
    </format>
    <format dxfId="58">
      <pivotArea collapsedLevelsAreSubtotals="1" fieldPosition="0">
        <references count="5">
          <reference field="16" count="1" selected="0">
            <x v="1"/>
          </reference>
          <reference field="18" count="1" selected="0">
            <x v="14"/>
          </reference>
          <reference field="19" count="1" selected="0">
            <x v="1"/>
          </reference>
          <reference field="20" count="2">
            <x v="14"/>
            <x v="27"/>
          </reference>
          <reference field="21" count="0" selected="0"/>
        </references>
      </pivotArea>
    </format>
    <format dxfId="57">
      <pivotArea dataOnly="0" labelOnly="1" fieldPosition="0">
        <references count="1">
          <reference field="24" count="4">
            <x v="0"/>
            <x v="1"/>
            <x v="2"/>
            <x v="4"/>
          </reference>
        </references>
      </pivotArea>
    </format>
    <format dxfId="56">
      <pivotArea dataOnly="0" labelOnly="1" grandCol="1" outline="0" fieldPosition="0"/>
    </format>
    <format dxfId="55">
      <pivotArea dataOnly="0" labelOnly="1" fieldPosition="0">
        <references count="1">
          <reference field="24" count="5">
            <x v="0"/>
            <x v="1"/>
            <x v="2"/>
            <x v="4"/>
            <x v="5"/>
          </reference>
        </references>
      </pivotArea>
    </format>
  </formats>
  <pivotTableStyleInfo name="PivotStyleLight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>
  <location ref="A3:G21" firstHeaderRow="1" firstDataRow="2" firstDataCol="1" rowPageCount="1" colPageCount="1"/>
  <pivotFields count="26">
    <pivotField showAll="0"/>
    <pivotField showAll="0"/>
    <pivotField showAll="0"/>
    <pivotField axis="axisCol" showAll="0" sortType="ascending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Page" multipleItemSelectionAllowed="1" showAll="0">
      <items count="4">
        <item x="0"/>
        <item h="1" x="2"/>
        <item x="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 defaultSubtotal="0"/>
    <pivotField axis="axisRow" showAll="0" sortType="ascending">
      <items count="28">
        <item h="1" m="1" x="24"/>
        <item h="1" m="1" x="23"/>
        <item h="1" m="1" x="25"/>
        <item h="1" x="3"/>
        <item h="1" x="5"/>
        <item h="1" x="18"/>
        <item h="1" x="6"/>
        <item h="1" x="11"/>
        <item h="1" x="12"/>
        <item h="1" x="20"/>
        <item h="1" x="14"/>
        <item h="1" x="15"/>
        <item h="1" x="16"/>
        <item h="1" x="17"/>
        <item h="1" x="13"/>
        <item h="1" x="4"/>
        <item h="1" x="10"/>
        <item h="1" x="21"/>
        <item h="1" x="0"/>
        <item h="1" x="1"/>
        <item h="1" x="8"/>
        <item h="1" m="1" x="26"/>
        <item x="2"/>
        <item h="1" x="7"/>
        <item h="1" x="19"/>
        <item h="1" x="9"/>
        <item h="1" x="22"/>
        <item t="default"/>
      </items>
    </pivotField>
    <pivotField showAll="0"/>
    <pivotField showAll="0"/>
    <pivotField axis="axisRow" showAll="0">
      <items count="82">
        <item m="1" x="57"/>
        <item m="1" x="58"/>
        <item m="1" x="53"/>
        <item m="1" x="78"/>
        <item m="1" x="69"/>
        <item m="1" x="62"/>
        <item m="1" x="80"/>
        <item m="1" x="52"/>
        <item m="1" x="64"/>
        <item m="1" x="65"/>
        <item m="1" x="56"/>
        <item m="1" x="60"/>
        <item m="1" x="75"/>
        <item x="50"/>
        <item m="1" x="71"/>
        <item m="1" x="55"/>
        <item x="36"/>
        <item x="33"/>
        <item x="38"/>
        <item x="39"/>
        <item x="40"/>
        <item x="41"/>
        <item x="42"/>
        <item x="43"/>
        <item m="1" x="73"/>
        <item x="45"/>
        <item h="1"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h="1" x="17"/>
        <item x="37"/>
        <item m="1" x="63"/>
        <item m="1" x="67"/>
        <item m="1" x="77"/>
        <item m="1" x="68"/>
        <item m="1" x="66"/>
        <item m="1" x="51"/>
        <item m="1" x="59"/>
        <item m="1" x="74"/>
        <item m="1" x="72"/>
        <item m="1" x="76"/>
        <item m="1" x="61"/>
        <item m="1" x="79"/>
        <item h="1" x="34"/>
        <item h="1" x="18"/>
        <item h="1" m="1" x="70"/>
        <item h="1" x="19"/>
        <item h="1" x="16"/>
        <item h="1" x="0"/>
        <item h="1" x="2"/>
        <item h="1" m="1" x="54"/>
        <item h="1" x="44"/>
        <item h="1" x="46"/>
        <item h="1" x="47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5"/>
        <item h="1" x="48"/>
        <item h="1" x="49"/>
        <item t="default"/>
      </items>
    </pivotField>
    <pivotField showAll="0"/>
    <pivotField showAll="0"/>
    <pivotField showAll="0" defaultSubtotal="0"/>
    <pivotField showAll="0"/>
  </pivotFields>
  <rowFields count="3">
    <field x="16"/>
    <field x="18"/>
    <field x="21"/>
  </rowFields>
  <rowItems count="17">
    <i>
      <x v="2"/>
    </i>
    <i r="1">
      <x v="22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1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5"/>
    </i>
    <i t="grand">
      <x/>
    </i>
  </colItems>
  <pageFields count="1">
    <pageField fld="15" hier="-1"/>
  </pageFields>
  <dataFields count="1">
    <dataField name="Sum of Importo" fld="11" baseField="1" baseItem="64" numFmtId="8"/>
  </dataFields>
  <formats count="14">
    <format dxfId="54">
      <pivotArea dataOnly="0" labelOnly="1" fieldPosition="0">
        <references count="1">
          <reference field="3" count="3">
            <x v="0"/>
            <x v="1"/>
            <x v="2"/>
          </reference>
        </references>
      </pivotArea>
    </format>
    <format dxfId="53">
      <pivotArea dataOnly="0" labelOnly="1" grandCol="1" outline="0" fieldPosition="0"/>
    </format>
    <format dxfId="52">
      <pivotArea collapsedLevelsAreSubtotals="1" fieldPosition="0">
        <references count="4">
          <reference field="3" count="1" selected="0">
            <x v="2"/>
          </reference>
          <reference field="16" count="1" selected="0">
            <x v="2"/>
          </reference>
          <reference field="18" count="0" selected="0"/>
          <reference field="21" count="1">
            <x v="41"/>
          </reference>
        </references>
      </pivotArea>
    </format>
    <format dxfId="51">
      <pivotArea field="21" grandCol="1" collapsedLevelsAreSubtotals="1" axis="axisRow" fieldPosition="2">
        <references count="3">
          <reference field="16" count="1" selected="0">
            <x v="2"/>
          </reference>
          <reference field="18" count="0" selected="0"/>
          <reference field="21" count="3">
            <x v="29"/>
            <x v="30"/>
            <x v="31"/>
          </reference>
        </references>
      </pivotArea>
    </format>
    <format dxfId="50">
      <pivotArea field="21" grandCol="1" collapsedLevelsAreSubtotals="1" axis="axisRow" fieldPosition="2">
        <references count="3">
          <reference field="16" count="1" selected="0">
            <x v="2"/>
          </reference>
          <reference field="18" count="0" selected="0"/>
          <reference field="21" count="1">
            <x v="41"/>
          </reference>
        </references>
      </pivotArea>
    </format>
    <format dxfId="49">
      <pivotArea collapsedLevelsAreSubtotals="1" fieldPosition="0">
        <references count="4">
          <reference field="3" count="1" selected="0">
            <x v="2"/>
          </reference>
          <reference field="16" count="1" selected="0">
            <x v="2"/>
          </reference>
          <reference field="18" count="0" selected="0"/>
          <reference field="21" count="3">
            <x v="29"/>
            <x v="30"/>
            <x v="31"/>
          </reference>
        </references>
      </pivotArea>
    </format>
    <format dxfId="48">
      <pivotArea collapsedLevelsAreSubtotals="1" fieldPosition="0">
        <references count="4">
          <reference field="3" count="1" selected="0">
            <x v="4"/>
          </reference>
          <reference field="16" count="1" selected="0">
            <x v="2"/>
          </reference>
          <reference field="18" count="0" selected="0"/>
          <reference field="21" count="1">
            <x v="35"/>
          </reference>
        </references>
      </pivotArea>
    </format>
    <format dxfId="47">
      <pivotArea collapsedLevelsAreSubtotals="1" fieldPosition="0">
        <references count="4">
          <reference field="3" count="1" selected="0">
            <x v="4"/>
          </reference>
          <reference field="16" count="1" selected="0">
            <x v="2"/>
          </reference>
          <reference field="18" count="0" selected="0"/>
          <reference field="21" count="1">
            <x v="38"/>
          </reference>
        </references>
      </pivotArea>
    </format>
    <format dxfId="46">
      <pivotArea collapsedLevelsAreSubtotals="1" fieldPosition="0">
        <references count="4">
          <reference field="3" count="1" selected="0">
            <x v="3"/>
          </reference>
          <reference field="16" count="1" selected="0">
            <x v="2"/>
          </reference>
          <reference field="18" count="0" selected="0"/>
          <reference field="21" count="1">
            <x v="35"/>
          </reference>
        </references>
      </pivotArea>
    </format>
    <format dxfId="45">
      <pivotArea collapsedLevelsAreSubtotals="1" fieldPosition="0">
        <references count="4">
          <reference field="3" count="1" selected="0">
            <x v="3"/>
          </reference>
          <reference field="16" count="1" selected="0">
            <x v="2"/>
          </reference>
          <reference field="18" count="0" selected="0"/>
          <reference field="21" count="1">
            <x v="38"/>
          </reference>
        </references>
      </pivotArea>
    </format>
    <format dxfId="44">
      <pivotArea field="21" grandCol="1" collapsedLevelsAreSubtotals="1" axis="axisRow" fieldPosition="2">
        <references count="3">
          <reference field="16" count="1" selected="0">
            <x v="2"/>
          </reference>
          <reference field="18" count="0" selected="0"/>
          <reference field="21" count="1">
            <x v="35"/>
          </reference>
        </references>
      </pivotArea>
    </format>
    <format dxfId="43">
      <pivotArea field="21" grandCol="1" collapsedLevelsAreSubtotals="1" axis="axisRow" fieldPosition="2">
        <references count="3">
          <reference field="16" count="1" selected="0">
            <x v="2"/>
          </reference>
          <reference field="18" count="0" selected="0"/>
          <reference field="21" count="1">
            <x v="38"/>
          </reference>
        </references>
      </pivotArea>
    </format>
    <format dxfId="42">
      <pivotArea collapsedLevelsAreSubtotals="1" fieldPosition="0">
        <references count="4">
          <reference field="3" count="1" selected="0">
            <x v="5"/>
          </reference>
          <reference field="16" count="1" selected="0">
            <x v="2"/>
          </reference>
          <reference field="18" count="0" selected="0"/>
          <reference field="21" count="1">
            <x v="35"/>
          </reference>
        </references>
      </pivotArea>
    </format>
    <format dxfId="41">
      <pivotArea collapsedLevelsAreSubtotals="1" fieldPosition="0">
        <references count="4">
          <reference field="3" count="1" selected="0">
            <x v="5"/>
          </reference>
          <reference field="16" count="1" selected="0">
            <x v="2"/>
          </reference>
          <reference field="18" count="0" selected="0"/>
          <reference field="21" count="1">
            <x v="38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DFC1E-4340-45E0-BF47-67360AD851E5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4" indent="0" outline="1" outlineData="1" multipleFieldFilters="0">
  <location ref="A3:G42" firstHeaderRow="1" firstDataRow="2" firstDataCol="1" rowPageCount="1" colPageCount="1"/>
  <pivotFields count="26">
    <pivotField showAll="0" defaultSubtotal="0"/>
    <pivotField showAll="0" defaultSubtotal="0"/>
    <pivotField showAll="0" defaultSubtotal="0"/>
    <pivotField axis="axisCol" showAll="0" defaultSubtotal="0">
      <items count="7">
        <item x="0"/>
        <item x="1"/>
        <item h="1" x="6"/>
        <item x="2"/>
        <item x="3"/>
        <item x="4"/>
        <item x="5"/>
      </items>
    </pivotField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ubtotalTop="0" showAll="0">
      <items count="11">
        <item x="1"/>
        <item x="2"/>
        <item x="9"/>
        <item x="3"/>
        <item x="4"/>
        <item x="5"/>
        <item x="6"/>
        <item x="7"/>
        <item x="8"/>
        <item h="1" x="0"/>
        <item t="default"/>
      </items>
    </pivotField>
    <pivotField dataField="1" showAll="0" defaultSubtotal="0"/>
    <pivotField axis="axisPage" showAll="0" defaultSubtotal="0">
      <items count="3">
        <item x="0"/>
        <item x="1"/>
        <item x="2"/>
      </items>
    </pivotField>
    <pivotField showAll="0" defaultSubtotal="0"/>
    <pivotField showAll="0"/>
    <pivotField showAll="0" defaultSubtotal="0"/>
    <pivotField showAll="0"/>
    <pivotField showAll="0" defaultSubtotal="0"/>
    <pivotField axis="axisRow" showAll="0" defaultSubtotal="0">
      <items count="78">
        <item h="1" x="39"/>
        <item h="1" x="38"/>
        <item h="1" x="41"/>
        <item h="1" x="43"/>
        <item m="1" x="72"/>
        <item m="1" x="60"/>
        <item m="1" x="71"/>
        <item m="1" x="76"/>
        <item m="1" x="73"/>
        <item m="1" x="70"/>
        <item m="1" x="68"/>
        <item m="1" x="65"/>
        <item m="1" x="59"/>
        <item m="1" x="63"/>
        <item m="1" x="58"/>
        <item m="1" x="54"/>
        <item h="1" x="40"/>
        <item m="1" x="67"/>
        <item h="1" x="36"/>
        <item h="1" x="33"/>
        <item m="1" x="64"/>
        <item m="1" x="62"/>
        <item h="1" x="42"/>
        <item h="1" x="50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m="1" x="53"/>
        <item m="1" x="77"/>
        <item m="1" x="51"/>
        <item m="1" x="56"/>
        <item m="1" x="69"/>
        <item m="1" x="57"/>
        <item m="1" x="55"/>
        <item m="1" x="61"/>
        <item m="1" x="74"/>
        <item m="1" x="66"/>
        <item m="1" x="52"/>
        <item m="1" x="75"/>
        <item x="34"/>
        <item h="1" x="37"/>
        <item h="1" x="44"/>
        <item h="1" x="45"/>
        <item h="1" x="46"/>
        <item h="1" x="4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h="1" x="48"/>
        <item h="1" x="49"/>
      </items>
    </pivotField>
    <pivotField showAll="0" defaultSubtotal="0"/>
    <pivotField showAll="0" defaultSubtotal="0"/>
    <pivotField showAll="0"/>
    <pivotField showAll="0" defaultSubtotal="0"/>
  </pivotFields>
  <rowFields count="2">
    <field x="13"/>
    <field x="21"/>
  </rowFields>
  <rowItems count="38">
    <i>
      <x/>
    </i>
    <i r="1">
      <x v="68"/>
    </i>
    <i r="1">
      <x v="69"/>
    </i>
    <i t="default">
      <x/>
    </i>
    <i>
      <x v="1"/>
    </i>
    <i r="1">
      <x v="70"/>
    </i>
    <i r="1">
      <x v="71"/>
    </i>
    <i r="1">
      <x v="72"/>
    </i>
    <i t="default">
      <x v="1"/>
    </i>
    <i>
      <x v="2"/>
    </i>
    <i r="1">
      <x v="56"/>
    </i>
    <i r="1">
      <x v="70"/>
    </i>
    <i r="1">
      <x v="71"/>
    </i>
    <i r="1">
      <x v="75"/>
    </i>
    <i t="default">
      <x v="2"/>
    </i>
    <i>
      <x v="3"/>
    </i>
    <i r="1">
      <x v="63"/>
    </i>
    <i r="1">
      <x v="74"/>
    </i>
    <i t="default">
      <x v="3"/>
    </i>
    <i>
      <x v="4"/>
    </i>
    <i r="1">
      <x v="67"/>
    </i>
    <i t="default">
      <x v="4"/>
    </i>
    <i>
      <x v="5"/>
    </i>
    <i r="1">
      <x v="62"/>
    </i>
    <i r="1">
      <x v="64"/>
    </i>
    <i r="1">
      <x v="65"/>
    </i>
    <i t="default">
      <x v="5"/>
    </i>
    <i>
      <x v="6"/>
    </i>
    <i r="1">
      <x v="66"/>
    </i>
    <i t="default">
      <x v="6"/>
    </i>
    <i>
      <x v="7"/>
    </i>
    <i r="1">
      <x v="64"/>
    </i>
    <i r="1">
      <x v="65"/>
    </i>
    <i t="default">
      <x v="7"/>
    </i>
    <i>
      <x v="8"/>
    </i>
    <i r="1">
      <x v="73"/>
    </i>
    <i t="default">
      <x v="8"/>
    </i>
    <i t="grand">
      <x/>
    </i>
  </rowItems>
  <colFields count="1">
    <field x="3"/>
  </colFields>
  <colItems count="6">
    <i>
      <x/>
    </i>
    <i>
      <x v="1"/>
    </i>
    <i>
      <x v="3"/>
    </i>
    <i>
      <x v="4"/>
    </i>
    <i>
      <x v="6"/>
    </i>
    <i t="grand">
      <x/>
    </i>
  </colItems>
  <pageFields count="1">
    <pageField fld="15" hier="-1"/>
  </pageFields>
  <dataFields count="1">
    <dataField name="Sum of Az" fld="14" baseField="0" baseItem="0" numFmtId="171"/>
  </dataFields>
  <formats count="41">
    <format dxfId="40">
      <pivotArea collapsedLevelsAreSubtotals="1" fieldPosition="0">
        <references count="2">
          <reference field="13" count="1" selected="0">
            <x v="0"/>
          </reference>
          <reference field="21" count="2">
            <x v="4"/>
            <x v="13"/>
          </reference>
        </references>
      </pivotArea>
    </format>
    <format dxfId="39">
      <pivotArea collapsedLevelsAreSubtotals="1" fieldPosition="0">
        <references count="1">
          <reference field="13" count="1" defaultSubtotal="1">
            <x v="0"/>
          </reference>
        </references>
      </pivotArea>
    </format>
    <format dxfId="38">
      <pivotArea collapsedLevelsAreSubtotals="1" fieldPosition="0">
        <references count="1">
          <reference field="13" count="1">
            <x v="1"/>
          </reference>
        </references>
      </pivotArea>
    </format>
    <format dxfId="37">
      <pivotArea collapsedLevelsAreSubtotals="1" fieldPosition="0">
        <references count="2">
          <reference field="13" count="1" selected="0">
            <x v="1"/>
          </reference>
          <reference field="21" count="3">
            <x v="8"/>
            <x v="10"/>
            <x v="14"/>
          </reference>
        </references>
      </pivotArea>
    </format>
    <format dxfId="36">
      <pivotArea collapsedLevelsAreSubtotals="1" fieldPosition="0">
        <references count="1">
          <reference field="13" count="1" defaultSubtotal="1">
            <x v="1"/>
          </reference>
        </references>
      </pivotArea>
    </format>
    <format dxfId="35">
      <pivotArea collapsedLevelsAreSubtotals="1" fieldPosition="0">
        <references count="1">
          <reference field="13" count="1">
            <x v="2"/>
          </reference>
        </references>
      </pivotArea>
    </format>
    <format dxfId="34">
      <pivotArea collapsedLevelsAreSubtotals="1" fieldPosition="0">
        <references count="2">
          <reference field="13" count="1" selected="0">
            <x v="2"/>
          </reference>
          <reference field="21" count="4">
            <x v="5"/>
            <x v="10"/>
            <x v="11"/>
            <x v="14"/>
          </reference>
        </references>
      </pivotArea>
    </format>
    <format dxfId="33">
      <pivotArea collapsedLevelsAreSubtotals="1" fieldPosition="0">
        <references count="1">
          <reference field="13" count="1" defaultSubtotal="1">
            <x v="2"/>
          </reference>
        </references>
      </pivotArea>
    </format>
    <format dxfId="32">
      <pivotArea collapsedLevelsAreSubtotals="1" fieldPosition="0">
        <references count="1">
          <reference field="13" count="1">
            <x v="3"/>
          </reference>
        </references>
      </pivotArea>
    </format>
    <format dxfId="31">
      <pivotArea collapsedLevelsAreSubtotals="1" fieldPosition="0">
        <references count="2">
          <reference field="13" count="1" selected="0">
            <x v="3"/>
          </reference>
          <reference field="21" count="2">
            <x v="9"/>
            <x v="12"/>
          </reference>
        </references>
      </pivotArea>
    </format>
    <format dxfId="30">
      <pivotArea collapsedLevelsAreSubtotals="1" fieldPosition="0">
        <references count="1">
          <reference field="13" count="1" defaultSubtotal="1">
            <x v="3"/>
          </reference>
        </references>
      </pivotArea>
    </format>
    <format dxfId="29">
      <pivotArea collapsedLevelsAreSubtotals="1" fieldPosition="0">
        <references count="1">
          <reference field="13" count="1">
            <x v="4"/>
          </reference>
        </references>
      </pivotArea>
    </format>
    <format dxfId="28">
      <pivotArea collapsedLevelsAreSubtotals="1" fieldPosition="0">
        <references count="2">
          <reference field="13" count="1" selected="0">
            <x v="4"/>
          </reference>
          <reference field="21" count="1">
            <x v="7"/>
          </reference>
        </references>
      </pivotArea>
    </format>
    <format dxfId="27">
      <pivotArea collapsedLevelsAreSubtotals="1" fieldPosition="0">
        <references count="1">
          <reference field="13" count="1" defaultSubtotal="1">
            <x v="4"/>
          </reference>
        </references>
      </pivotArea>
    </format>
    <format dxfId="26">
      <pivotArea collapsedLevelsAreSubtotals="1" fieldPosition="0">
        <references count="1">
          <reference field="13" count="1">
            <x v="5"/>
          </reference>
        </references>
      </pivotArea>
    </format>
    <format dxfId="25">
      <pivotArea collapsedLevelsAreSubtotals="1" fieldPosition="0">
        <references count="2">
          <reference field="13" count="1" selected="0">
            <x v="5"/>
          </reference>
          <reference field="21" count="2">
            <x v="6"/>
            <x v="20"/>
          </reference>
        </references>
      </pivotArea>
    </format>
    <format dxfId="24">
      <pivotArea collapsedLevelsAreSubtotals="1" fieldPosition="0">
        <references count="1">
          <reference field="13" count="1" defaultSubtotal="1">
            <x v="5"/>
          </reference>
        </references>
      </pivotArea>
    </format>
    <format dxfId="23">
      <pivotArea collapsedLevelsAreSubtotals="1" fieldPosition="0">
        <references count="1">
          <reference field="13" count="1">
            <x v="6"/>
          </reference>
        </references>
      </pivotArea>
    </format>
    <format dxfId="22">
      <pivotArea collapsedLevelsAreSubtotals="1" fieldPosition="0">
        <references count="2">
          <reference field="13" count="1" selected="0">
            <x v="6"/>
          </reference>
          <reference field="21" count="1">
            <x v="21"/>
          </reference>
        </references>
      </pivotArea>
    </format>
    <format dxfId="21">
      <pivotArea collapsedLevelsAreSubtotals="1" fieldPosition="0">
        <references count="1">
          <reference field="13" count="1" defaultSubtotal="1">
            <x v="6"/>
          </reference>
        </references>
      </pivotArea>
    </format>
    <format dxfId="20">
      <pivotArea collapsedLevelsAreSubtotals="1" fieldPosition="0">
        <references count="1">
          <reference field="13" count="1">
            <x v="7"/>
          </reference>
        </references>
      </pivotArea>
    </format>
    <format dxfId="19">
      <pivotArea collapsedLevelsAreSubtotals="1" fieldPosition="0">
        <references count="2">
          <reference field="13" count="1" selected="0">
            <x v="7"/>
          </reference>
          <reference field="21" count="1">
            <x v="17"/>
          </reference>
        </references>
      </pivotArea>
    </format>
    <format dxfId="18">
      <pivotArea collapsedLevelsAreSubtotals="1" fieldPosition="0">
        <references count="1">
          <reference field="13" count="1" defaultSubtotal="1">
            <x v="7"/>
          </reference>
        </references>
      </pivotArea>
    </format>
    <format dxfId="17">
      <pivotArea collapsedLevelsAreSubtotals="1" fieldPosition="0">
        <references count="1">
          <reference field="13" count="1">
            <x v="8"/>
          </reference>
        </references>
      </pivotArea>
    </format>
    <format dxfId="16">
      <pivotArea collapsedLevelsAreSubtotals="1" fieldPosition="0">
        <references count="2">
          <reference field="13" count="1" selected="0">
            <x v="8"/>
          </reference>
          <reference field="21" count="1">
            <x v="15"/>
          </reference>
        </references>
      </pivotArea>
    </format>
    <format dxfId="15">
      <pivotArea collapsedLevelsAreSubtotals="1" fieldPosition="0">
        <references count="1">
          <reference field="13" count="1" defaultSubtotal="1">
            <x v="8"/>
          </reference>
        </references>
      </pivotArea>
    </format>
    <format dxfId="14">
      <pivotArea grandRow="1" outline="0" collapsedLevelsAreSubtotals="1" fieldPosition="0"/>
    </format>
    <format dxfId="13">
      <pivotArea collapsedLevelsAreSubtotals="1" fieldPosition="0">
        <references count="3">
          <reference field="3" count="1" selected="0">
            <x v="1"/>
          </reference>
          <reference field="13" count="1" selected="0">
            <x v="2"/>
          </reference>
          <reference field="21" count="1">
            <x v="5"/>
          </reference>
        </references>
      </pivotArea>
    </format>
    <format dxfId="12">
      <pivotArea collapsedLevelsAreSubtotals="1" fieldPosition="0">
        <references count="3">
          <reference field="3" count="1" selected="0">
            <x v="0"/>
          </reference>
          <reference field="13" count="1" selected="0">
            <x v="7"/>
          </reference>
          <reference field="21" count="1">
            <x v="17"/>
          </reference>
        </references>
      </pivotArea>
    </format>
    <format dxfId="11">
      <pivotArea outline="0" collapsedLevelsAreSubtotals="1" fieldPosition="0">
        <references count="1">
          <reference field="3" count="1" selected="0">
            <x v="0"/>
          </reference>
        </references>
      </pivotArea>
    </format>
    <format dxfId="10">
      <pivotArea outline="0" collapsedLevelsAreSubtotals="1" fieldPosition="0">
        <references count="1">
          <reference field="3" count="3" selected="0">
            <x v="1"/>
            <x v="3"/>
            <x v="5"/>
          </reference>
        </references>
      </pivotArea>
    </format>
    <format dxfId="9">
      <pivotArea grandCol="1"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3" count="1" selected="0">
            <x v="4"/>
          </reference>
        </references>
      </pivotArea>
    </format>
    <format dxfId="6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5">
      <pivotArea outline="0" collapsedLevelsAreSubtotals="1" fieldPosition="0"/>
    </format>
    <format dxfId="4">
      <pivotArea dataOnly="0" labelOnly="1" outline="0" fieldPosition="0">
        <references count="1">
          <reference field="15" count="0"/>
        </references>
      </pivotArea>
    </format>
    <format dxfId="3">
      <pivotArea field="3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74"/>
  <sheetViews>
    <sheetView workbookViewId="0">
      <pane ySplit="5" topLeftCell="A146" activePane="bottomLeft" state="frozen"/>
      <selection activeCell="L1" sqref="L1"/>
      <selection pane="bottomLeft" activeCell="F155" sqref="F155"/>
    </sheetView>
  </sheetViews>
  <sheetFormatPr defaultColWidth="9.140625" defaultRowHeight="12.75"/>
  <cols>
    <col min="1" max="1" width="2.7109375" style="16" customWidth="1"/>
    <col min="2" max="2" width="6.140625" style="15" customWidth="1"/>
    <col min="3" max="3" width="29.42578125" style="16" customWidth="1"/>
    <col min="4" max="4" width="28.85546875" style="16" customWidth="1"/>
    <col min="5" max="5" width="18.42578125" style="15" customWidth="1"/>
    <col min="6" max="6" width="42.28515625" style="15" customWidth="1"/>
    <col min="7" max="7" width="15.85546875" style="15" customWidth="1"/>
    <col min="8" max="8" width="12.85546875" style="15" customWidth="1"/>
    <col min="9" max="9" width="13.28515625" style="17" customWidth="1"/>
    <col min="10" max="10" width="13.28515625" style="18" customWidth="1"/>
    <col min="11" max="11" width="4.42578125" style="16" customWidth="1"/>
    <col min="12" max="12" width="12.140625" style="19" customWidth="1"/>
    <col min="13" max="13" width="12.42578125" style="19" customWidth="1"/>
    <col min="14" max="14" width="9.7109375" style="16" bestFit="1" customWidth="1"/>
    <col min="15" max="16384" width="9.140625" style="16"/>
  </cols>
  <sheetData>
    <row r="1" spans="2:13" s="73" customFormat="1" ht="26.25">
      <c r="B1" s="72"/>
      <c r="D1" s="74">
        <v>407010</v>
      </c>
      <c r="E1" s="75"/>
      <c r="F1" s="195" t="s">
        <v>253</v>
      </c>
      <c r="G1" s="72"/>
      <c r="H1" s="72"/>
      <c r="I1" s="76"/>
      <c r="J1" s="77"/>
      <c r="L1" s="78"/>
      <c r="M1" s="78"/>
    </row>
    <row r="2" spans="2:13" s="73" customFormat="1">
      <c r="B2" s="72"/>
      <c r="C2" s="78" t="s">
        <v>36</v>
      </c>
      <c r="E2" s="79" t="s">
        <v>37</v>
      </c>
      <c r="F2" s="78" t="s">
        <v>38</v>
      </c>
      <c r="G2" s="78" t="s">
        <v>235</v>
      </c>
      <c r="H2" s="78" t="s">
        <v>236</v>
      </c>
      <c r="I2" s="76"/>
      <c r="J2" s="77"/>
      <c r="L2" s="78"/>
      <c r="M2" s="78"/>
    </row>
    <row r="3" spans="2:13" s="73" customFormat="1">
      <c r="B3" s="72"/>
      <c r="C3" s="78" t="s">
        <v>39</v>
      </c>
      <c r="D3" s="88" t="s">
        <v>40</v>
      </c>
      <c r="E3" s="79" t="s">
        <v>41</v>
      </c>
      <c r="F3" s="88" t="s">
        <v>42</v>
      </c>
      <c r="H3" s="72"/>
      <c r="I3" s="76"/>
      <c r="J3" s="77"/>
      <c r="L3" s="78"/>
      <c r="M3" s="78"/>
    </row>
    <row r="4" spans="2:13" s="73" customFormat="1">
      <c r="B4" s="72"/>
      <c r="C4" s="80" t="s">
        <v>43</v>
      </c>
      <c r="D4" s="78" t="s">
        <v>44</v>
      </c>
      <c r="E4" s="75"/>
      <c r="F4" s="75"/>
      <c r="G4" s="72"/>
      <c r="H4" s="72"/>
      <c r="I4" s="198" t="s">
        <v>45</v>
      </c>
      <c r="J4" s="199"/>
      <c r="L4" s="78"/>
      <c r="M4" s="78"/>
    </row>
    <row r="5" spans="2:13" s="75" customFormat="1">
      <c r="B5" s="81" t="s">
        <v>46</v>
      </c>
      <c r="C5" s="82" t="s">
        <v>47</v>
      </c>
      <c r="D5" s="82" t="s">
        <v>18</v>
      </c>
      <c r="E5" s="82" t="s">
        <v>48</v>
      </c>
      <c r="F5" s="82" t="s">
        <v>81</v>
      </c>
      <c r="G5" s="82" t="s">
        <v>49</v>
      </c>
      <c r="H5" s="82" t="s">
        <v>50</v>
      </c>
      <c r="I5" s="83" t="s">
        <v>51</v>
      </c>
      <c r="J5" s="84" t="s">
        <v>52</v>
      </c>
    </row>
    <row r="6" spans="2:13" s="73" customFormat="1">
      <c r="B6" s="85">
        <v>1</v>
      </c>
      <c r="C6" s="73" t="s">
        <v>53</v>
      </c>
      <c r="E6" s="72"/>
      <c r="F6" s="72"/>
      <c r="G6" s="86"/>
      <c r="H6" s="86"/>
      <c r="I6" s="76">
        <v>0</v>
      </c>
      <c r="J6" s="87">
        <f>I6</f>
        <v>0</v>
      </c>
    </row>
    <row r="7" spans="2:13" s="73" customFormat="1" ht="15">
      <c r="B7" s="85">
        <f t="shared" ref="B7:B49" si="0">B6+1</f>
        <v>2</v>
      </c>
      <c r="C7" s="73" t="s">
        <v>76</v>
      </c>
      <c r="D7" s="73" t="s">
        <v>54</v>
      </c>
      <c r="E7" s="88" t="s">
        <v>54</v>
      </c>
      <c r="F7" s="88"/>
      <c r="G7" s="86">
        <v>44480</v>
      </c>
      <c r="H7" s="86">
        <v>44480</v>
      </c>
      <c r="I7" s="128">
        <v>2000</v>
      </c>
      <c r="J7" s="89">
        <f t="shared" ref="J7:J38" si="1">IF(I7="",".",J6+I7)</f>
        <v>2000</v>
      </c>
      <c r="M7" s="96"/>
    </row>
    <row r="8" spans="2:13" s="73" customFormat="1" ht="15">
      <c r="B8" s="85">
        <f t="shared" si="0"/>
        <v>3</v>
      </c>
      <c r="C8" s="73" t="s">
        <v>111</v>
      </c>
      <c r="D8" s="73" t="s">
        <v>55</v>
      </c>
      <c r="E8" s="88" t="s">
        <v>55</v>
      </c>
      <c r="F8" s="88"/>
      <c r="G8" s="86">
        <v>44491</v>
      </c>
      <c r="H8" s="86">
        <v>44491</v>
      </c>
      <c r="I8" s="76">
        <v>1452.1</v>
      </c>
      <c r="J8" s="89">
        <f t="shared" si="1"/>
        <v>3452.1</v>
      </c>
      <c r="M8" s="96"/>
    </row>
    <row r="9" spans="2:13" s="73" customFormat="1" ht="15">
      <c r="B9" s="85">
        <f t="shared" si="0"/>
        <v>4</v>
      </c>
      <c r="C9" s="73" t="s">
        <v>111</v>
      </c>
      <c r="D9" s="73" t="s">
        <v>56</v>
      </c>
      <c r="E9" s="88" t="s">
        <v>56</v>
      </c>
      <c r="F9" s="88"/>
      <c r="G9" s="86">
        <v>44494</v>
      </c>
      <c r="H9" s="86">
        <v>44494</v>
      </c>
      <c r="I9" s="76">
        <v>748.5</v>
      </c>
      <c r="J9" s="89">
        <f t="shared" si="1"/>
        <v>4200.6000000000004</v>
      </c>
      <c r="M9" s="96"/>
    </row>
    <row r="10" spans="2:13" s="73" customFormat="1" ht="15">
      <c r="B10" s="85">
        <f t="shared" si="0"/>
        <v>5</v>
      </c>
      <c r="C10" s="73" t="s">
        <v>111</v>
      </c>
      <c r="D10" s="73" t="s">
        <v>22</v>
      </c>
      <c r="E10" s="88" t="s">
        <v>22</v>
      </c>
      <c r="F10" s="88"/>
      <c r="G10" s="86">
        <v>44494</v>
      </c>
      <c r="H10" s="86">
        <v>44494</v>
      </c>
      <c r="I10" s="76">
        <v>2245.5100000000002</v>
      </c>
      <c r="J10" s="89">
        <f t="shared" si="1"/>
        <v>6446.1100000000006</v>
      </c>
      <c r="M10" s="96"/>
    </row>
    <row r="11" spans="2:13" s="73" customFormat="1" ht="15">
      <c r="B11" s="85">
        <f t="shared" si="0"/>
        <v>6</v>
      </c>
      <c r="C11" s="73" t="s">
        <v>111</v>
      </c>
      <c r="D11" s="73" t="s">
        <v>54</v>
      </c>
      <c r="E11" s="88" t="s">
        <v>54</v>
      </c>
      <c r="F11" s="88"/>
      <c r="G11" s="86">
        <v>44494</v>
      </c>
      <c r="H11" s="86">
        <v>44494</v>
      </c>
      <c r="I11" s="76">
        <v>134.72999999999999</v>
      </c>
      <c r="J11" s="89">
        <f t="shared" si="1"/>
        <v>6580.84</v>
      </c>
      <c r="M11" s="96"/>
    </row>
    <row r="12" spans="2:13" s="73" customFormat="1" ht="15">
      <c r="B12" s="85">
        <f t="shared" si="0"/>
        <v>7</v>
      </c>
      <c r="C12" s="73" t="s">
        <v>111</v>
      </c>
      <c r="D12" s="73" t="s">
        <v>57</v>
      </c>
      <c r="E12" s="88" t="s">
        <v>57</v>
      </c>
      <c r="F12" s="88"/>
      <c r="G12" s="86">
        <v>44494</v>
      </c>
      <c r="H12" s="86">
        <v>44494</v>
      </c>
      <c r="I12" s="76">
        <v>1796.41</v>
      </c>
      <c r="J12" s="89">
        <f t="shared" si="1"/>
        <v>8377.25</v>
      </c>
      <c r="M12" s="96"/>
    </row>
    <row r="13" spans="2:13" s="73" customFormat="1" ht="15">
      <c r="B13" s="85">
        <f t="shared" si="0"/>
        <v>8</v>
      </c>
      <c r="C13" s="73" t="s">
        <v>111</v>
      </c>
      <c r="D13" s="73" t="s">
        <v>58</v>
      </c>
      <c r="E13" s="88" t="s">
        <v>58</v>
      </c>
      <c r="F13" s="88"/>
      <c r="G13" s="86">
        <v>44494</v>
      </c>
      <c r="H13" s="86">
        <v>44494</v>
      </c>
      <c r="I13" s="76">
        <v>1452.1</v>
      </c>
      <c r="J13" s="89">
        <f t="shared" si="1"/>
        <v>9829.35</v>
      </c>
      <c r="M13" s="96"/>
    </row>
    <row r="14" spans="2:13" s="73" customFormat="1" ht="15">
      <c r="B14" s="85">
        <f t="shared" si="0"/>
        <v>9</v>
      </c>
      <c r="C14" s="73" t="s">
        <v>111</v>
      </c>
      <c r="D14" s="73" t="s">
        <v>59</v>
      </c>
      <c r="E14" s="88" t="s">
        <v>59</v>
      </c>
      <c r="F14" s="88"/>
      <c r="G14" s="86">
        <v>44495</v>
      </c>
      <c r="H14" s="86">
        <v>44495</v>
      </c>
      <c r="I14" s="76">
        <v>658.68</v>
      </c>
      <c r="J14" s="89">
        <f t="shared" si="1"/>
        <v>10488.03</v>
      </c>
      <c r="M14" s="96"/>
    </row>
    <row r="15" spans="2:13" s="73" customFormat="1" ht="15">
      <c r="B15" s="85">
        <f t="shared" si="0"/>
        <v>10</v>
      </c>
      <c r="C15" s="73" t="s">
        <v>111</v>
      </c>
      <c r="D15" s="73" t="s">
        <v>60</v>
      </c>
      <c r="E15" s="88" t="s">
        <v>60</v>
      </c>
      <c r="F15" s="88"/>
      <c r="G15" s="86">
        <v>44495</v>
      </c>
      <c r="H15" s="86">
        <v>44495</v>
      </c>
      <c r="I15" s="76">
        <v>658.68</v>
      </c>
      <c r="J15" s="89">
        <f t="shared" si="1"/>
        <v>11146.710000000001</v>
      </c>
      <c r="M15" s="96"/>
    </row>
    <row r="16" spans="2:13" s="73" customFormat="1" ht="15">
      <c r="B16" s="85">
        <f t="shared" si="0"/>
        <v>11</v>
      </c>
      <c r="C16" s="73" t="s">
        <v>111</v>
      </c>
      <c r="D16" s="73" t="s">
        <v>61</v>
      </c>
      <c r="E16" s="88" t="s">
        <v>61</v>
      </c>
      <c r="F16" s="88"/>
      <c r="G16" s="86">
        <v>44496</v>
      </c>
      <c r="H16" s="86">
        <v>44496</v>
      </c>
      <c r="I16" s="76">
        <v>1482.04</v>
      </c>
      <c r="J16" s="89">
        <f t="shared" si="1"/>
        <v>12628.75</v>
      </c>
      <c r="M16" s="96"/>
    </row>
    <row r="17" spans="2:13" s="73" customFormat="1" ht="15">
      <c r="B17" s="85">
        <f t="shared" si="0"/>
        <v>12</v>
      </c>
      <c r="C17" s="73" t="s">
        <v>111</v>
      </c>
      <c r="D17" s="73" t="s">
        <v>62</v>
      </c>
      <c r="E17" s="88" t="s">
        <v>62</v>
      </c>
      <c r="F17" s="88"/>
      <c r="G17" s="86">
        <v>44496</v>
      </c>
      <c r="H17" s="86">
        <v>44496</v>
      </c>
      <c r="I17" s="76">
        <v>1482.04</v>
      </c>
      <c r="J17" s="89">
        <f t="shared" si="1"/>
        <v>14110.79</v>
      </c>
      <c r="M17" s="96"/>
    </row>
    <row r="18" spans="2:13" s="73" customFormat="1" ht="15">
      <c r="B18" s="85">
        <f t="shared" si="0"/>
        <v>13</v>
      </c>
      <c r="C18" s="73" t="s">
        <v>111</v>
      </c>
      <c r="D18" s="73" t="s">
        <v>63</v>
      </c>
      <c r="E18" s="88" t="s">
        <v>63</v>
      </c>
      <c r="F18" s="88"/>
      <c r="G18" s="86">
        <v>44496</v>
      </c>
      <c r="H18" s="86">
        <v>44496</v>
      </c>
      <c r="I18" s="76">
        <v>89.71</v>
      </c>
      <c r="J18" s="89">
        <f t="shared" si="1"/>
        <v>14200.5</v>
      </c>
      <c r="M18" s="96"/>
    </row>
    <row r="19" spans="2:13" s="73" customFormat="1" ht="15">
      <c r="B19" s="85">
        <f t="shared" si="0"/>
        <v>14</v>
      </c>
      <c r="C19" s="73" t="s">
        <v>111</v>
      </c>
      <c r="D19" s="73" t="s">
        <v>63</v>
      </c>
      <c r="E19" s="88" t="s">
        <v>63</v>
      </c>
      <c r="F19" s="88"/>
      <c r="G19" s="86">
        <v>44496</v>
      </c>
      <c r="H19" s="86">
        <v>44496</v>
      </c>
      <c r="I19" s="76">
        <v>554</v>
      </c>
      <c r="J19" s="89">
        <f t="shared" si="1"/>
        <v>14754.5</v>
      </c>
      <c r="M19" s="96"/>
    </row>
    <row r="20" spans="2:13" s="73" customFormat="1" ht="15">
      <c r="B20" s="85">
        <f t="shared" si="0"/>
        <v>15</v>
      </c>
      <c r="C20" s="73" t="s">
        <v>111</v>
      </c>
      <c r="D20" s="73" t="s">
        <v>64</v>
      </c>
      <c r="E20" s="88" t="s">
        <v>64</v>
      </c>
      <c r="F20" s="88"/>
      <c r="G20" s="86">
        <v>44497</v>
      </c>
      <c r="H20" s="86">
        <v>44497</v>
      </c>
      <c r="I20" s="76">
        <v>1482.04</v>
      </c>
      <c r="J20" s="89">
        <f t="shared" si="1"/>
        <v>16236.54</v>
      </c>
      <c r="M20" s="96"/>
    </row>
    <row r="21" spans="2:13" s="73" customFormat="1" ht="15">
      <c r="B21" s="85">
        <f t="shared" si="0"/>
        <v>16</v>
      </c>
      <c r="C21" s="73" t="s">
        <v>111</v>
      </c>
      <c r="D21" s="73" t="s">
        <v>65</v>
      </c>
      <c r="E21" s="88" t="s">
        <v>65</v>
      </c>
      <c r="F21" s="88"/>
      <c r="G21" s="86">
        <v>44505</v>
      </c>
      <c r="H21" s="86">
        <v>44505</v>
      </c>
      <c r="I21" s="76">
        <v>763.47</v>
      </c>
      <c r="J21" s="89">
        <f t="shared" si="1"/>
        <v>17000.010000000002</v>
      </c>
      <c r="M21" s="96"/>
    </row>
    <row r="22" spans="2:13" s="73" customFormat="1" ht="15">
      <c r="B22" s="85">
        <f t="shared" si="0"/>
        <v>17</v>
      </c>
      <c r="C22" s="73" t="s">
        <v>66</v>
      </c>
      <c r="D22" s="73" t="s">
        <v>83</v>
      </c>
      <c r="E22" s="88"/>
      <c r="F22" s="88" t="s">
        <v>83</v>
      </c>
      <c r="G22" s="86">
        <v>44510</v>
      </c>
      <c r="H22" s="86">
        <v>44510</v>
      </c>
      <c r="I22" s="76">
        <v>-117</v>
      </c>
      <c r="J22" s="89">
        <f t="shared" si="1"/>
        <v>16883.010000000002</v>
      </c>
      <c r="M22" s="96"/>
    </row>
    <row r="23" spans="2:13" s="73" customFormat="1" ht="15">
      <c r="B23" s="85">
        <f t="shared" si="0"/>
        <v>18</v>
      </c>
      <c r="C23" s="73" t="s">
        <v>66</v>
      </c>
      <c r="D23" s="73" t="s">
        <v>83</v>
      </c>
      <c r="E23" s="88"/>
      <c r="F23" s="88" t="s">
        <v>83</v>
      </c>
      <c r="G23" s="86">
        <v>44560</v>
      </c>
      <c r="H23" s="86">
        <v>44560</v>
      </c>
      <c r="I23" s="76">
        <v>-585</v>
      </c>
      <c r="J23" s="89">
        <f t="shared" si="1"/>
        <v>16298.010000000002</v>
      </c>
      <c r="M23" s="96"/>
    </row>
    <row r="24" spans="2:13" s="73" customFormat="1" ht="15">
      <c r="B24" s="90">
        <f t="shared" si="0"/>
        <v>19</v>
      </c>
      <c r="C24" s="91" t="s">
        <v>66</v>
      </c>
      <c r="D24" s="91" t="s">
        <v>83</v>
      </c>
      <c r="E24" s="92"/>
      <c r="F24" s="92" t="s">
        <v>83</v>
      </c>
      <c r="G24" s="93">
        <v>44561</v>
      </c>
      <c r="H24" s="93">
        <v>44561</v>
      </c>
      <c r="I24" s="94">
        <v>-40.69</v>
      </c>
      <c r="J24" s="95">
        <f t="shared" si="1"/>
        <v>16257.320000000002</v>
      </c>
      <c r="M24" s="96"/>
    </row>
    <row r="25" spans="2:13" s="73" customFormat="1" ht="15">
      <c r="B25" s="85">
        <f t="shared" si="0"/>
        <v>20</v>
      </c>
      <c r="C25" s="73" t="s">
        <v>66</v>
      </c>
      <c r="D25" s="73" t="s">
        <v>83</v>
      </c>
      <c r="E25" s="88"/>
      <c r="F25" s="88" t="s">
        <v>83</v>
      </c>
      <c r="G25" s="86">
        <v>44564</v>
      </c>
      <c r="H25" s="86">
        <v>44564</v>
      </c>
      <c r="I25" s="76">
        <v>-19.899999999999999</v>
      </c>
      <c r="J25" s="89">
        <f t="shared" si="1"/>
        <v>16237.420000000002</v>
      </c>
      <c r="M25" s="96"/>
    </row>
    <row r="26" spans="2:13" s="73" customFormat="1" ht="15">
      <c r="B26" s="85">
        <f t="shared" si="0"/>
        <v>21</v>
      </c>
      <c r="C26" s="73" t="s">
        <v>76</v>
      </c>
      <c r="D26" s="73" t="s">
        <v>22</v>
      </c>
      <c r="E26" s="88" t="s">
        <v>22</v>
      </c>
      <c r="F26" s="88"/>
      <c r="G26" s="86">
        <v>44574</v>
      </c>
      <c r="H26" s="86">
        <v>44574</v>
      </c>
      <c r="I26" s="76">
        <v>1496.1566666666665</v>
      </c>
      <c r="J26" s="89">
        <f t="shared" si="1"/>
        <v>17733.576666666668</v>
      </c>
      <c r="M26" s="96"/>
    </row>
    <row r="27" spans="2:13" s="73" customFormat="1" ht="15">
      <c r="B27" s="85">
        <f t="shared" si="0"/>
        <v>22</v>
      </c>
      <c r="C27" s="73" t="s">
        <v>76</v>
      </c>
      <c r="D27" s="73" t="s">
        <v>64</v>
      </c>
      <c r="E27" s="88" t="s">
        <v>64</v>
      </c>
      <c r="F27" s="88"/>
      <c r="G27" s="86">
        <v>44574</v>
      </c>
      <c r="H27" s="86">
        <v>44574</v>
      </c>
      <c r="I27" s="76">
        <v>987.96</v>
      </c>
      <c r="J27" s="89">
        <f t="shared" si="1"/>
        <v>18721.536666666667</v>
      </c>
      <c r="M27" s="96"/>
    </row>
    <row r="28" spans="2:13" s="73" customFormat="1" ht="15">
      <c r="B28" s="85">
        <f t="shared" si="0"/>
        <v>23</v>
      </c>
      <c r="C28" s="73" t="s">
        <v>76</v>
      </c>
      <c r="D28" s="73" t="s">
        <v>55</v>
      </c>
      <c r="E28" s="88" t="s">
        <v>55</v>
      </c>
      <c r="F28" s="88"/>
      <c r="G28" s="86">
        <v>44574</v>
      </c>
      <c r="H28" s="86">
        <v>44574</v>
      </c>
      <c r="I28" s="76">
        <v>967.90000000000009</v>
      </c>
      <c r="J28" s="89">
        <f t="shared" si="1"/>
        <v>19689.436666666668</v>
      </c>
      <c r="M28" s="96"/>
    </row>
    <row r="29" spans="2:13" s="73" customFormat="1" ht="15">
      <c r="B29" s="85">
        <f t="shared" si="0"/>
        <v>24</v>
      </c>
      <c r="C29" s="73" t="s">
        <v>76</v>
      </c>
      <c r="D29" s="73" t="s">
        <v>54</v>
      </c>
      <c r="E29" s="88" t="s">
        <v>54</v>
      </c>
      <c r="F29" s="88"/>
      <c r="G29" s="86">
        <v>44574</v>
      </c>
      <c r="H29" s="86">
        <v>44574</v>
      </c>
      <c r="I29" s="76">
        <v>90.27000000000001</v>
      </c>
      <c r="J29" s="89">
        <f t="shared" si="1"/>
        <v>19779.706666666669</v>
      </c>
      <c r="M29" s="96"/>
    </row>
    <row r="30" spans="2:13" s="73" customFormat="1" ht="15">
      <c r="B30" s="85">
        <f t="shared" si="0"/>
        <v>25</v>
      </c>
      <c r="C30" s="73" t="s">
        <v>76</v>
      </c>
      <c r="D30" s="73" t="s">
        <v>58</v>
      </c>
      <c r="E30" s="88" t="s">
        <v>58</v>
      </c>
      <c r="F30" s="88"/>
      <c r="G30" s="86">
        <v>44575</v>
      </c>
      <c r="H30" s="86">
        <v>44575</v>
      </c>
      <c r="I30" s="76">
        <v>967.9</v>
      </c>
      <c r="J30" s="89">
        <f t="shared" si="1"/>
        <v>20747.60666666667</v>
      </c>
      <c r="M30" s="96"/>
    </row>
    <row r="31" spans="2:13" s="73" customFormat="1" ht="15">
      <c r="B31" s="85">
        <f t="shared" si="0"/>
        <v>26</v>
      </c>
      <c r="C31" s="73" t="s">
        <v>76</v>
      </c>
      <c r="D31" s="73" t="s">
        <v>59</v>
      </c>
      <c r="E31" s="88" t="s">
        <v>59</v>
      </c>
      <c r="F31" s="88"/>
      <c r="G31" s="86">
        <v>44578</v>
      </c>
      <c r="H31" s="86">
        <v>44578</v>
      </c>
      <c r="I31" s="76">
        <v>439.65333333333336</v>
      </c>
      <c r="J31" s="89">
        <f t="shared" si="1"/>
        <v>21187.260000000002</v>
      </c>
      <c r="M31" s="96"/>
    </row>
    <row r="32" spans="2:13" s="73" customFormat="1" ht="15">
      <c r="B32" s="85">
        <f t="shared" si="0"/>
        <v>27</v>
      </c>
      <c r="C32" s="73" t="s">
        <v>76</v>
      </c>
      <c r="D32" s="73" t="s">
        <v>60</v>
      </c>
      <c r="E32" s="88" t="s">
        <v>60</v>
      </c>
      <c r="F32" s="88"/>
      <c r="G32" s="86">
        <v>44578</v>
      </c>
      <c r="H32" s="86">
        <v>44578</v>
      </c>
      <c r="I32" s="76">
        <v>439.65333333333336</v>
      </c>
      <c r="J32" s="89">
        <f t="shared" si="1"/>
        <v>21626.913333333334</v>
      </c>
      <c r="M32" s="96"/>
    </row>
    <row r="33" spans="2:13" s="73" customFormat="1" ht="15">
      <c r="B33" s="85">
        <f t="shared" si="0"/>
        <v>28</v>
      </c>
      <c r="C33" s="73" t="s">
        <v>76</v>
      </c>
      <c r="D33" s="73" t="s">
        <v>79</v>
      </c>
      <c r="E33" s="88" t="s">
        <v>54</v>
      </c>
      <c r="F33" s="88"/>
      <c r="G33" s="86">
        <v>44589</v>
      </c>
      <c r="H33" s="86">
        <v>44589</v>
      </c>
      <c r="I33" s="128">
        <v>-6397</v>
      </c>
      <c r="J33" s="89">
        <f t="shared" si="1"/>
        <v>15229.913333333334</v>
      </c>
      <c r="M33" s="96"/>
    </row>
    <row r="34" spans="2:13" s="73" customFormat="1" ht="15">
      <c r="B34" s="85">
        <f t="shared" si="0"/>
        <v>29</v>
      </c>
      <c r="C34" s="73" t="s">
        <v>76</v>
      </c>
      <c r="D34" s="73" t="s">
        <v>79</v>
      </c>
      <c r="E34" s="88" t="s">
        <v>54</v>
      </c>
      <c r="F34" s="88"/>
      <c r="G34" s="86">
        <v>44589</v>
      </c>
      <c r="H34" s="86">
        <v>44589</v>
      </c>
      <c r="I34" s="128">
        <v>-2000</v>
      </c>
      <c r="J34" s="89">
        <f t="shared" si="1"/>
        <v>13229.913333333334</v>
      </c>
      <c r="M34" s="96"/>
    </row>
    <row r="35" spans="2:13" s="73" customFormat="1" ht="15">
      <c r="B35" s="85">
        <f t="shared" si="0"/>
        <v>30</v>
      </c>
      <c r="C35" s="73" t="s">
        <v>80</v>
      </c>
      <c r="D35" s="73" t="s">
        <v>79</v>
      </c>
      <c r="E35" s="88"/>
      <c r="F35" s="88" t="s">
        <v>82</v>
      </c>
      <c r="G35" s="86">
        <v>44589</v>
      </c>
      <c r="H35" s="86">
        <v>44589</v>
      </c>
      <c r="I35" s="76">
        <v>-2500</v>
      </c>
      <c r="J35" s="89">
        <f t="shared" si="1"/>
        <v>10729.913333333334</v>
      </c>
      <c r="M35" s="96"/>
    </row>
    <row r="36" spans="2:13" s="73" customFormat="1" ht="15">
      <c r="B36" s="85">
        <f t="shared" si="0"/>
        <v>31</v>
      </c>
      <c r="C36" s="73" t="s">
        <v>76</v>
      </c>
      <c r="D36" s="73" t="s">
        <v>57</v>
      </c>
      <c r="E36" s="88" t="s">
        <v>57</v>
      </c>
      <c r="F36" s="88"/>
      <c r="G36" s="86">
        <v>44592</v>
      </c>
      <c r="H36" s="86">
        <v>44592</v>
      </c>
      <c r="I36" s="76">
        <v>1196.92</v>
      </c>
      <c r="J36" s="89">
        <f t="shared" si="1"/>
        <v>11926.833333333334</v>
      </c>
      <c r="M36" s="96"/>
    </row>
    <row r="37" spans="2:13" s="73" customFormat="1" ht="15">
      <c r="B37" s="85">
        <f t="shared" si="0"/>
        <v>32</v>
      </c>
      <c r="C37" s="73" t="s">
        <v>66</v>
      </c>
      <c r="D37" s="73" t="s">
        <v>83</v>
      </c>
      <c r="E37" s="88"/>
      <c r="F37" s="88" t="s">
        <v>83</v>
      </c>
      <c r="G37" s="86">
        <v>44593</v>
      </c>
      <c r="H37" s="86">
        <v>44593</v>
      </c>
      <c r="I37" s="76">
        <v>-20.5</v>
      </c>
      <c r="J37" s="89">
        <f t="shared" si="1"/>
        <v>11906.333333333334</v>
      </c>
      <c r="M37" s="96"/>
    </row>
    <row r="38" spans="2:13" s="73" customFormat="1" ht="15">
      <c r="B38" s="85">
        <f t="shared" si="0"/>
        <v>33</v>
      </c>
      <c r="C38" s="73" t="s">
        <v>76</v>
      </c>
      <c r="D38" s="73" t="s">
        <v>63</v>
      </c>
      <c r="E38" s="88" t="s">
        <v>63</v>
      </c>
      <c r="F38" s="88"/>
      <c r="G38" s="86">
        <v>44593</v>
      </c>
      <c r="H38" s="86">
        <v>44593</v>
      </c>
      <c r="I38" s="76">
        <v>1048.25</v>
      </c>
      <c r="J38" s="89">
        <f t="shared" si="1"/>
        <v>12954.583333333334</v>
      </c>
      <c r="M38" s="96"/>
    </row>
    <row r="39" spans="2:13" s="73" customFormat="1" ht="15">
      <c r="B39" s="85">
        <f t="shared" si="0"/>
        <v>34</v>
      </c>
      <c r="C39" s="73" t="s">
        <v>76</v>
      </c>
      <c r="D39" s="73" t="s">
        <v>77</v>
      </c>
      <c r="E39" s="88" t="s">
        <v>77</v>
      </c>
      <c r="F39" s="88"/>
      <c r="G39" s="86">
        <v>44599</v>
      </c>
      <c r="H39" s="86">
        <v>44599</v>
      </c>
      <c r="I39" s="76">
        <v>1357.29</v>
      </c>
      <c r="J39" s="89">
        <f t="shared" ref="J39:J70" si="2">IF(I39="",".",J38+I39)</f>
        <v>14311.873333333333</v>
      </c>
      <c r="M39" s="96"/>
    </row>
    <row r="40" spans="2:13" s="73" customFormat="1" ht="15">
      <c r="B40" s="85">
        <f t="shared" si="0"/>
        <v>35</v>
      </c>
      <c r="C40" s="73" t="s">
        <v>66</v>
      </c>
      <c r="D40" s="73" t="s">
        <v>83</v>
      </c>
      <c r="E40" s="88"/>
      <c r="F40" s="88" t="s">
        <v>83</v>
      </c>
      <c r="G40" s="86">
        <v>44621</v>
      </c>
      <c r="H40" s="86">
        <v>44621</v>
      </c>
      <c r="I40" s="76">
        <v>-19.899999999999999</v>
      </c>
      <c r="J40" s="89">
        <f t="shared" si="2"/>
        <v>14291.973333333333</v>
      </c>
      <c r="M40" s="96"/>
    </row>
    <row r="41" spans="2:13" s="73" customFormat="1" ht="15">
      <c r="B41" s="85">
        <f t="shared" si="0"/>
        <v>36</v>
      </c>
      <c r="C41" s="73" t="s">
        <v>80</v>
      </c>
      <c r="D41" s="73" t="s">
        <v>79</v>
      </c>
      <c r="E41" s="88"/>
      <c r="F41" s="88" t="s">
        <v>82</v>
      </c>
      <c r="G41" s="86">
        <v>44621</v>
      </c>
      <c r="H41" s="86">
        <v>44621</v>
      </c>
      <c r="I41" s="76">
        <v>-124.33</v>
      </c>
      <c r="J41" s="89">
        <f t="shared" si="2"/>
        <v>14167.643333333333</v>
      </c>
      <c r="M41" s="96"/>
    </row>
    <row r="42" spans="2:13" s="73" customFormat="1" ht="15">
      <c r="B42" s="85">
        <f t="shared" si="0"/>
        <v>37</v>
      </c>
      <c r="C42" s="73" t="s">
        <v>76</v>
      </c>
      <c r="D42" s="73" t="s">
        <v>79</v>
      </c>
      <c r="E42" s="88" t="s">
        <v>54</v>
      </c>
      <c r="F42" s="88"/>
      <c r="G42" s="86">
        <v>44627</v>
      </c>
      <c r="H42" s="86">
        <v>44627</v>
      </c>
      <c r="I42" s="128">
        <v>-2938.37</v>
      </c>
      <c r="J42" s="89">
        <f t="shared" si="2"/>
        <v>11229.273333333334</v>
      </c>
      <c r="M42" s="96"/>
    </row>
    <row r="43" spans="2:13" s="73" customFormat="1" ht="15">
      <c r="B43" s="85">
        <f t="shared" si="0"/>
        <v>38</v>
      </c>
      <c r="C43" s="73" t="s">
        <v>76</v>
      </c>
      <c r="D43" s="73" t="s">
        <v>79</v>
      </c>
      <c r="E43" s="88" t="s">
        <v>54</v>
      </c>
      <c r="F43" s="88"/>
      <c r="G43" s="86">
        <v>44627</v>
      </c>
      <c r="H43" s="86">
        <v>44627</v>
      </c>
      <c r="I43" s="128">
        <v>-319.86</v>
      </c>
      <c r="J43" s="89">
        <f t="shared" si="2"/>
        <v>10909.413333333334</v>
      </c>
      <c r="M43" s="96"/>
    </row>
    <row r="44" spans="2:13" s="73" customFormat="1" ht="15">
      <c r="B44" s="85">
        <f t="shared" si="0"/>
        <v>39</v>
      </c>
      <c r="C44" s="73" t="s">
        <v>76</v>
      </c>
      <c r="D44" s="73" t="s">
        <v>79</v>
      </c>
      <c r="E44" s="88" t="s">
        <v>54</v>
      </c>
      <c r="F44" s="88"/>
      <c r="G44" s="86">
        <v>44631</v>
      </c>
      <c r="H44" s="86">
        <v>44631</v>
      </c>
      <c r="I44" s="128">
        <v>-3506.66</v>
      </c>
      <c r="J44" s="89">
        <f t="shared" si="2"/>
        <v>7402.753333333334</v>
      </c>
      <c r="M44" s="96"/>
    </row>
    <row r="45" spans="2:13" s="73" customFormat="1" ht="15">
      <c r="B45" s="85">
        <f t="shared" si="0"/>
        <v>40</v>
      </c>
      <c r="C45" s="73" t="s">
        <v>76</v>
      </c>
      <c r="D45" s="73" t="s">
        <v>56</v>
      </c>
      <c r="E45" s="88" t="s">
        <v>56</v>
      </c>
      <c r="F45" s="88"/>
      <c r="G45" s="86">
        <v>44631</v>
      </c>
      <c r="H45" s="86">
        <v>44631</v>
      </c>
      <c r="I45" s="76">
        <v>499.83333333333337</v>
      </c>
      <c r="J45" s="89">
        <f t="shared" si="2"/>
        <v>7902.586666666667</v>
      </c>
      <c r="M45" s="96"/>
    </row>
    <row r="46" spans="2:13" s="73" customFormat="1" ht="15">
      <c r="B46" s="85">
        <f t="shared" si="0"/>
        <v>41</v>
      </c>
      <c r="C46" s="73" t="s">
        <v>80</v>
      </c>
      <c r="D46" s="73" t="s">
        <v>79</v>
      </c>
      <c r="E46" s="88"/>
      <c r="F46" s="88" t="s">
        <v>82</v>
      </c>
      <c r="G46" s="86">
        <v>44641</v>
      </c>
      <c r="H46" s="86">
        <v>44641</v>
      </c>
      <c r="I46" s="76">
        <v>-654.39</v>
      </c>
      <c r="J46" s="89">
        <f t="shared" si="2"/>
        <v>7248.1966666666667</v>
      </c>
      <c r="M46" s="96"/>
    </row>
    <row r="47" spans="2:13" s="73" customFormat="1" ht="15">
      <c r="B47" s="85">
        <f t="shared" si="0"/>
        <v>42</v>
      </c>
      <c r="C47" s="73" t="s">
        <v>151</v>
      </c>
      <c r="D47" s="73" t="s">
        <v>79</v>
      </c>
      <c r="E47" s="88"/>
      <c r="F47" s="88" t="s">
        <v>103</v>
      </c>
      <c r="G47" s="86">
        <v>44641</v>
      </c>
      <c r="H47" s="86">
        <v>44641</v>
      </c>
      <c r="I47" s="76">
        <v>-178.33</v>
      </c>
      <c r="J47" s="89">
        <f t="shared" si="2"/>
        <v>7069.8666666666668</v>
      </c>
      <c r="L47" s="78"/>
      <c r="M47" s="105"/>
    </row>
    <row r="48" spans="2:13" s="73" customFormat="1" ht="15">
      <c r="B48" s="85">
        <f t="shared" si="0"/>
        <v>43</v>
      </c>
      <c r="C48" s="73" t="s">
        <v>76</v>
      </c>
      <c r="D48" s="73" t="s">
        <v>65</v>
      </c>
      <c r="E48" s="88" t="s">
        <v>65</v>
      </c>
      <c r="F48" s="88"/>
      <c r="G48" s="86">
        <v>44644</v>
      </c>
      <c r="H48" s="86">
        <v>44644</v>
      </c>
      <c r="I48" s="76">
        <v>508.1966666666666</v>
      </c>
      <c r="J48" s="89">
        <f t="shared" si="2"/>
        <v>7578.0633333333335</v>
      </c>
      <c r="M48" s="96"/>
    </row>
    <row r="49" spans="2:13" s="73" customFormat="1" ht="15">
      <c r="B49" s="85">
        <f t="shared" si="0"/>
        <v>44</v>
      </c>
      <c r="C49" s="73" t="s">
        <v>76</v>
      </c>
      <c r="D49" s="73" t="s">
        <v>79</v>
      </c>
      <c r="E49" s="88" t="s">
        <v>54</v>
      </c>
      <c r="F49" s="88"/>
      <c r="G49" s="86">
        <v>44644</v>
      </c>
      <c r="H49" s="86">
        <v>44644</v>
      </c>
      <c r="I49" s="128">
        <v>-3997.87</v>
      </c>
      <c r="J49" s="89">
        <f t="shared" si="2"/>
        <v>3580.1933333333336</v>
      </c>
      <c r="M49" s="96"/>
    </row>
    <row r="50" spans="2:13" s="73" customFormat="1" ht="15">
      <c r="B50" s="85">
        <f>B48+1</f>
        <v>44</v>
      </c>
      <c r="C50" s="73" t="s">
        <v>66</v>
      </c>
      <c r="D50" s="73" t="s">
        <v>83</v>
      </c>
      <c r="E50" s="88"/>
      <c r="F50" s="88" t="s">
        <v>83</v>
      </c>
      <c r="G50" s="86">
        <v>44651</v>
      </c>
      <c r="H50" s="86">
        <v>44651</v>
      </c>
      <c r="I50" s="76">
        <v>-69.150000000000006</v>
      </c>
      <c r="J50" s="89">
        <f t="shared" si="2"/>
        <v>3511.0433333333335</v>
      </c>
      <c r="M50" s="96"/>
    </row>
    <row r="51" spans="2:13" s="73" customFormat="1" ht="15">
      <c r="B51" s="85">
        <f>B49+1</f>
        <v>45</v>
      </c>
      <c r="C51" s="73" t="s">
        <v>66</v>
      </c>
      <c r="D51" s="73" t="s">
        <v>83</v>
      </c>
      <c r="E51" s="88"/>
      <c r="F51" s="88" t="s">
        <v>83</v>
      </c>
      <c r="G51" s="86">
        <v>44651</v>
      </c>
      <c r="H51" s="86">
        <v>44651</v>
      </c>
      <c r="I51" s="76">
        <v>-1.4</v>
      </c>
      <c r="J51" s="89">
        <f t="shared" si="2"/>
        <v>3509.6433333333334</v>
      </c>
      <c r="M51" s="96"/>
    </row>
    <row r="52" spans="2:13" s="73" customFormat="1" ht="15">
      <c r="B52" s="85">
        <f t="shared" ref="B52:B61" si="3">B51+1</f>
        <v>46</v>
      </c>
      <c r="C52" s="73" t="s">
        <v>66</v>
      </c>
      <c r="D52" s="73" t="s">
        <v>83</v>
      </c>
      <c r="E52" s="88"/>
      <c r="F52" s="88" t="s">
        <v>83</v>
      </c>
      <c r="G52" s="86">
        <v>44652</v>
      </c>
      <c r="H52" s="86">
        <v>44652</v>
      </c>
      <c r="I52" s="76">
        <v>-19.899999999999999</v>
      </c>
      <c r="J52" s="89">
        <f t="shared" si="2"/>
        <v>3489.7433333333333</v>
      </c>
      <c r="M52" s="96"/>
    </row>
    <row r="53" spans="2:13" s="73" customFormat="1" ht="15">
      <c r="B53" s="85">
        <f t="shared" si="3"/>
        <v>47</v>
      </c>
      <c r="C53" s="73" t="s">
        <v>80</v>
      </c>
      <c r="D53" s="73" t="s">
        <v>79</v>
      </c>
      <c r="E53" s="88"/>
      <c r="F53" s="88" t="s">
        <v>113</v>
      </c>
      <c r="G53" s="86">
        <v>44670</v>
      </c>
      <c r="H53" s="86">
        <v>44670</v>
      </c>
      <c r="I53" s="76">
        <v>-87.75</v>
      </c>
      <c r="J53" s="89">
        <f t="shared" si="2"/>
        <v>3401.9933333333333</v>
      </c>
      <c r="M53" s="96"/>
    </row>
    <row r="54" spans="2:13" s="73" customFormat="1" ht="15">
      <c r="B54" s="85">
        <f t="shared" si="3"/>
        <v>48</v>
      </c>
      <c r="C54" s="73" t="s">
        <v>200</v>
      </c>
      <c r="D54" s="73" t="s">
        <v>79</v>
      </c>
      <c r="E54" s="88"/>
      <c r="F54" s="88" t="s">
        <v>103</v>
      </c>
      <c r="G54" s="86">
        <v>44672</v>
      </c>
      <c r="H54" s="86">
        <v>44672</v>
      </c>
      <c r="I54" s="76">
        <v>-2465.1</v>
      </c>
      <c r="J54" s="89">
        <f t="shared" si="2"/>
        <v>936.89333333333343</v>
      </c>
      <c r="M54" s="96"/>
    </row>
    <row r="55" spans="2:13" s="73" customFormat="1" ht="15">
      <c r="B55" s="85">
        <f t="shared" si="3"/>
        <v>49</v>
      </c>
      <c r="C55" s="73" t="s">
        <v>201</v>
      </c>
      <c r="D55" s="73" t="s">
        <v>79</v>
      </c>
      <c r="E55" s="88"/>
      <c r="F55" s="88" t="s">
        <v>103</v>
      </c>
      <c r="G55" s="86">
        <v>44672</v>
      </c>
      <c r="H55" s="86">
        <v>44672</v>
      </c>
      <c r="I55" s="76">
        <v>2465.1</v>
      </c>
      <c r="J55" s="89">
        <f t="shared" si="2"/>
        <v>3401.9933333333333</v>
      </c>
      <c r="M55" s="96"/>
    </row>
    <row r="56" spans="2:13" s="73" customFormat="1" ht="15">
      <c r="B56" s="85">
        <f t="shared" si="3"/>
        <v>50</v>
      </c>
      <c r="C56" s="73" t="s">
        <v>66</v>
      </c>
      <c r="D56" s="73" t="s">
        <v>83</v>
      </c>
      <c r="E56" s="88"/>
      <c r="F56" s="88" t="s">
        <v>83</v>
      </c>
      <c r="G56" s="86">
        <v>44683</v>
      </c>
      <c r="H56" s="86">
        <v>44683</v>
      </c>
      <c r="I56" s="76">
        <v>-20.3</v>
      </c>
      <c r="J56" s="89">
        <f t="shared" si="2"/>
        <v>3381.6933333333332</v>
      </c>
      <c r="M56" s="96"/>
    </row>
    <row r="57" spans="2:13" s="73" customFormat="1" ht="15">
      <c r="B57" s="85">
        <f t="shared" si="3"/>
        <v>51</v>
      </c>
      <c r="C57" s="73" t="s">
        <v>80</v>
      </c>
      <c r="D57" s="73" t="s">
        <v>79</v>
      </c>
      <c r="E57" s="88"/>
      <c r="F57" s="88" t="s">
        <v>82</v>
      </c>
      <c r="G57" s="86">
        <v>44699</v>
      </c>
      <c r="H57" s="86">
        <v>44699</v>
      </c>
      <c r="I57" s="76">
        <v>-25</v>
      </c>
      <c r="J57" s="89">
        <f t="shared" si="2"/>
        <v>3356.6933333333332</v>
      </c>
      <c r="M57" s="96"/>
    </row>
    <row r="58" spans="2:13" s="73" customFormat="1" ht="15">
      <c r="B58" s="85">
        <f t="shared" si="3"/>
        <v>52</v>
      </c>
      <c r="C58" s="73" t="s">
        <v>80</v>
      </c>
      <c r="D58" s="73" t="s">
        <v>79</v>
      </c>
      <c r="E58" s="88"/>
      <c r="F58" s="88" t="s">
        <v>117</v>
      </c>
      <c r="G58" s="86">
        <v>44701</v>
      </c>
      <c r="H58" s="86">
        <v>44701</v>
      </c>
      <c r="I58" s="76">
        <v>-20</v>
      </c>
      <c r="J58" s="89">
        <f t="shared" si="2"/>
        <v>3336.6933333333332</v>
      </c>
      <c r="M58" s="96"/>
    </row>
    <row r="59" spans="2:13" s="73" customFormat="1" ht="15">
      <c r="B59" s="85">
        <f t="shared" si="3"/>
        <v>53</v>
      </c>
      <c r="C59" s="73" t="s">
        <v>80</v>
      </c>
      <c r="D59" s="73" t="s">
        <v>79</v>
      </c>
      <c r="E59" s="88"/>
      <c r="F59" s="88" t="s">
        <v>82</v>
      </c>
      <c r="G59" s="86">
        <v>44708</v>
      </c>
      <c r="H59" s="86">
        <v>44708</v>
      </c>
      <c r="I59" s="76">
        <v>-153.9</v>
      </c>
      <c r="J59" s="89">
        <f t="shared" si="2"/>
        <v>3182.7933333333331</v>
      </c>
      <c r="M59" s="96"/>
    </row>
    <row r="60" spans="2:13" s="73" customFormat="1" ht="15">
      <c r="B60" s="85">
        <f t="shared" si="3"/>
        <v>54</v>
      </c>
      <c r="C60" s="73" t="s">
        <v>66</v>
      </c>
      <c r="D60" s="73" t="s">
        <v>83</v>
      </c>
      <c r="E60" s="88"/>
      <c r="F60" s="88" t="s">
        <v>83</v>
      </c>
      <c r="G60" s="86">
        <v>44713</v>
      </c>
      <c r="H60" s="86">
        <v>44713</v>
      </c>
      <c r="I60" s="76">
        <v>-20.5</v>
      </c>
      <c r="J60" s="89">
        <f t="shared" si="2"/>
        <v>3162.2933333333331</v>
      </c>
      <c r="M60" s="96"/>
    </row>
    <row r="61" spans="2:13" s="73" customFormat="1" ht="15">
      <c r="B61" s="85">
        <f t="shared" si="3"/>
        <v>55</v>
      </c>
      <c r="C61" s="73" t="s">
        <v>80</v>
      </c>
      <c r="D61" s="73" t="s">
        <v>79</v>
      </c>
      <c r="E61" s="88"/>
      <c r="F61" s="88" t="s">
        <v>124</v>
      </c>
      <c r="G61" s="86">
        <v>44729</v>
      </c>
      <c r="H61" s="86">
        <v>44729</v>
      </c>
      <c r="I61" s="76">
        <v>-75</v>
      </c>
      <c r="J61" s="89">
        <f t="shared" si="2"/>
        <v>3087.2933333333331</v>
      </c>
      <c r="M61" s="96"/>
    </row>
    <row r="62" spans="2:13" s="73" customFormat="1" ht="15">
      <c r="B62" s="85">
        <f>B60+1</f>
        <v>55</v>
      </c>
      <c r="C62" s="73" t="s">
        <v>66</v>
      </c>
      <c r="D62" s="73" t="s">
        <v>83</v>
      </c>
      <c r="E62" s="88"/>
      <c r="F62" s="88" t="s">
        <v>83</v>
      </c>
      <c r="G62" s="86">
        <v>44742</v>
      </c>
      <c r="H62" s="86">
        <v>44742</v>
      </c>
      <c r="I62" s="76">
        <v>-47.35</v>
      </c>
      <c r="J62" s="89">
        <f t="shared" si="2"/>
        <v>3039.9433333333332</v>
      </c>
      <c r="M62" s="96"/>
    </row>
    <row r="63" spans="2:13" s="73" customFormat="1" ht="15">
      <c r="B63" s="85">
        <f>B61+1</f>
        <v>56</v>
      </c>
      <c r="C63" s="73" t="s">
        <v>66</v>
      </c>
      <c r="D63" s="73" t="s">
        <v>83</v>
      </c>
      <c r="E63" s="88"/>
      <c r="F63" s="88" t="s">
        <v>83</v>
      </c>
      <c r="G63" s="86">
        <v>44742</v>
      </c>
      <c r="H63" s="86">
        <v>44742</v>
      </c>
      <c r="I63" s="76">
        <v>-0.2</v>
      </c>
      <c r="J63" s="89">
        <f t="shared" si="2"/>
        <v>3039.7433333333333</v>
      </c>
      <c r="M63" s="96"/>
    </row>
    <row r="64" spans="2:13" s="73" customFormat="1" ht="15">
      <c r="B64" s="85">
        <f t="shared" ref="B64:B95" si="4">B63+1</f>
        <v>57</v>
      </c>
      <c r="C64" s="73" t="s">
        <v>66</v>
      </c>
      <c r="D64" s="73" t="s">
        <v>83</v>
      </c>
      <c r="E64" s="88"/>
      <c r="F64" s="88" t="s">
        <v>83</v>
      </c>
      <c r="G64" s="86">
        <v>44743</v>
      </c>
      <c r="H64" s="86">
        <v>44743</v>
      </c>
      <c r="I64" s="76">
        <v>-19.899999999999999</v>
      </c>
      <c r="J64" s="89">
        <f t="shared" si="2"/>
        <v>3019.8433333333332</v>
      </c>
      <c r="M64" s="96"/>
    </row>
    <row r="65" spans="2:13" s="73" customFormat="1" ht="15">
      <c r="B65" s="85">
        <f t="shared" si="4"/>
        <v>58</v>
      </c>
      <c r="C65" s="73" t="s">
        <v>151</v>
      </c>
      <c r="D65" s="73" t="s">
        <v>79</v>
      </c>
      <c r="E65" s="88"/>
      <c r="F65" s="88" t="s">
        <v>103</v>
      </c>
      <c r="G65" s="86">
        <v>44756</v>
      </c>
      <c r="H65" s="86">
        <v>44756</v>
      </c>
      <c r="I65" s="76">
        <v>-178.33</v>
      </c>
      <c r="J65" s="89">
        <f t="shared" si="2"/>
        <v>2841.5133333333333</v>
      </c>
      <c r="L65" s="78"/>
      <c r="M65" s="105"/>
    </row>
    <row r="66" spans="2:13" s="73" customFormat="1" ht="15">
      <c r="B66" s="85">
        <f t="shared" si="4"/>
        <v>59</v>
      </c>
      <c r="C66" s="73" t="s">
        <v>125</v>
      </c>
      <c r="D66" s="73" t="s">
        <v>79</v>
      </c>
      <c r="E66" s="88"/>
      <c r="F66" s="88" t="s">
        <v>126</v>
      </c>
      <c r="G66" s="86">
        <v>44756</v>
      </c>
      <c r="H66" s="86">
        <v>44756</v>
      </c>
      <c r="I66" s="76">
        <v>-350</v>
      </c>
      <c r="J66" s="89">
        <f t="shared" si="2"/>
        <v>2491.5133333333333</v>
      </c>
      <c r="M66" s="96"/>
    </row>
    <row r="67" spans="2:13" s="73" customFormat="1" ht="15">
      <c r="B67" s="85">
        <f t="shared" si="4"/>
        <v>60</v>
      </c>
      <c r="C67" s="73" t="s">
        <v>66</v>
      </c>
      <c r="D67" s="73" t="s">
        <v>83</v>
      </c>
      <c r="E67" s="88"/>
      <c r="F67" s="88" t="s">
        <v>83</v>
      </c>
      <c r="G67" s="86">
        <v>44774</v>
      </c>
      <c r="H67" s="86">
        <v>44774</v>
      </c>
      <c r="I67" s="76">
        <v>-20.3</v>
      </c>
      <c r="J67" s="89">
        <f t="shared" si="2"/>
        <v>2471.2133333333331</v>
      </c>
      <c r="M67" s="96"/>
    </row>
    <row r="68" spans="2:13" s="73" customFormat="1" ht="15">
      <c r="B68" s="85">
        <f t="shared" si="4"/>
        <v>61</v>
      </c>
      <c r="C68" s="73" t="s">
        <v>66</v>
      </c>
      <c r="D68" s="73" t="s">
        <v>83</v>
      </c>
      <c r="E68" s="88"/>
      <c r="F68" s="88" t="s">
        <v>83</v>
      </c>
      <c r="G68" s="86">
        <v>44805</v>
      </c>
      <c r="H68" s="86">
        <v>44805</v>
      </c>
      <c r="I68" s="76">
        <v>-19.899999999999999</v>
      </c>
      <c r="J68" s="89">
        <f t="shared" si="2"/>
        <v>2451.313333333333</v>
      </c>
      <c r="M68" s="96"/>
    </row>
    <row r="69" spans="2:13" s="73" customFormat="1" ht="15">
      <c r="B69" s="85">
        <f t="shared" si="4"/>
        <v>62</v>
      </c>
      <c r="C69" s="73" t="s">
        <v>66</v>
      </c>
      <c r="D69" s="73" t="s">
        <v>83</v>
      </c>
      <c r="E69" s="88"/>
      <c r="F69" s="88" t="s">
        <v>83</v>
      </c>
      <c r="G69" s="86">
        <v>44834</v>
      </c>
      <c r="H69" s="86">
        <v>44834</v>
      </c>
      <c r="I69" s="76">
        <v>-42.47</v>
      </c>
      <c r="J69" s="89">
        <f t="shared" si="2"/>
        <v>2408.8433333333332</v>
      </c>
      <c r="M69" s="96"/>
    </row>
    <row r="70" spans="2:13" s="73" customFormat="1" ht="15">
      <c r="B70" s="85">
        <f t="shared" si="4"/>
        <v>63</v>
      </c>
      <c r="C70" s="73" t="s">
        <v>66</v>
      </c>
      <c r="D70" s="73" t="s">
        <v>83</v>
      </c>
      <c r="E70" s="88"/>
      <c r="F70" s="88" t="s">
        <v>83</v>
      </c>
      <c r="G70" s="86">
        <v>44835</v>
      </c>
      <c r="H70" s="86">
        <v>44835</v>
      </c>
      <c r="I70" s="76">
        <v>-19.899999999999999</v>
      </c>
      <c r="J70" s="89">
        <f t="shared" si="2"/>
        <v>2388.9433333333332</v>
      </c>
      <c r="M70" s="96"/>
    </row>
    <row r="71" spans="2:13" s="73" customFormat="1" ht="15">
      <c r="B71" s="85">
        <f t="shared" si="4"/>
        <v>64</v>
      </c>
      <c r="C71" s="73" t="s">
        <v>151</v>
      </c>
      <c r="D71" s="73" t="s">
        <v>79</v>
      </c>
      <c r="E71" s="88"/>
      <c r="F71" s="88" t="s">
        <v>103</v>
      </c>
      <c r="G71" s="86">
        <v>44865</v>
      </c>
      <c r="H71" s="86">
        <v>44865</v>
      </c>
      <c r="I71" s="76">
        <v>-178.33</v>
      </c>
      <c r="J71" s="89">
        <f t="shared" ref="J71:J102" si="5">IF(I71="",".",J70+I71)</f>
        <v>2210.6133333333332</v>
      </c>
      <c r="L71" s="78"/>
      <c r="M71" s="105"/>
    </row>
    <row r="72" spans="2:13" s="73" customFormat="1" ht="15">
      <c r="B72" s="85">
        <f t="shared" si="4"/>
        <v>65</v>
      </c>
      <c r="C72" s="73" t="s">
        <v>66</v>
      </c>
      <c r="D72" s="73" t="s">
        <v>83</v>
      </c>
      <c r="E72" s="88"/>
      <c r="F72" s="88" t="s">
        <v>83</v>
      </c>
      <c r="G72" s="86">
        <v>44866</v>
      </c>
      <c r="H72" s="86">
        <v>44866</v>
      </c>
      <c r="I72" s="76">
        <v>-20.100000000000001</v>
      </c>
      <c r="J72" s="89">
        <f t="shared" si="5"/>
        <v>2190.5133333333333</v>
      </c>
      <c r="M72" s="96"/>
    </row>
    <row r="73" spans="2:13" s="73" customFormat="1" ht="15">
      <c r="B73" s="85">
        <f t="shared" si="4"/>
        <v>66</v>
      </c>
      <c r="C73" s="73" t="s">
        <v>66</v>
      </c>
      <c r="D73" s="73" t="s">
        <v>83</v>
      </c>
      <c r="E73" s="88"/>
      <c r="F73" s="88" t="s">
        <v>83</v>
      </c>
      <c r="G73" s="86">
        <v>44896</v>
      </c>
      <c r="H73" s="86">
        <v>44896</v>
      </c>
      <c r="I73" s="76">
        <v>-19.899999999999999</v>
      </c>
      <c r="J73" s="89">
        <f t="shared" si="5"/>
        <v>2170.6133333333332</v>
      </c>
      <c r="M73" s="96"/>
    </row>
    <row r="74" spans="2:13" s="73" customFormat="1" ht="15">
      <c r="B74" s="90">
        <f t="shared" si="4"/>
        <v>67</v>
      </c>
      <c r="C74" s="91" t="s">
        <v>66</v>
      </c>
      <c r="D74" s="91" t="s">
        <v>83</v>
      </c>
      <c r="E74" s="92"/>
      <c r="F74" s="92" t="s">
        <v>83</v>
      </c>
      <c r="G74" s="93">
        <v>44926</v>
      </c>
      <c r="H74" s="93">
        <v>44926</v>
      </c>
      <c r="I74" s="94">
        <v>-40</v>
      </c>
      <c r="J74" s="95">
        <f t="shared" si="5"/>
        <v>2130.6133333333332</v>
      </c>
      <c r="M74" s="96"/>
    </row>
    <row r="75" spans="2:13" s="73" customFormat="1" ht="15">
      <c r="B75" s="85">
        <f t="shared" si="4"/>
        <v>68</v>
      </c>
      <c r="C75" s="73" t="s">
        <v>66</v>
      </c>
      <c r="D75" s="73" t="s">
        <v>83</v>
      </c>
      <c r="E75" s="88"/>
      <c r="F75" s="88" t="s">
        <v>83</v>
      </c>
      <c r="G75" s="86">
        <v>44928</v>
      </c>
      <c r="H75" s="86">
        <v>44928</v>
      </c>
      <c r="I75" s="76">
        <v>-19.899999999999999</v>
      </c>
      <c r="J75" s="89">
        <f t="shared" si="5"/>
        <v>2110.7133333333331</v>
      </c>
      <c r="M75" s="96"/>
    </row>
    <row r="76" spans="2:13" s="73" customFormat="1" ht="15">
      <c r="B76" s="85">
        <f t="shared" si="4"/>
        <v>69</v>
      </c>
      <c r="C76" s="73" t="s">
        <v>66</v>
      </c>
      <c r="D76" s="73" t="s">
        <v>83</v>
      </c>
      <c r="E76" s="88"/>
      <c r="F76" s="88" t="s">
        <v>83</v>
      </c>
      <c r="G76" s="86">
        <v>44958</v>
      </c>
      <c r="H76" s="86">
        <v>44958</v>
      </c>
      <c r="I76" s="76">
        <v>-19.899999999999999</v>
      </c>
      <c r="J76" s="89">
        <f t="shared" si="5"/>
        <v>2090.813333333333</v>
      </c>
      <c r="M76" s="96"/>
    </row>
    <row r="77" spans="2:13" s="73" customFormat="1" ht="15">
      <c r="B77" s="85">
        <f t="shared" si="4"/>
        <v>70</v>
      </c>
      <c r="C77" s="73" t="s">
        <v>66</v>
      </c>
      <c r="D77" s="73" t="s">
        <v>83</v>
      </c>
      <c r="E77" s="88"/>
      <c r="F77" s="88" t="s">
        <v>83</v>
      </c>
      <c r="G77" s="86">
        <v>44986</v>
      </c>
      <c r="H77" s="86">
        <v>44986</v>
      </c>
      <c r="I77" s="76">
        <v>-19.899999999999999</v>
      </c>
      <c r="J77" s="89">
        <f t="shared" si="5"/>
        <v>2070.913333333333</v>
      </c>
      <c r="M77" s="96"/>
    </row>
    <row r="78" spans="2:13" s="73" customFormat="1" ht="15">
      <c r="B78" s="85">
        <f t="shared" si="4"/>
        <v>71</v>
      </c>
      <c r="C78" s="73" t="s">
        <v>66</v>
      </c>
      <c r="D78" s="73" t="s">
        <v>83</v>
      </c>
      <c r="E78" s="88"/>
      <c r="F78" s="88" t="s">
        <v>83</v>
      </c>
      <c r="G78" s="86">
        <v>45016</v>
      </c>
      <c r="H78" s="86">
        <v>45016</v>
      </c>
      <c r="I78" s="76">
        <v>-40</v>
      </c>
      <c r="J78" s="89">
        <f t="shared" si="5"/>
        <v>2030.913333333333</v>
      </c>
      <c r="M78" s="96"/>
    </row>
    <row r="79" spans="2:13" s="73" customFormat="1" ht="15">
      <c r="B79" s="85">
        <f t="shared" si="4"/>
        <v>72</v>
      </c>
      <c r="C79" s="73" t="s">
        <v>66</v>
      </c>
      <c r="D79" s="73" t="s">
        <v>83</v>
      </c>
      <c r="E79" s="88"/>
      <c r="F79" s="88" t="s">
        <v>83</v>
      </c>
      <c r="G79" s="86">
        <v>45017</v>
      </c>
      <c r="H79" s="86">
        <v>45017</v>
      </c>
      <c r="I79" s="76">
        <v>-19.899999999999999</v>
      </c>
      <c r="J79" s="89">
        <f t="shared" si="5"/>
        <v>2011.0133333333329</v>
      </c>
      <c r="M79" s="96"/>
    </row>
    <row r="80" spans="2:13" s="73" customFormat="1" ht="15">
      <c r="B80" s="85">
        <f t="shared" si="4"/>
        <v>73</v>
      </c>
      <c r="C80" s="73" t="s">
        <v>66</v>
      </c>
      <c r="D80" s="73" t="s">
        <v>83</v>
      </c>
      <c r="E80" s="88"/>
      <c r="F80" s="88" t="s">
        <v>83</v>
      </c>
      <c r="G80" s="86">
        <v>45047</v>
      </c>
      <c r="H80" s="86">
        <v>45047</v>
      </c>
      <c r="I80" s="76">
        <v>-19.899999999999999</v>
      </c>
      <c r="J80" s="89">
        <f t="shared" si="5"/>
        <v>1991.1133333333328</v>
      </c>
      <c r="M80" s="96"/>
    </row>
    <row r="81" spans="2:13" s="73" customFormat="1" ht="15">
      <c r="B81" s="85">
        <f t="shared" si="4"/>
        <v>74</v>
      </c>
      <c r="C81" s="73" t="s">
        <v>66</v>
      </c>
      <c r="D81" s="73" t="s">
        <v>83</v>
      </c>
      <c r="E81" s="88"/>
      <c r="F81" s="88" t="s">
        <v>83</v>
      </c>
      <c r="G81" s="86">
        <v>45078</v>
      </c>
      <c r="H81" s="86">
        <v>45078</v>
      </c>
      <c r="I81" s="76">
        <v>-19.899999999999999</v>
      </c>
      <c r="J81" s="89">
        <f t="shared" si="5"/>
        <v>1971.2133333333327</v>
      </c>
      <c r="M81" s="96"/>
    </row>
    <row r="82" spans="2:13" s="73" customFormat="1" ht="15">
      <c r="B82" s="85">
        <f t="shared" si="4"/>
        <v>75</v>
      </c>
      <c r="C82" s="73" t="s">
        <v>76</v>
      </c>
      <c r="D82" s="73" t="s">
        <v>54</v>
      </c>
      <c r="E82" s="88" t="s">
        <v>54</v>
      </c>
      <c r="F82" s="78" t="s">
        <v>79</v>
      </c>
      <c r="G82" s="86">
        <v>45086</v>
      </c>
      <c r="H82" s="86">
        <v>45086</v>
      </c>
      <c r="I82" s="76">
        <v>12000</v>
      </c>
      <c r="J82" s="89">
        <f t="shared" si="5"/>
        <v>13971.213333333333</v>
      </c>
      <c r="L82" s="73" t="s">
        <v>244</v>
      </c>
      <c r="M82" s="96"/>
    </row>
    <row r="83" spans="2:13" s="73" customFormat="1" ht="15">
      <c r="B83" s="85">
        <f t="shared" si="4"/>
        <v>76</v>
      </c>
      <c r="C83" s="73" t="s">
        <v>152</v>
      </c>
      <c r="D83" s="73" t="s">
        <v>79</v>
      </c>
      <c r="E83" s="88"/>
      <c r="F83" s="88" t="s">
        <v>103</v>
      </c>
      <c r="G83" s="86">
        <v>45086</v>
      </c>
      <c r="H83" s="86">
        <v>45086</v>
      </c>
      <c r="I83" s="76">
        <v>-133.75</v>
      </c>
      <c r="J83" s="89">
        <f t="shared" si="5"/>
        <v>13837.463333333333</v>
      </c>
      <c r="L83" s="77"/>
      <c r="M83" s="106"/>
    </row>
    <row r="84" spans="2:13" s="73" customFormat="1" ht="15">
      <c r="B84" s="85">
        <f t="shared" si="4"/>
        <v>77</v>
      </c>
      <c r="C84" s="73" t="s">
        <v>152</v>
      </c>
      <c r="D84" s="73" t="s">
        <v>79</v>
      </c>
      <c r="E84" s="88"/>
      <c r="F84" s="88" t="s">
        <v>103</v>
      </c>
      <c r="G84" s="86">
        <v>45086</v>
      </c>
      <c r="H84" s="86">
        <v>45086</v>
      </c>
      <c r="I84" s="76">
        <v>-133.75</v>
      </c>
      <c r="J84" s="89">
        <f t="shared" si="5"/>
        <v>13703.713333333333</v>
      </c>
      <c r="L84" s="77"/>
      <c r="M84" s="106"/>
    </row>
    <row r="85" spans="2:13" s="73" customFormat="1" ht="15">
      <c r="B85" s="85">
        <f t="shared" si="4"/>
        <v>78</v>
      </c>
      <c r="C85" s="73" t="s">
        <v>151</v>
      </c>
      <c r="D85" s="73" t="s">
        <v>79</v>
      </c>
      <c r="E85" s="88"/>
      <c r="F85" s="88" t="s">
        <v>103</v>
      </c>
      <c r="G85" s="86">
        <v>45089</v>
      </c>
      <c r="H85" s="86">
        <v>45089</v>
      </c>
      <c r="I85" s="76">
        <v>-4280.01</v>
      </c>
      <c r="J85" s="89">
        <f t="shared" si="5"/>
        <v>9423.7033333333329</v>
      </c>
      <c r="L85" s="77"/>
      <c r="M85" s="106"/>
    </row>
    <row r="86" spans="2:13" s="73" customFormat="1" ht="15">
      <c r="B86" s="85">
        <f t="shared" si="4"/>
        <v>79</v>
      </c>
      <c r="C86" s="73" t="s">
        <v>80</v>
      </c>
      <c r="D86" s="73" t="s">
        <v>79</v>
      </c>
      <c r="E86" s="88"/>
      <c r="F86" s="88" t="s">
        <v>155</v>
      </c>
      <c r="G86" s="86">
        <v>45089</v>
      </c>
      <c r="H86" s="86">
        <v>45089</v>
      </c>
      <c r="I86" s="76">
        <v>-6380</v>
      </c>
      <c r="J86" s="89">
        <f t="shared" si="5"/>
        <v>3043.7033333333329</v>
      </c>
      <c r="M86" s="96"/>
    </row>
    <row r="87" spans="2:13" s="73" customFormat="1" ht="15">
      <c r="B87" s="85">
        <f t="shared" si="4"/>
        <v>80</v>
      </c>
      <c r="C87" s="73" t="s">
        <v>76</v>
      </c>
      <c r="D87" s="73" t="s">
        <v>54</v>
      </c>
      <c r="E87" s="88" t="s">
        <v>54</v>
      </c>
      <c r="F87" s="78" t="s">
        <v>79</v>
      </c>
      <c r="G87" s="86">
        <v>45090</v>
      </c>
      <c r="H87" s="86">
        <v>45090</v>
      </c>
      <c r="I87" s="76">
        <v>5000</v>
      </c>
      <c r="J87" s="89">
        <f t="shared" si="5"/>
        <v>8043.7033333333329</v>
      </c>
      <c r="L87" s="73" t="s">
        <v>244</v>
      </c>
      <c r="M87" s="96"/>
    </row>
    <row r="88" spans="2:13" s="73" customFormat="1" ht="15">
      <c r="B88" s="85">
        <f t="shared" si="4"/>
        <v>81</v>
      </c>
      <c r="C88" s="73" t="s">
        <v>76</v>
      </c>
      <c r="D88" s="73" t="s">
        <v>79</v>
      </c>
      <c r="E88" s="88" t="s">
        <v>54</v>
      </c>
      <c r="F88" s="88"/>
      <c r="G88" s="86">
        <v>45091</v>
      </c>
      <c r="H88" s="86">
        <v>45091</v>
      </c>
      <c r="I88" s="128">
        <v>-2863.55</v>
      </c>
      <c r="J88" s="89">
        <f t="shared" si="5"/>
        <v>5180.1533333333327</v>
      </c>
      <c r="M88" s="96"/>
    </row>
    <row r="89" spans="2:13" s="73" customFormat="1" ht="15">
      <c r="B89" s="85">
        <f t="shared" si="4"/>
        <v>82</v>
      </c>
      <c r="C89" s="73" t="s">
        <v>76</v>
      </c>
      <c r="D89" s="73" t="s">
        <v>79</v>
      </c>
      <c r="E89" s="88" t="s">
        <v>54</v>
      </c>
      <c r="F89" s="88"/>
      <c r="G89" s="86">
        <v>45091</v>
      </c>
      <c r="H89" s="86">
        <v>45091</v>
      </c>
      <c r="I89" s="128">
        <v>-2009.03</v>
      </c>
      <c r="J89" s="89">
        <f t="shared" si="5"/>
        <v>3171.123333333333</v>
      </c>
      <c r="M89" s="96"/>
    </row>
    <row r="90" spans="2:13" s="73" customFormat="1" ht="15">
      <c r="B90" s="85">
        <f t="shared" si="4"/>
        <v>83</v>
      </c>
      <c r="C90" s="73" t="s">
        <v>66</v>
      </c>
      <c r="D90" s="73" t="s">
        <v>83</v>
      </c>
      <c r="E90" s="88"/>
      <c r="F90" s="88" t="s">
        <v>83</v>
      </c>
      <c r="G90" s="86">
        <v>45107</v>
      </c>
      <c r="H90" s="86">
        <v>45107</v>
      </c>
      <c r="I90" s="76">
        <v>-1.2</v>
      </c>
      <c r="J90" s="89">
        <f t="shared" si="5"/>
        <v>3169.9233333333332</v>
      </c>
      <c r="M90" s="96"/>
    </row>
    <row r="91" spans="2:13" s="73" customFormat="1" ht="15">
      <c r="B91" s="85">
        <f t="shared" si="4"/>
        <v>84</v>
      </c>
      <c r="C91" s="73" t="s">
        <v>66</v>
      </c>
      <c r="D91" s="73" t="s">
        <v>83</v>
      </c>
      <c r="E91" s="88"/>
      <c r="F91" s="88" t="s">
        <v>83</v>
      </c>
      <c r="G91" s="86">
        <v>45107</v>
      </c>
      <c r="H91" s="86">
        <v>45107</v>
      </c>
      <c r="I91" s="76">
        <v>-51.56</v>
      </c>
      <c r="J91" s="89">
        <f t="shared" si="5"/>
        <v>3118.3633333333332</v>
      </c>
      <c r="M91" s="96"/>
    </row>
    <row r="92" spans="2:13" s="73" customFormat="1" ht="15">
      <c r="B92" s="85">
        <f t="shared" si="4"/>
        <v>85</v>
      </c>
      <c r="C92" s="73" t="s">
        <v>66</v>
      </c>
      <c r="D92" s="73" t="s">
        <v>83</v>
      </c>
      <c r="E92" s="88"/>
      <c r="F92" s="88" t="s">
        <v>83</v>
      </c>
      <c r="G92" s="86">
        <v>45108</v>
      </c>
      <c r="H92" s="86">
        <v>45108</v>
      </c>
      <c r="I92" s="76">
        <v>-19.899999999999999</v>
      </c>
      <c r="J92" s="89">
        <f t="shared" si="5"/>
        <v>3098.4633333333331</v>
      </c>
      <c r="M92" s="96"/>
    </row>
    <row r="93" spans="2:13" s="73" customFormat="1" ht="15">
      <c r="B93" s="85">
        <f t="shared" si="4"/>
        <v>86</v>
      </c>
      <c r="C93" s="73" t="s">
        <v>66</v>
      </c>
      <c r="D93" s="73" t="s">
        <v>83</v>
      </c>
      <c r="E93" s="88"/>
      <c r="F93" s="88" t="s">
        <v>83</v>
      </c>
      <c r="G93" s="86">
        <v>45139</v>
      </c>
      <c r="H93" s="86">
        <v>45139</v>
      </c>
      <c r="I93" s="76">
        <v>-19.899999999999999</v>
      </c>
      <c r="J93" s="89">
        <f t="shared" si="5"/>
        <v>3078.563333333333</v>
      </c>
      <c r="M93" s="96"/>
    </row>
    <row r="94" spans="2:13" s="73" customFormat="1" ht="15">
      <c r="B94" s="85">
        <f t="shared" si="4"/>
        <v>87</v>
      </c>
      <c r="C94" s="73" t="s">
        <v>125</v>
      </c>
      <c r="D94" s="73" t="s">
        <v>79</v>
      </c>
      <c r="E94" s="88"/>
      <c r="F94" s="88" t="s">
        <v>126</v>
      </c>
      <c r="G94" s="86">
        <v>45142</v>
      </c>
      <c r="H94" s="86">
        <v>45142</v>
      </c>
      <c r="I94" s="76">
        <v>-350</v>
      </c>
      <c r="J94" s="89">
        <f t="shared" si="5"/>
        <v>2728.563333333333</v>
      </c>
      <c r="M94" s="96"/>
    </row>
    <row r="95" spans="2:13" s="73" customFormat="1" ht="15">
      <c r="B95" s="85">
        <f t="shared" si="4"/>
        <v>88</v>
      </c>
      <c r="C95" s="73" t="s">
        <v>66</v>
      </c>
      <c r="D95" s="73" t="s">
        <v>83</v>
      </c>
      <c r="E95" s="88"/>
      <c r="F95" s="88" t="s">
        <v>83</v>
      </c>
      <c r="G95" s="86">
        <v>45170</v>
      </c>
      <c r="H95" s="86">
        <v>45170</v>
      </c>
      <c r="I95" s="76">
        <v>-20.100000000000001</v>
      </c>
      <c r="J95" s="89">
        <f t="shared" si="5"/>
        <v>2708.4633333333331</v>
      </c>
      <c r="M95" s="96"/>
    </row>
    <row r="96" spans="2:13" s="73" customFormat="1" ht="15">
      <c r="B96" s="85">
        <f t="shared" ref="B96:B127" si="6">B95+1</f>
        <v>89</v>
      </c>
      <c r="C96" s="73" t="s">
        <v>66</v>
      </c>
      <c r="D96" s="73" t="s">
        <v>83</v>
      </c>
      <c r="E96" s="88"/>
      <c r="F96" s="88" t="s">
        <v>83</v>
      </c>
      <c r="G96" s="86">
        <v>45201</v>
      </c>
      <c r="H96" s="86">
        <v>45201</v>
      </c>
      <c r="I96" s="76">
        <v>-19.899999999999999</v>
      </c>
      <c r="J96" s="89">
        <f t="shared" si="5"/>
        <v>2688.563333333333</v>
      </c>
      <c r="M96" s="96"/>
    </row>
    <row r="97" spans="2:13" s="73" customFormat="1" ht="15">
      <c r="B97" s="85">
        <f t="shared" si="6"/>
        <v>90</v>
      </c>
      <c r="C97" s="73" t="s">
        <v>66</v>
      </c>
      <c r="D97" s="73" t="s">
        <v>83</v>
      </c>
      <c r="E97" s="88"/>
      <c r="F97" s="88" t="s">
        <v>83</v>
      </c>
      <c r="G97" s="86">
        <v>45202</v>
      </c>
      <c r="H97" s="86">
        <v>45202</v>
      </c>
      <c r="I97" s="76">
        <v>-40</v>
      </c>
      <c r="J97" s="89">
        <f t="shared" si="5"/>
        <v>2648.563333333333</v>
      </c>
      <c r="M97" s="96"/>
    </row>
    <row r="98" spans="2:13" s="73" customFormat="1" ht="15">
      <c r="B98" s="85">
        <f t="shared" si="6"/>
        <v>91</v>
      </c>
      <c r="C98" s="73" t="s">
        <v>76</v>
      </c>
      <c r="D98" s="73" t="s">
        <v>54</v>
      </c>
      <c r="E98" s="88" t="s">
        <v>54</v>
      </c>
      <c r="F98" s="78" t="s">
        <v>79</v>
      </c>
      <c r="G98" s="86">
        <v>45223</v>
      </c>
      <c r="H98" s="86">
        <v>45223</v>
      </c>
      <c r="I98" s="76">
        <v>5000</v>
      </c>
      <c r="J98" s="89">
        <f t="shared" si="5"/>
        <v>7648.5633333333335</v>
      </c>
      <c r="L98" s="73" t="s">
        <v>244</v>
      </c>
      <c r="M98" s="96"/>
    </row>
    <row r="99" spans="2:13" s="73" customFormat="1" ht="15">
      <c r="B99" s="85">
        <f t="shared" si="6"/>
        <v>92</v>
      </c>
      <c r="C99" s="73" t="s">
        <v>152</v>
      </c>
      <c r="D99" s="73" t="s">
        <v>79</v>
      </c>
      <c r="E99" s="88"/>
      <c r="F99" s="88" t="s">
        <v>103</v>
      </c>
      <c r="G99" s="86">
        <v>45224</v>
      </c>
      <c r="H99" s="86">
        <v>45224</v>
      </c>
      <c r="I99" s="76">
        <v>-2273.75</v>
      </c>
      <c r="J99" s="89">
        <f t="shared" si="5"/>
        <v>5374.8133333333335</v>
      </c>
      <c r="L99" s="77"/>
      <c r="M99" s="106"/>
    </row>
    <row r="100" spans="2:13" s="73" customFormat="1" ht="15">
      <c r="B100" s="85">
        <f t="shared" si="6"/>
        <v>93</v>
      </c>
      <c r="C100" s="73" t="s">
        <v>152</v>
      </c>
      <c r="D100" s="73" t="s">
        <v>79</v>
      </c>
      <c r="E100" s="88"/>
      <c r="F100" s="88" t="s">
        <v>103</v>
      </c>
      <c r="G100" s="86">
        <v>45224</v>
      </c>
      <c r="H100" s="86">
        <v>45224</v>
      </c>
      <c r="I100" s="76">
        <v>-2273.75</v>
      </c>
      <c r="J100" s="89">
        <f t="shared" si="5"/>
        <v>3101.0633333333335</v>
      </c>
      <c r="L100" s="77"/>
      <c r="M100" s="106"/>
    </row>
    <row r="101" spans="2:13" s="73" customFormat="1" ht="15">
      <c r="B101" s="85">
        <f t="shared" si="6"/>
        <v>94</v>
      </c>
      <c r="C101" s="73" t="s">
        <v>66</v>
      </c>
      <c r="D101" s="73" t="s">
        <v>83</v>
      </c>
      <c r="E101" s="88"/>
      <c r="F101" s="88" t="s">
        <v>83</v>
      </c>
      <c r="G101" s="86">
        <v>45231</v>
      </c>
      <c r="H101" s="86">
        <v>45231</v>
      </c>
      <c r="I101" s="76">
        <v>-20.3</v>
      </c>
      <c r="J101" s="89">
        <f t="shared" si="5"/>
        <v>3080.7633333333333</v>
      </c>
      <c r="M101" s="96"/>
    </row>
    <row r="102" spans="2:13" s="73" customFormat="1" ht="15">
      <c r="B102" s="90">
        <f t="shared" si="6"/>
        <v>95</v>
      </c>
      <c r="C102" s="91" t="s">
        <v>66</v>
      </c>
      <c r="D102" s="91" t="s">
        <v>83</v>
      </c>
      <c r="E102" s="92"/>
      <c r="F102" s="92" t="s">
        <v>83</v>
      </c>
      <c r="G102" s="93">
        <v>45261</v>
      </c>
      <c r="H102" s="93">
        <v>45261</v>
      </c>
      <c r="I102" s="94">
        <v>-19.899999999999999</v>
      </c>
      <c r="J102" s="95">
        <f t="shared" si="5"/>
        <v>3060.8633333333332</v>
      </c>
      <c r="M102" s="96"/>
    </row>
    <row r="103" spans="2:13" s="73" customFormat="1" ht="15">
      <c r="B103" s="85">
        <f t="shared" si="6"/>
        <v>96</v>
      </c>
      <c r="C103" s="73" t="s">
        <v>66</v>
      </c>
      <c r="D103" s="73" t="s">
        <v>83</v>
      </c>
      <c r="E103" s="88"/>
      <c r="F103" s="88" t="s">
        <v>83</v>
      </c>
      <c r="G103" s="86">
        <v>45293</v>
      </c>
      <c r="H103" s="86">
        <v>45293</v>
      </c>
      <c r="I103" s="76">
        <v>-19.899999999999999</v>
      </c>
      <c r="J103" s="89">
        <f t="shared" ref="J103:J134" si="7">IF(I103="",".",J102+I103)</f>
        <v>3040.9633333333331</v>
      </c>
      <c r="M103" s="96"/>
    </row>
    <row r="104" spans="2:13" s="73" customFormat="1" ht="15">
      <c r="B104" s="85">
        <f t="shared" si="6"/>
        <v>97</v>
      </c>
      <c r="C104" s="73" t="s">
        <v>66</v>
      </c>
      <c r="D104" s="73" t="s">
        <v>83</v>
      </c>
      <c r="E104" s="88"/>
      <c r="F104" s="88" t="s">
        <v>83</v>
      </c>
      <c r="G104" s="86">
        <v>45293</v>
      </c>
      <c r="H104" s="86">
        <v>45293</v>
      </c>
      <c r="I104" s="76">
        <v>-43.4</v>
      </c>
      <c r="J104" s="89">
        <f t="shared" si="7"/>
        <v>2997.563333333333</v>
      </c>
      <c r="M104" s="96"/>
    </row>
    <row r="105" spans="2:13" s="73" customFormat="1" ht="15">
      <c r="B105" s="85">
        <f t="shared" si="6"/>
        <v>98</v>
      </c>
      <c r="C105" s="73" t="s">
        <v>199</v>
      </c>
      <c r="D105" s="73" t="s">
        <v>79</v>
      </c>
      <c r="E105" s="88"/>
      <c r="F105" s="88" t="s">
        <v>103</v>
      </c>
      <c r="G105" s="86">
        <v>45323</v>
      </c>
      <c r="H105" s="86">
        <v>45323</v>
      </c>
      <c r="I105" s="76">
        <v>-1203.75</v>
      </c>
      <c r="J105" s="89">
        <f t="shared" si="7"/>
        <v>1793.813333333333</v>
      </c>
      <c r="L105" s="78"/>
      <c r="M105" s="96"/>
    </row>
    <row r="106" spans="2:13" s="73" customFormat="1" ht="15">
      <c r="B106" s="85">
        <f t="shared" si="6"/>
        <v>99</v>
      </c>
      <c r="C106" s="73" t="s">
        <v>66</v>
      </c>
      <c r="D106" s="73" t="s">
        <v>83</v>
      </c>
      <c r="E106" s="88"/>
      <c r="F106" s="88" t="s">
        <v>83</v>
      </c>
      <c r="G106" s="86">
        <v>45323</v>
      </c>
      <c r="H106" s="86">
        <v>45323</v>
      </c>
      <c r="I106" s="76">
        <v>-19.899999999999999</v>
      </c>
      <c r="J106" s="89">
        <f t="shared" si="7"/>
        <v>1773.913333333333</v>
      </c>
      <c r="M106" s="96"/>
    </row>
    <row r="107" spans="2:13" s="73" customFormat="1" ht="15">
      <c r="B107" s="85">
        <f t="shared" si="6"/>
        <v>100</v>
      </c>
      <c r="C107" s="73" t="s">
        <v>66</v>
      </c>
      <c r="D107" s="73" t="s">
        <v>83</v>
      </c>
      <c r="E107" s="88"/>
      <c r="F107" s="88" t="s">
        <v>83</v>
      </c>
      <c r="G107" s="86">
        <v>45352</v>
      </c>
      <c r="H107" s="86">
        <v>45352</v>
      </c>
      <c r="I107" s="76">
        <v>-20.100000000000001</v>
      </c>
      <c r="J107" s="89">
        <f t="shared" si="7"/>
        <v>1753.813333333333</v>
      </c>
      <c r="M107" s="96"/>
    </row>
    <row r="108" spans="2:13" s="73" customFormat="1" ht="15">
      <c r="B108" s="85">
        <f t="shared" si="6"/>
        <v>101</v>
      </c>
      <c r="C108" s="73" t="s">
        <v>66</v>
      </c>
      <c r="D108" s="73" t="s">
        <v>83</v>
      </c>
      <c r="E108" s="88"/>
      <c r="F108" s="88" t="s">
        <v>83</v>
      </c>
      <c r="G108" s="86">
        <v>45383</v>
      </c>
      <c r="H108" s="86">
        <v>45383</v>
      </c>
      <c r="I108" s="76">
        <v>-19.899999999999999</v>
      </c>
      <c r="J108" s="89">
        <f t="shared" si="7"/>
        <v>1733.913333333333</v>
      </c>
      <c r="M108" s="96"/>
    </row>
    <row r="109" spans="2:13" s="73" customFormat="1" ht="15">
      <c r="B109" s="85">
        <f t="shared" si="6"/>
        <v>102</v>
      </c>
      <c r="C109" s="73" t="s">
        <v>66</v>
      </c>
      <c r="D109" s="73" t="s">
        <v>83</v>
      </c>
      <c r="E109" s="88"/>
      <c r="F109" s="88" t="s">
        <v>83</v>
      </c>
      <c r="G109" s="86">
        <v>45383</v>
      </c>
      <c r="H109" s="86">
        <v>45383</v>
      </c>
      <c r="I109" s="76">
        <v>-44.24</v>
      </c>
      <c r="J109" s="89">
        <f t="shared" si="7"/>
        <v>1689.6733333333329</v>
      </c>
      <c r="M109" s="96"/>
    </row>
    <row r="110" spans="2:13" s="73" customFormat="1" ht="15">
      <c r="B110" s="85">
        <f t="shared" si="6"/>
        <v>103</v>
      </c>
      <c r="C110" s="73" t="s">
        <v>66</v>
      </c>
      <c r="D110" s="73" t="s">
        <v>83</v>
      </c>
      <c r="E110" s="88"/>
      <c r="F110" s="88" t="s">
        <v>83</v>
      </c>
      <c r="G110" s="86">
        <v>45384</v>
      </c>
      <c r="H110" s="86">
        <v>45384</v>
      </c>
      <c r="I110" s="76">
        <v>4.24</v>
      </c>
      <c r="J110" s="89">
        <f t="shared" si="7"/>
        <v>1693.913333333333</v>
      </c>
      <c r="M110" s="96"/>
    </row>
    <row r="111" spans="2:13" s="73" customFormat="1" ht="15">
      <c r="B111" s="85">
        <f t="shared" si="6"/>
        <v>104</v>
      </c>
      <c r="C111" s="73" t="s">
        <v>66</v>
      </c>
      <c r="D111" s="73" t="s">
        <v>83</v>
      </c>
      <c r="E111" s="88"/>
      <c r="F111" s="88" t="s">
        <v>83</v>
      </c>
      <c r="G111" s="86">
        <v>45413</v>
      </c>
      <c r="H111" s="86">
        <v>45413</v>
      </c>
      <c r="I111" s="76">
        <v>-19.899999999999999</v>
      </c>
      <c r="J111" s="89">
        <f t="shared" si="7"/>
        <v>1674.0133333333329</v>
      </c>
      <c r="M111" s="96"/>
    </row>
    <row r="112" spans="2:13" s="73" customFormat="1" ht="15">
      <c r="B112" s="85">
        <f t="shared" si="6"/>
        <v>105</v>
      </c>
      <c r="C112" s="73" t="s">
        <v>199</v>
      </c>
      <c r="D112" s="73" t="s">
        <v>79</v>
      </c>
      <c r="E112" s="88"/>
      <c r="F112" s="88" t="s">
        <v>103</v>
      </c>
      <c r="G112" s="86">
        <v>45413</v>
      </c>
      <c r="H112" s="86">
        <v>45413</v>
      </c>
      <c r="I112" s="76">
        <v>-1203.75</v>
      </c>
      <c r="J112" s="89">
        <f t="shared" si="7"/>
        <v>470.26333333333287</v>
      </c>
      <c r="L112" s="78"/>
      <c r="M112" s="105"/>
    </row>
    <row r="113" spans="2:13" s="73" customFormat="1" ht="15">
      <c r="B113" s="85">
        <f t="shared" si="6"/>
        <v>106</v>
      </c>
      <c r="C113" s="73" t="s">
        <v>203</v>
      </c>
      <c r="D113" s="73" t="s">
        <v>79</v>
      </c>
      <c r="E113" s="88"/>
      <c r="F113" s="88" t="s">
        <v>103</v>
      </c>
      <c r="G113" s="86">
        <v>45427</v>
      </c>
      <c r="H113" s="86">
        <v>45427</v>
      </c>
      <c r="I113" s="76">
        <f>4815-1605</f>
        <v>3210</v>
      </c>
      <c r="J113" s="89">
        <f t="shared" si="7"/>
        <v>3680.2633333333329</v>
      </c>
      <c r="L113" s="77"/>
      <c r="M113" s="106"/>
    </row>
    <row r="114" spans="2:13" s="73" customFormat="1" ht="15">
      <c r="B114" s="85">
        <f t="shared" si="6"/>
        <v>107</v>
      </c>
      <c r="C114" s="73" t="s">
        <v>66</v>
      </c>
      <c r="D114" s="73" t="s">
        <v>83</v>
      </c>
      <c r="E114" s="88"/>
      <c r="F114" s="88" t="s">
        <v>83</v>
      </c>
      <c r="G114" s="86">
        <v>45444</v>
      </c>
      <c r="H114" s="86">
        <v>45444</v>
      </c>
      <c r="I114" s="76">
        <v>-20.100000000000001</v>
      </c>
      <c r="J114" s="89">
        <f t="shared" si="7"/>
        <v>3660.163333333333</v>
      </c>
      <c r="M114" s="96"/>
    </row>
    <row r="115" spans="2:13" s="73" customFormat="1" ht="15">
      <c r="B115" s="85">
        <f t="shared" si="6"/>
        <v>108</v>
      </c>
      <c r="C115" s="73" t="s">
        <v>66</v>
      </c>
      <c r="D115" s="73" t="s">
        <v>83</v>
      </c>
      <c r="E115" s="88"/>
      <c r="F115" s="88" t="s">
        <v>83</v>
      </c>
      <c r="G115" s="86">
        <v>45474</v>
      </c>
      <c r="H115" s="86">
        <v>45474</v>
      </c>
      <c r="I115" s="76">
        <v>-19.899999999999999</v>
      </c>
      <c r="J115" s="89">
        <f t="shared" si="7"/>
        <v>3640.2633333333329</v>
      </c>
      <c r="M115" s="96"/>
    </row>
    <row r="116" spans="2:13" s="73" customFormat="1" ht="15">
      <c r="B116" s="85">
        <f t="shared" si="6"/>
        <v>109</v>
      </c>
      <c r="C116" s="73" t="s">
        <v>66</v>
      </c>
      <c r="D116" s="73" t="s">
        <v>83</v>
      </c>
      <c r="E116" s="88"/>
      <c r="F116" s="88" t="s">
        <v>83</v>
      </c>
      <c r="G116" s="86">
        <v>45474</v>
      </c>
      <c r="H116" s="86">
        <v>45474</v>
      </c>
      <c r="I116" s="76">
        <v>-40</v>
      </c>
      <c r="J116" s="89">
        <f t="shared" si="7"/>
        <v>3600.2633333333329</v>
      </c>
      <c r="M116" s="96"/>
    </row>
    <row r="117" spans="2:13" s="73" customFormat="1" ht="15">
      <c r="B117" s="85">
        <f t="shared" si="6"/>
        <v>110</v>
      </c>
      <c r="C117" s="73" t="s">
        <v>125</v>
      </c>
      <c r="D117" s="73" t="s">
        <v>79</v>
      </c>
      <c r="E117" s="88"/>
      <c r="F117" s="88" t="s">
        <v>126</v>
      </c>
      <c r="G117" s="86">
        <v>45490</v>
      </c>
      <c r="H117" s="86">
        <v>45490</v>
      </c>
      <c r="I117" s="76">
        <v>-350</v>
      </c>
      <c r="J117" s="89">
        <f t="shared" si="7"/>
        <v>3250.2633333333329</v>
      </c>
      <c r="M117" s="96"/>
    </row>
    <row r="118" spans="2:13" s="73" customFormat="1" ht="15">
      <c r="B118" s="85">
        <f t="shared" si="6"/>
        <v>111</v>
      </c>
      <c r="C118" s="73" t="s">
        <v>66</v>
      </c>
      <c r="D118" s="73" t="s">
        <v>83</v>
      </c>
      <c r="E118" s="88"/>
      <c r="F118" s="88" t="s">
        <v>83</v>
      </c>
      <c r="G118" s="86">
        <v>45505</v>
      </c>
      <c r="H118" s="86">
        <v>45505</v>
      </c>
      <c r="I118" s="76">
        <v>-20.100000000000001</v>
      </c>
      <c r="J118" s="89">
        <f t="shared" si="7"/>
        <v>3230.163333333333</v>
      </c>
      <c r="M118" s="96"/>
    </row>
    <row r="119" spans="2:13" s="73" customFormat="1" ht="15">
      <c r="B119" s="85">
        <f t="shared" si="6"/>
        <v>112</v>
      </c>
      <c r="C119" s="73" t="s">
        <v>66</v>
      </c>
      <c r="D119" s="73" t="s">
        <v>83</v>
      </c>
      <c r="E119" s="88"/>
      <c r="F119" s="88" t="s">
        <v>83</v>
      </c>
      <c r="G119" s="86">
        <v>45537</v>
      </c>
      <c r="H119" s="86">
        <v>45537</v>
      </c>
      <c r="I119" s="76">
        <v>-19.899999999999999</v>
      </c>
      <c r="J119" s="89">
        <f t="shared" si="7"/>
        <v>3210.2633333333329</v>
      </c>
      <c r="M119" s="96"/>
    </row>
    <row r="120" spans="2:13" s="73" customFormat="1" ht="15">
      <c r="B120" s="85">
        <f t="shared" si="6"/>
        <v>113</v>
      </c>
      <c r="C120" s="73" t="s">
        <v>66</v>
      </c>
      <c r="D120" s="73" t="s">
        <v>83</v>
      </c>
      <c r="E120" s="88"/>
      <c r="F120" s="88" t="s">
        <v>83</v>
      </c>
      <c r="G120" s="86">
        <v>45566</v>
      </c>
      <c r="H120" s="86">
        <v>45566</v>
      </c>
      <c r="I120" s="76">
        <v>-19.899999999999999</v>
      </c>
      <c r="J120" s="89">
        <f t="shared" si="7"/>
        <v>3190.3633333333328</v>
      </c>
      <c r="M120" s="96"/>
    </row>
    <row r="121" spans="2:13" s="73" customFormat="1" ht="15">
      <c r="B121" s="85">
        <f t="shared" si="6"/>
        <v>114</v>
      </c>
      <c r="C121" s="73" t="s">
        <v>66</v>
      </c>
      <c r="D121" s="73" t="s">
        <v>83</v>
      </c>
      <c r="E121" s="88"/>
      <c r="F121" s="88" t="s">
        <v>83</v>
      </c>
      <c r="G121" s="86">
        <v>45566</v>
      </c>
      <c r="H121" s="86">
        <v>45566</v>
      </c>
      <c r="I121" s="76">
        <v>-40</v>
      </c>
      <c r="J121" s="89">
        <f t="shared" si="7"/>
        <v>3150.3633333333328</v>
      </c>
      <c r="M121" s="96"/>
    </row>
    <row r="122" spans="2:13" s="73" customFormat="1" ht="15">
      <c r="B122" s="85">
        <f t="shared" si="6"/>
        <v>115</v>
      </c>
      <c r="C122" s="73" t="s">
        <v>66</v>
      </c>
      <c r="D122" s="73" t="s">
        <v>83</v>
      </c>
      <c r="E122" s="88"/>
      <c r="F122" s="88" t="s">
        <v>83</v>
      </c>
      <c r="G122" s="86">
        <v>45597</v>
      </c>
      <c r="H122" s="86">
        <v>45597</v>
      </c>
      <c r="I122" s="76">
        <v>-19.899999999999999</v>
      </c>
      <c r="J122" s="89">
        <f t="shared" si="7"/>
        <v>3130.4633333333327</v>
      </c>
      <c r="M122" s="96"/>
    </row>
    <row r="123" spans="2:13" s="73" customFormat="1" ht="15">
      <c r="B123" s="85">
        <f t="shared" si="6"/>
        <v>116</v>
      </c>
      <c r="C123" s="73" t="s">
        <v>66</v>
      </c>
      <c r="D123" s="73" t="s">
        <v>83</v>
      </c>
      <c r="E123" s="88"/>
      <c r="F123" s="88" t="s">
        <v>83</v>
      </c>
      <c r="G123" s="86">
        <v>45628</v>
      </c>
      <c r="H123" s="86">
        <v>45628</v>
      </c>
      <c r="I123" s="76">
        <v>-19.899999999999999</v>
      </c>
      <c r="J123" s="89">
        <f t="shared" si="7"/>
        <v>3110.5633333333326</v>
      </c>
      <c r="M123" s="96"/>
    </row>
    <row r="124" spans="2:13" s="73" customFormat="1" ht="15">
      <c r="B124" s="85">
        <f t="shared" si="6"/>
        <v>117</v>
      </c>
      <c r="C124" s="73" t="s">
        <v>76</v>
      </c>
      <c r="D124" s="73" t="s">
        <v>54</v>
      </c>
      <c r="E124" s="88" t="s">
        <v>54</v>
      </c>
      <c r="F124" s="78" t="s">
        <v>79</v>
      </c>
      <c r="G124" s="86">
        <v>45638</v>
      </c>
      <c r="H124" s="86">
        <v>45638</v>
      </c>
      <c r="I124" s="76">
        <v>5000</v>
      </c>
      <c r="J124" s="89">
        <f t="shared" si="7"/>
        <v>8110.5633333333326</v>
      </c>
      <c r="L124" s="73" t="s">
        <v>244</v>
      </c>
      <c r="M124" s="96"/>
    </row>
    <row r="125" spans="2:13" s="73" customFormat="1" ht="15">
      <c r="B125" s="85">
        <f t="shared" si="6"/>
        <v>118</v>
      </c>
      <c r="C125" s="73" t="s">
        <v>80</v>
      </c>
      <c r="D125" s="73" t="s">
        <v>79</v>
      </c>
      <c r="E125" s="88"/>
      <c r="F125" s="88" t="s">
        <v>155</v>
      </c>
      <c r="G125" s="86">
        <v>45638</v>
      </c>
      <c r="H125" s="86">
        <v>45638</v>
      </c>
      <c r="I125" s="76">
        <v>-4640</v>
      </c>
      <c r="J125" s="89">
        <f t="shared" si="7"/>
        <v>3470.5633333333326</v>
      </c>
      <c r="M125" s="96"/>
    </row>
    <row r="126" spans="2:13" s="73" customFormat="1" ht="15">
      <c r="B126" s="85">
        <f t="shared" si="6"/>
        <v>119</v>
      </c>
      <c r="C126" s="73" t="s">
        <v>199</v>
      </c>
      <c r="D126" s="73" t="s">
        <v>79</v>
      </c>
      <c r="E126" s="88"/>
      <c r="F126" s="88" t="s">
        <v>103</v>
      </c>
      <c r="G126" s="144">
        <v>45649</v>
      </c>
      <c r="H126" s="86">
        <v>45649</v>
      </c>
      <c r="I126" s="76">
        <v>802.5</v>
      </c>
      <c r="J126" s="89">
        <f t="shared" si="7"/>
        <v>4273.0633333333326</v>
      </c>
      <c r="L126" s="78"/>
      <c r="M126" s="105"/>
    </row>
    <row r="127" spans="2:13" s="73" customFormat="1" ht="15">
      <c r="B127" s="85">
        <f t="shared" si="6"/>
        <v>120</v>
      </c>
      <c r="C127" s="73" t="s">
        <v>66</v>
      </c>
      <c r="D127" s="73" t="s">
        <v>83</v>
      </c>
      <c r="E127" s="88"/>
      <c r="F127" s="88" t="s">
        <v>83</v>
      </c>
      <c r="G127" s="86">
        <v>45657</v>
      </c>
      <c r="H127" s="86">
        <v>45657</v>
      </c>
      <c r="I127" s="76">
        <v>-43.4</v>
      </c>
      <c r="J127" s="89">
        <f t="shared" si="7"/>
        <v>4229.663333333333</v>
      </c>
      <c r="M127" s="96"/>
    </row>
    <row r="128" spans="2:13" s="73" customFormat="1" ht="15">
      <c r="B128" s="90">
        <f t="shared" ref="B128:B170" si="8">B127+1</f>
        <v>121</v>
      </c>
      <c r="C128" s="91" t="s">
        <v>66</v>
      </c>
      <c r="D128" s="91" t="s">
        <v>83</v>
      </c>
      <c r="E128" s="92"/>
      <c r="F128" s="92" t="s">
        <v>83</v>
      </c>
      <c r="G128" s="93">
        <v>45657</v>
      </c>
      <c r="H128" s="93">
        <v>45657</v>
      </c>
      <c r="I128" s="94">
        <v>-0.2</v>
      </c>
      <c r="J128" s="95">
        <f t="shared" si="7"/>
        <v>4229.4633333333331</v>
      </c>
      <c r="M128" s="96"/>
    </row>
    <row r="129" spans="2:13" s="73" customFormat="1" ht="15">
      <c r="B129" s="85">
        <f t="shared" si="8"/>
        <v>122</v>
      </c>
      <c r="C129" s="73" t="s">
        <v>66</v>
      </c>
      <c r="D129" s="73" t="s">
        <v>83</v>
      </c>
      <c r="E129" s="88"/>
      <c r="F129" s="88" t="s">
        <v>83</v>
      </c>
      <c r="G129" s="86">
        <v>45658</v>
      </c>
      <c r="H129" s="86">
        <v>45658</v>
      </c>
      <c r="I129" s="76">
        <v>-19.899999999999999</v>
      </c>
      <c r="J129" s="89">
        <f t="shared" si="7"/>
        <v>4209.5633333333335</v>
      </c>
      <c r="M129" s="96"/>
    </row>
    <row r="130" spans="2:13" s="73" customFormat="1" ht="15">
      <c r="B130" s="85">
        <f t="shared" si="8"/>
        <v>123</v>
      </c>
      <c r="C130" s="73" t="s">
        <v>80</v>
      </c>
      <c r="D130" s="73" t="s">
        <v>79</v>
      </c>
      <c r="E130" s="88"/>
      <c r="F130" s="88" t="s">
        <v>214</v>
      </c>
      <c r="G130" s="86">
        <v>45671</v>
      </c>
      <c r="H130" s="86">
        <v>45671</v>
      </c>
      <c r="I130" s="76">
        <v>-12.2</v>
      </c>
      <c r="J130" s="89">
        <f t="shared" si="7"/>
        <v>4197.3633333333337</v>
      </c>
      <c r="M130" s="96"/>
    </row>
    <row r="131" spans="2:13" s="73" customFormat="1" ht="15">
      <c r="B131" s="85">
        <f t="shared" si="8"/>
        <v>124</v>
      </c>
      <c r="C131" s="73" t="s">
        <v>66</v>
      </c>
      <c r="D131" s="73" t="s">
        <v>83</v>
      </c>
      <c r="E131" s="88"/>
      <c r="F131" s="88" t="s">
        <v>83</v>
      </c>
      <c r="G131" s="86">
        <v>45689</v>
      </c>
      <c r="H131" s="86">
        <v>45689</v>
      </c>
      <c r="I131" s="76">
        <v>-20.100000000000001</v>
      </c>
      <c r="J131" s="89">
        <f t="shared" si="7"/>
        <v>4177.2633333333333</v>
      </c>
      <c r="M131" s="96"/>
    </row>
    <row r="132" spans="2:13" s="73" customFormat="1" ht="15">
      <c r="B132" s="85">
        <f t="shared" si="8"/>
        <v>125</v>
      </c>
      <c r="C132" s="73" t="s">
        <v>207</v>
      </c>
      <c r="D132" s="73" t="s">
        <v>79</v>
      </c>
      <c r="E132" s="88"/>
      <c r="F132" s="88" t="s">
        <v>103</v>
      </c>
      <c r="G132" s="86">
        <v>45698</v>
      </c>
      <c r="H132" s="86">
        <v>45698</v>
      </c>
      <c r="I132" s="76">
        <v>-401.25</v>
      </c>
      <c r="J132" s="89">
        <f t="shared" si="7"/>
        <v>3776.0133333333333</v>
      </c>
      <c r="L132" s="78"/>
      <c r="M132" s="105"/>
    </row>
    <row r="133" spans="2:13" s="73" customFormat="1" ht="15">
      <c r="B133" s="85">
        <f t="shared" si="8"/>
        <v>126</v>
      </c>
      <c r="C133" s="73" t="s">
        <v>66</v>
      </c>
      <c r="D133" s="73" t="s">
        <v>83</v>
      </c>
      <c r="E133" s="88"/>
      <c r="F133" s="88" t="s">
        <v>83</v>
      </c>
      <c r="G133" s="86">
        <v>45717</v>
      </c>
      <c r="H133" s="86">
        <v>45717</v>
      </c>
      <c r="I133" s="76">
        <v>-20.100000000000001</v>
      </c>
      <c r="J133" s="89">
        <f t="shared" si="7"/>
        <v>3755.9133333333334</v>
      </c>
      <c r="M133" s="96"/>
    </row>
    <row r="134" spans="2:13" s="73" customFormat="1" ht="15">
      <c r="B134" s="85">
        <f t="shared" si="8"/>
        <v>127</v>
      </c>
      <c r="C134" s="73" t="s">
        <v>66</v>
      </c>
      <c r="D134" s="73" t="s">
        <v>83</v>
      </c>
      <c r="E134" s="88"/>
      <c r="F134" s="88" t="s">
        <v>83</v>
      </c>
      <c r="G134" s="86">
        <v>45748</v>
      </c>
      <c r="H134" s="86">
        <v>45748</v>
      </c>
      <c r="I134" s="76">
        <v>-19.899999999999999</v>
      </c>
      <c r="J134" s="89">
        <f t="shared" si="7"/>
        <v>3736.0133333333333</v>
      </c>
      <c r="M134" s="96"/>
    </row>
    <row r="135" spans="2:13" s="73" customFormat="1" ht="15">
      <c r="B135" s="85">
        <f t="shared" si="8"/>
        <v>128</v>
      </c>
      <c r="C135" s="73" t="s">
        <v>66</v>
      </c>
      <c r="D135" s="73" t="s">
        <v>83</v>
      </c>
      <c r="E135" s="88"/>
      <c r="F135" s="88" t="s">
        <v>83</v>
      </c>
      <c r="G135" s="86">
        <v>45748</v>
      </c>
      <c r="H135" s="86">
        <v>45748</v>
      </c>
      <c r="I135" s="76">
        <v>-40</v>
      </c>
      <c r="J135" s="89">
        <f t="shared" ref="J135:J168" si="9">IF(I135="",".",J134+I135)</f>
        <v>3696.0133333333333</v>
      </c>
      <c r="M135" s="96"/>
    </row>
    <row r="136" spans="2:13" s="73" customFormat="1" ht="15">
      <c r="B136" s="85">
        <f t="shared" si="8"/>
        <v>129</v>
      </c>
      <c r="C136" s="73" t="s">
        <v>80</v>
      </c>
      <c r="D136" s="73" t="s">
        <v>79</v>
      </c>
      <c r="E136" s="88"/>
      <c r="F136" s="88" t="s">
        <v>214</v>
      </c>
      <c r="G136" s="86">
        <v>45762</v>
      </c>
      <c r="H136" s="86">
        <v>45762</v>
      </c>
      <c r="I136" s="76">
        <v>-12.2</v>
      </c>
      <c r="J136" s="89">
        <f t="shared" si="9"/>
        <v>3683.8133333333335</v>
      </c>
      <c r="M136" s="96"/>
    </row>
    <row r="137" spans="2:13" s="73" customFormat="1" ht="15">
      <c r="B137" s="85">
        <f t="shared" si="8"/>
        <v>130</v>
      </c>
      <c r="C137" s="73" t="s">
        <v>66</v>
      </c>
      <c r="D137" s="73" t="s">
        <v>83</v>
      </c>
      <c r="E137" s="88"/>
      <c r="F137" s="88" t="s">
        <v>83</v>
      </c>
      <c r="G137" s="86">
        <v>45778</v>
      </c>
      <c r="H137" s="86">
        <v>45778</v>
      </c>
      <c r="I137" s="76">
        <v>-20.309999999999999</v>
      </c>
      <c r="J137" s="89">
        <f t="shared" si="9"/>
        <v>3663.5033333333336</v>
      </c>
      <c r="M137" s="96"/>
    </row>
    <row r="138" spans="2:13" s="73" customFormat="1" ht="15">
      <c r="B138" s="85">
        <f t="shared" si="8"/>
        <v>131</v>
      </c>
      <c r="C138" s="73" t="s">
        <v>66</v>
      </c>
      <c r="D138" s="73" t="s">
        <v>83</v>
      </c>
      <c r="E138" s="88"/>
      <c r="F138" s="88" t="s">
        <v>83</v>
      </c>
      <c r="G138" s="86">
        <v>45809</v>
      </c>
      <c r="H138" s="86">
        <v>45809</v>
      </c>
      <c r="I138" s="76">
        <v>-19.899999999999999</v>
      </c>
      <c r="J138" s="89">
        <f t="shared" si="9"/>
        <v>3643.6033333333335</v>
      </c>
      <c r="M138" s="96"/>
    </row>
    <row r="139" spans="2:13" s="73" customFormat="1" ht="15">
      <c r="B139" s="85">
        <f t="shared" si="8"/>
        <v>132</v>
      </c>
      <c r="C139" s="73" t="s">
        <v>207</v>
      </c>
      <c r="D139" s="73" t="s">
        <v>79</v>
      </c>
      <c r="E139" s="88"/>
      <c r="F139" s="88" t="s">
        <v>103</v>
      </c>
      <c r="G139" s="86">
        <v>45821</v>
      </c>
      <c r="H139" s="86">
        <v>45821</v>
      </c>
      <c r="I139" s="76">
        <v>-401.25</v>
      </c>
      <c r="J139" s="89">
        <f t="shared" si="9"/>
        <v>3242.3533333333335</v>
      </c>
      <c r="L139" s="78"/>
      <c r="M139" s="105"/>
    </row>
    <row r="140" spans="2:13" s="73" customFormat="1" ht="15">
      <c r="B140" s="85">
        <f t="shared" si="8"/>
        <v>133</v>
      </c>
      <c r="C140" s="73" t="s">
        <v>66</v>
      </c>
      <c r="D140" s="73" t="s">
        <v>83</v>
      </c>
      <c r="E140" s="88"/>
      <c r="F140" s="88" t="s">
        <v>83</v>
      </c>
      <c r="G140" s="86">
        <v>45839</v>
      </c>
      <c r="H140" s="86">
        <v>45839</v>
      </c>
      <c r="I140" s="76">
        <v>-20.5</v>
      </c>
      <c r="J140" s="89">
        <f t="shared" si="9"/>
        <v>3221.8533333333335</v>
      </c>
      <c r="M140" s="96"/>
    </row>
    <row r="141" spans="2:13" s="73" customFormat="1" ht="15">
      <c r="B141" s="85">
        <f t="shared" si="8"/>
        <v>134</v>
      </c>
      <c r="C141" s="73" t="s">
        <v>66</v>
      </c>
      <c r="D141" s="73" t="s">
        <v>83</v>
      </c>
      <c r="E141" s="88"/>
      <c r="F141" s="88" t="s">
        <v>83</v>
      </c>
      <c r="G141" s="86">
        <v>45839</v>
      </c>
      <c r="H141" s="86">
        <v>45839</v>
      </c>
      <c r="I141" s="76">
        <v>-40</v>
      </c>
      <c r="J141" s="89">
        <f t="shared" si="9"/>
        <v>3181.8533333333335</v>
      </c>
      <c r="M141" s="96"/>
    </row>
    <row r="142" spans="2:13" s="73" customFormat="1" ht="15">
      <c r="B142" s="85">
        <f t="shared" si="8"/>
        <v>135</v>
      </c>
      <c r="C142" s="73" t="s">
        <v>125</v>
      </c>
      <c r="D142" s="73" t="s">
        <v>79</v>
      </c>
      <c r="E142" s="88"/>
      <c r="F142" s="88" t="s">
        <v>126</v>
      </c>
      <c r="G142" s="86">
        <v>45848</v>
      </c>
      <c r="H142" s="86">
        <v>45848</v>
      </c>
      <c r="I142" s="76">
        <v>-350</v>
      </c>
      <c r="J142" s="89">
        <f t="shared" si="9"/>
        <v>2831.8533333333335</v>
      </c>
      <c r="M142" s="96"/>
    </row>
    <row r="143" spans="2:13" s="73" customFormat="1" ht="15">
      <c r="B143" s="85">
        <f t="shared" si="8"/>
        <v>136</v>
      </c>
      <c r="C143" s="73" t="s">
        <v>207</v>
      </c>
      <c r="D143" s="73" t="s">
        <v>79</v>
      </c>
      <c r="E143" s="88"/>
      <c r="F143" s="88" t="s">
        <v>103</v>
      </c>
      <c r="G143" s="86">
        <v>45860</v>
      </c>
      <c r="H143" s="86">
        <v>45860</v>
      </c>
      <c r="I143" s="76">
        <v>-401.25</v>
      </c>
      <c r="J143" s="89">
        <f t="shared" si="9"/>
        <v>2430.6033333333335</v>
      </c>
      <c r="L143" s="78"/>
      <c r="M143" s="105"/>
    </row>
    <row r="144" spans="2:13" s="73" customFormat="1" ht="15">
      <c r="B144" s="85">
        <f t="shared" si="8"/>
        <v>137</v>
      </c>
      <c r="C144" s="73" t="s">
        <v>66</v>
      </c>
      <c r="D144" s="73" t="s">
        <v>83</v>
      </c>
      <c r="E144" s="88"/>
      <c r="F144" s="88" t="s">
        <v>83</v>
      </c>
      <c r="G144" s="86">
        <v>45870</v>
      </c>
      <c r="H144" s="86">
        <v>45870</v>
      </c>
      <c r="I144" s="76">
        <v>-21.08</v>
      </c>
      <c r="J144" s="89">
        <f t="shared" si="9"/>
        <v>2409.5233333333335</v>
      </c>
      <c r="M144" s="96"/>
    </row>
    <row r="145" spans="2:13" s="73" customFormat="1" ht="15">
      <c r="B145" s="85">
        <f t="shared" si="8"/>
        <v>138</v>
      </c>
      <c r="C145" s="73" t="s">
        <v>66</v>
      </c>
      <c r="D145" s="73" t="s">
        <v>83</v>
      </c>
      <c r="E145" s="88"/>
      <c r="F145" s="88" t="s">
        <v>83</v>
      </c>
      <c r="G145" s="86">
        <v>45901</v>
      </c>
      <c r="H145" s="86">
        <v>45901</v>
      </c>
      <c r="I145" s="76">
        <v>-19.899999999999999</v>
      </c>
      <c r="J145" s="89">
        <f t="shared" si="9"/>
        <v>2389.6233333333334</v>
      </c>
      <c r="M145" s="96"/>
    </row>
    <row r="146" spans="2:13" s="73" customFormat="1" ht="15">
      <c r="B146" s="85">
        <f t="shared" si="8"/>
        <v>139</v>
      </c>
      <c r="C146" s="73" t="s">
        <v>66</v>
      </c>
      <c r="D146" s="73" t="s">
        <v>83</v>
      </c>
      <c r="E146" s="88"/>
      <c r="F146" s="88" t="s">
        <v>83</v>
      </c>
      <c r="G146" s="86">
        <v>45931</v>
      </c>
      <c r="H146" s="86">
        <v>45931</v>
      </c>
      <c r="I146" s="76">
        <v>-19.899999999999999</v>
      </c>
      <c r="J146" s="89">
        <f t="shared" si="9"/>
        <v>2369.7233333333334</v>
      </c>
      <c r="M146" s="96"/>
    </row>
    <row r="147" spans="2:13" s="73" customFormat="1" ht="15">
      <c r="B147" s="85">
        <f t="shared" si="8"/>
        <v>140</v>
      </c>
      <c r="C147" s="73" t="s">
        <v>76</v>
      </c>
      <c r="D147" s="73" t="s">
        <v>54</v>
      </c>
      <c r="E147" s="88" t="s">
        <v>54</v>
      </c>
      <c r="F147" s="78" t="s">
        <v>79</v>
      </c>
      <c r="G147" s="86">
        <v>45961</v>
      </c>
      <c r="H147" s="86">
        <v>45961</v>
      </c>
      <c r="I147" s="76">
        <v>4000</v>
      </c>
      <c r="J147" s="89">
        <f t="shared" si="9"/>
        <v>6369.7233333333334</v>
      </c>
      <c r="L147" s="73" t="s">
        <v>242</v>
      </c>
      <c r="M147" s="96"/>
    </row>
    <row r="148" spans="2:13" s="73" customFormat="1" ht="15">
      <c r="B148" s="85">
        <f t="shared" si="8"/>
        <v>141</v>
      </c>
      <c r="C148" s="73" t="s">
        <v>66</v>
      </c>
      <c r="D148" s="73" t="s">
        <v>83</v>
      </c>
      <c r="E148" s="88"/>
      <c r="F148" s="88" t="s">
        <v>83</v>
      </c>
      <c r="G148" s="86">
        <v>45962</v>
      </c>
      <c r="H148" s="86">
        <v>45962</v>
      </c>
      <c r="I148" s="76">
        <v>-19.899999999999999</v>
      </c>
      <c r="J148" s="89">
        <f t="shared" si="9"/>
        <v>6349.8233333333337</v>
      </c>
      <c r="M148" s="96"/>
    </row>
    <row r="149" spans="2:13" s="73" customFormat="1" ht="15">
      <c r="B149" s="85">
        <f t="shared" si="8"/>
        <v>142</v>
      </c>
      <c r="C149" s="73" t="s">
        <v>80</v>
      </c>
      <c r="D149" s="73" t="s">
        <v>79</v>
      </c>
      <c r="E149" s="88"/>
      <c r="F149" s="88" t="s">
        <v>155</v>
      </c>
      <c r="G149" s="86">
        <v>45964</v>
      </c>
      <c r="H149" s="86">
        <v>45964</v>
      </c>
      <c r="I149" s="76">
        <v>-4680</v>
      </c>
      <c r="J149" s="89">
        <f t="shared" si="9"/>
        <v>1669.8233333333337</v>
      </c>
      <c r="M149" s="96"/>
    </row>
    <row r="150" spans="2:13" s="73" customFormat="1" ht="15">
      <c r="B150" s="85">
        <f t="shared" si="8"/>
        <v>143</v>
      </c>
      <c r="C150" s="73" t="s">
        <v>207</v>
      </c>
      <c r="D150" s="73" t="s">
        <v>79</v>
      </c>
      <c r="E150" s="88"/>
      <c r="F150" s="88" t="s">
        <v>103</v>
      </c>
      <c r="G150" s="86">
        <v>45964</v>
      </c>
      <c r="H150" s="86">
        <v>45964</v>
      </c>
      <c r="I150" s="76">
        <v>-401.25</v>
      </c>
      <c r="J150" s="89">
        <f t="shared" si="9"/>
        <v>1268.5733333333337</v>
      </c>
      <c r="L150" s="78"/>
      <c r="M150" s="105"/>
    </row>
    <row r="151" spans="2:13" s="73" customFormat="1" ht="15">
      <c r="B151" s="85">
        <f t="shared" si="8"/>
        <v>144</v>
      </c>
      <c r="C151" s="73" t="s">
        <v>66</v>
      </c>
      <c r="D151" s="73" t="s">
        <v>83</v>
      </c>
      <c r="E151" s="88"/>
      <c r="F151" s="88" t="s">
        <v>83</v>
      </c>
      <c r="G151" s="86">
        <v>45992</v>
      </c>
      <c r="H151" s="86">
        <v>45992</v>
      </c>
      <c r="I151" s="76">
        <v>-23.24</v>
      </c>
      <c r="J151" s="89">
        <f t="shared" si="9"/>
        <v>1245.3333333333337</v>
      </c>
      <c r="M151" s="96"/>
    </row>
    <row r="152" spans="2:13" s="178" customFormat="1" ht="15">
      <c r="B152" s="179">
        <f t="shared" si="8"/>
        <v>145</v>
      </c>
      <c r="C152" s="178" t="s">
        <v>238</v>
      </c>
      <c r="D152" s="178" t="s">
        <v>239</v>
      </c>
      <c r="E152" s="180"/>
      <c r="F152" s="181" t="s">
        <v>79</v>
      </c>
      <c r="G152" s="182">
        <v>45999</v>
      </c>
      <c r="H152" s="182">
        <v>45999</v>
      </c>
      <c r="I152" s="183">
        <v>10000</v>
      </c>
      <c r="J152" s="184">
        <f t="shared" si="9"/>
        <v>11245.333333333334</v>
      </c>
      <c r="M152" s="185"/>
    </row>
    <row r="153" spans="2:13" s="73" customFormat="1" ht="15">
      <c r="B153" s="85">
        <f t="shared" si="8"/>
        <v>146</v>
      </c>
      <c r="C153" s="73" t="s">
        <v>76</v>
      </c>
      <c r="D153" s="73" t="s">
        <v>54</v>
      </c>
      <c r="E153" s="88" t="s">
        <v>54</v>
      </c>
      <c r="F153" s="78" t="s">
        <v>79</v>
      </c>
      <c r="G153" s="86">
        <v>46021</v>
      </c>
      <c r="H153" s="86">
        <v>46021</v>
      </c>
      <c r="I153" s="76">
        <v>-1000</v>
      </c>
      <c r="J153" s="89">
        <f t="shared" si="9"/>
        <v>10245.333333333334</v>
      </c>
      <c r="L153" s="73" t="s">
        <v>243</v>
      </c>
      <c r="M153" s="96"/>
    </row>
    <row r="154" spans="2:13" s="73" customFormat="1" ht="15">
      <c r="B154" s="85">
        <f t="shared" si="8"/>
        <v>147</v>
      </c>
      <c r="C154" s="73" t="s">
        <v>66</v>
      </c>
      <c r="D154" s="73" t="s">
        <v>83</v>
      </c>
      <c r="E154" s="88"/>
      <c r="F154" s="88" t="s">
        <v>83</v>
      </c>
      <c r="G154" s="86">
        <v>46022</v>
      </c>
      <c r="H154" s="86">
        <v>46022</v>
      </c>
      <c r="I154" s="76">
        <v>-51.2</v>
      </c>
      <c r="J154" s="89">
        <f t="shared" si="9"/>
        <v>10194.133333333333</v>
      </c>
      <c r="M154" s="96"/>
    </row>
    <row r="155" spans="2:13" s="73" customFormat="1" ht="15">
      <c r="B155" s="90">
        <f t="shared" si="8"/>
        <v>148</v>
      </c>
      <c r="C155" s="91" t="s">
        <v>66</v>
      </c>
      <c r="D155" s="91" t="s">
        <v>83</v>
      </c>
      <c r="E155" s="92"/>
      <c r="F155" s="92" t="s">
        <v>83</v>
      </c>
      <c r="G155" s="93">
        <v>46022</v>
      </c>
      <c r="H155" s="93">
        <v>46022</v>
      </c>
      <c r="I155" s="94">
        <v>-0.9</v>
      </c>
      <c r="J155" s="95">
        <f t="shared" si="9"/>
        <v>10193.233333333334</v>
      </c>
      <c r="M155" s="96"/>
    </row>
    <row r="156" spans="2:13" s="73" customFormat="1" ht="15">
      <c r="B156" s="85">
        <f t="shared" si="8"/>
        <v>149</v>
      </c>
      <c r="C156" s="73" t="s">
        <v>66</v>
      </c>
      <c r="D156" s="73" t="s">
        <v>83</v>
      </c>
      <c r="E156" s="88"/>
      <c r="F156" s="88" t="s">
        <v>83</v>
      </c>
      <c r="G156" s="86">
        <v>46023</v>
      </c>
      <c r="H156" s="86">
        <v>46023</v>
      </c>
      <c r="I156" s="76">
        <v>-19.899999999999999</v>
      </c>
      <c r="J156" s="89">
        <f t="shared" si="9"/>
        <v>10173.333333333334</v>
      </c>
      <c r="M156" s="96"/>
    </row>
    <row r="157" spans="2:13" s="73" customFormat="1" ht="15">
      <c r="B157" s="85">
        <f t="shared" si="8"/>
        <v>150</v>
      </c>
      <c r="C157" s="73" t="s">
        <v>66</v>
      </c>
      <c r="D157" s="73" t="s">
        <v>83</v>
      </c>
      <c r="E157" s="88"/>
      <c r="F157" s="88" t="s">
        <v>83</v>
      </c>
      <c r="G157" s="86">
        <v>46052</v>
      </c>
      <c r="H157" s="86">
        <v>46052</v>
      </c>
      <c r="I157" s="76">
        <v>-40</v>
      </c>
      <c r="J157" s="89">
        <f t="shared" si="9"/>
        <v>10133.333333333334</v>
      </c>
      <c r="M157" s="96"/>
    </row>
    <row r="158" spans="2:13" s="73" customFormat="1" ht="15">
      <c r="B158" s="85">
        <f t="shared" si="8"/>
        <v>151</v>
      </c>
      <c r="C158" s="73" t="s">
        <v>66</v>
      </c>
      <c r="D158" s="73" t="s">
        <v>83</v>
      </c>
      <c r="E158" s="88"/>
      <c r="F158" s="88" t="s">
        <v>83</v>
      </c>
      <c r="G158" s="86">
        <v>46054</v>
      </c>
      <c r="H158" s="86">
        <v>46054</v>
      </c>
      <c r="I158" s="76">
        <v>-19.899999999999999</v>
      </c>
      <c r="J158" s="89">
        <f t="shared" si="9"/>
        <v>10113.433333333334</v>
      </c>
      <c r="M158" s="96"/>
    </row>
    <row r="159" spans="2:13" s="73" customFormat="1" ht="15">
      <c r="B159" s="85">
        <f t="shared" si="8"/>
        <v>152</v>
      </c>
      <c r="C159" s="73" t="s">
        <v>250</v>
      </c>
      <c r="D159" s="73" t="s">
        <v>79</v>
      </c>
      <c r="E159" s="88"/>
      <c r="F159" s="88" t="s">
        <v>103</v>
      </c>
      <c r="G159" s="86">
        <v>46063</v>
      </c>
      <c r="H159" s="86">
        <v>46063</v>
      </c>
      <c r="I159" s="76">
        <v>-401.25</v>
      </c>
      <c r="J159" s="89">
        <f t="shared" si="9"/>
        <v>9712.1833333333343</v>
      </c>
      <c r="L159" s="78"/>
      <c r="M159" s="105"/>
    </row>
    <row r="160" spans="2:13" s="73" customFormat="1" ht="15">
      <c r="B160" s="85">
        <f t="shared" si="8"/>
        <v>153</v>
      </c>
      <c r="C160" s="73" t="s">
        <v>66</v>
      </c>
      <c r="D160" s="73" t="s">
        <v>83</v>
      </c>
      <c r="E160" s="88"/>
      <c r="F160" s="88" t="s">
        <v>83</v>
      </c>
      <c r="G160" s="86">
        <v>46083</v>
      </c>
      <c r="H160" s="86">
        <v>46083</v>
      </c>
      <c r="I160" s="76">
        <v>-20.5</v>
      </c>
      <c r="J160" s="89">
        <f t="shared" si="9"/>
        <v>9691.6833333333343</v>
      </c>
      <c r="M160" s="96"/>
    </row>
    <row r="161" spans="2:13" s="73" customFormat="1" ht="15">
      <c r="B161" s="85">
        <f t="shared" si="8"/>
        <v>154</v>
      </c>
      <c r="C161" s="73" t="s">
        <v>76</v>
      </c>
      <c r="D161" s="73" t="s">
        <v>54</v>
      </c>
      <c r="E161" s="88" t="s">
        <v>54</v>
      </c>
      <c r="F161" s="78" t="s">
        <v>54</v>
      </c>
      <c r="G161" s="86">
        <v>46085</v>
      </c>
      <c r="H161" s="86">
        <v>46085</v>
      </c>
      <c r="I161" s="76">
        <v>-1000</v>
      </c>
      <c r="J161" s="89">
        <f t="shared" si="9"/>
        <v>8691.6833333333343</v>
      </c>
      <c r="L161" s="73" t="s">
        <v>243</v>
      </c>
      <c r="M161" s="96"/>
    </row>
    <row r="162" spans="2:13" s="73" customFormat="1" ht="15">
      <c r="B162" s="85">
        <f t="shared" si="8"/>
        <v>155</v>
      </c>
      <c r="C162" s="73" t="s">
        <v>76</v>
      </c>
      <c r="D162" s="73" t="s">
        <v>54</v>
      </c>
      <c r="E162" s="88" t="s">
        <v>54</v>
      </c>
      <c r="F162" s="78" t="s">
        <v>54</v>
      </c>
      <c r="G162" s="86">
        <v>46087</v>
      </c>
      <c r="H162" s="86">
        <v>46087</v>
      </c>
      <c r="I162" s="76">
        <v>-4000</v>
      </c>
      <c r="J162" s="89">
        <f t="shared" si="9"/>
        <v>4691.6833333333343</v>
      </c>
      <c r="L162" s="73" t="s">
        <v>243</v>
      </c>
      <c r="M162" s="96"/>
    </row>
    <row r="163" spans="2:13" s="73" customFormat="1" ht="15">
      <c r="B163" s="85">
        <f t="shared" si="8"/>
        <v>156</v>
      </c>
      <c r="C163" s="73" t="s">
        <v>76</v>
      </c>
      <c r="D163" s="73" t="s">
        <v>54</v>
      </c>
      <c r="E163" s="88" t="s">
        <v>54</v>
      </c>
      <c r="F163" s="78" t="s">
        <v>54</v>
      </c>
      <c r="G163" s="86">
        <v>46090</v>
      </c>
      <c r="H163" s="86">
        <v>46090</v>
      </c>
      <c r="I163" s="76">
        <v>-4000</v>
      </c>
      <c r="J163" s="89">
        <f t="shared" si="9"/>
        <v>691.6833333333343</v>
      </c>
      <c r="L163" s="73" t="s">
        <v>243</v>
      </c>
      <c r="M163" s="96"/>
    </row>
    <row r="164" spans="2:13" s="73" customFormat="1" ht="15">
      <c r="B164" s="85">
        <f t="shared" si="8"/>
        <v>157</v>
      </c>
      <c r="C164" s="73" t="s">
        <v>66</v>
      </c>
      <c r="D164" s="73" t="s">
        <v>83</v>
      </c>
      <c r="E164" s="88"/>
      <c r="F164" s="88" t="s">
        <v>83</v>
      </c>
      <c r="G164" s="86">
        <v>46092</v>
      </c>
      <c r="H164" s="86">
        <v>46092</v>
      </c>
      <c r="I164" s="76">
        <v>-5.7</v>
      </c>
      <c r="J164" s="89">
        <f t="shared" si="9"/>
        <v>685.98333333333426</v>
      </c>
      <c r="M164" s="96"/>
    </row>
    <row r="165" spans="2:13" s="73" customFormat="1" ht="15">
      <c r="B165" s="85">
        <f t="shared" si="8"/>
        <v>158</v>
      </c>
      <c r="C165" s="73" t="s">
        <v>76</v>
      </c>
      <c r="D165" s="73" t="s">
        <v>54</v>
      </c>
      <c r="E165" s="88" t="s">
        <v>54</v>
      </c>
      <c r="F165" s="78" t="s">
        <v>54</v>
      </c>
      <c r="G165" s="86">
        <v>46093</v>
      </c>
      <c r="H165" s="86">
        <v>46093</v>
      </c>
      <c r="I165" s="76">
        <v>-585.98</v>
      </c>
      <c r="J165" s="89">
        <f t="shared" si="9"/>
        <v>100.00333333333424</v>
      </c>
      <c r="L165" s="73" t="s">
        <v>243</v>
      </c>
      <c r="M165" s="96"/>
    </row>
    <row r="166" spans="2:13" s="73" customFormat="1" ht="15">
      <c r="B166" s="85">
        <f t="shared" si="8"/>
        <v>159</v>
      </c>
      <c r="C166" s="73" t="s">
        <v>66</v>
      </c>
      <c r="D166" s="73" t="s">
        <v>83</v>
      </c>
      <c r="E166" s="88"/>
      <c r="F166" s="88" t="s">
        <v>83</v>
      </c>
      <c r="G166" s="86">
        <v>46113</v>
      </c>
      <c r="H166" s="86">
        <v>46113</v>
      </c>
      <c r="I166" s="76">
        <v>-40</v>
      </c>
      <c r="J166" s="89">
        <f t="shared" si="9"/>
        <v>60.00333333333424</v>
      </c>
      <c r="M166" s="96"/>
    </row>
    <row r="167" spans="2:13" s="73" customFormat="1" ht="15">
      <c r="B167" s="85">
        <f t="shared" si="8"/>
        <v>160</v>
      </c>
      <c r="C167" s="73" t="s">
        <v>66</v>
      </c>
      <c r="D167" s="73" t="s">
        <v>83</v>
      </c>
      <c r="E167" s="88"/>
      <c r="F167" s="88" t="s">
        <v>83</v>
      </c>
      <c r="G167" s="86">
        <v>46113</v>
      </c>
      <c r="H167" s="86">
        <v>46113</v>
      </c>
      <c r="I167" s="76">
        <v>-0.69</v>
      </c>
      <c r="J167" s="89">
        <f t="shared" si="9"/>
        <v>59.313333333334242</v>
      </c>
      <c r="M167" s="96"/>
    </row>
    <row r="168" spans="2:13" s="73" customFormat="1" ht="15">
      <c r="B168" s="85">
        <f t="shared" si="8"/>
        <v>161</v>
      </c>
      <c r="C168" s="73" t="s">
        <v>66</v>
      </c>
      <c r="D168" s="73" t="s">
        <v>83</v>
      </c>
      <c r="E168" s="88"/>
      <c r="F168" s="88" t="s">
        <v>83</v>
      </c>
      <c r="G168" s="86">
        <v>46113</v>
      </c>
      <c r="H168" s="86">
        <v>46113</v>
      </c>
      <c r="I168" s="76">
        <v>-19.899999999999999</v>
      </c>
      <c r="J168" s="89">
        <f t="shared" si="9"/>
        <v>39.413333333334243</v>
      </c>
      <c r="M168" s="96"/>
    </row>
    <row r="169" spans="2:13" s="73" customFormat="1" ht="15">
      <c r="B169" s="85">
        <f t="shared" si="8"/>
        <v>162</v>
      </c>
      <c r="C169" s="73" t="s">
        <v>66</v>
      </c>
      <c r="D169" s="73" t="s">
        <v>83</v>
      </c>
      <c r="E169" s="88"/>
      <c r="F169" s="88" t="s">
        <v>83</v>
      </c>
      <c r="G169" s="86">
        <v>46144</v>
      </c>
      <c r="H169" s="86">
        <v>46144</v>
      </c>
      <c r="I169" s="76">
        <v>-19.899999999999999</v>
      </c>
      <c r="J169" s="89">
        <f t="shared" ref="J169" si="10">IF(I169="",".",J168+I169)</f>
        <v>19.513333333334245</v>
      </c>
      <c r="M169" s="96"/>
    </row>
    <row r="170" spans="2:13" s="73" customFormat="1" ht="15">
      <c r="B170" s="85">
        <f t="shared" si="8"/>
        <v>163</v>
      </c>
      <c r="C170" s="73" t="s">
        <v>66</v>
      </c>
      <c r="D170" s="73" t="s">
        <v>83</v>
      </c>
      <c r="E170" s="88"/>
      <c r="F170" s="88" t="s">
        <v>254</v>
      </c>
      <c r="G170" s="86">
        <v>46163</v>
      </c>
      <c r="H170" s="86">
        <v>46163</v>
      </c>
      <c r="I170" s="76">
        <v>-19.510000000000002</v>
      </c>
      <c r="J170" s="89">
        <f t="shared" ref="J170" si="11">IF(I170="",".",J169+I170)</f>
        <v>3.3333333342433491E-3</v>
      </c>
      <c r="M170" s="96"/>
    </row>
    <row r="171" spans="2:13" s="73" customFormat="1" ht="15">
      <c r="B171" s="85"/>
      <c r="E171" s="88"/>
      <c r="F171" s="88"/>
      <c r="G171" s="86"/>
      <c r="H171" s="86"/>
      <c r="I171" s="76"/>
      <c r="J171" s="89" t="str">
        <f>IF(I171="",".",J168+I171)</f>
        <v>.</v>
      </c>
      <c r="M171" s="96"/>
    </row>
    <row r="172" spans="2:13" s="73" customFormat="1" ht="15">
      <c r="B172" s="85"/>
      <c r="E172" s="72"/>
      <c r="F172" s="72"/>
      <c r="G172" s="72"/>
      <c r="H172" s="72"/>
      <c r="I172" s="76"/>
      <c r="J172" s="89" t="str">
        <f>IF(I172="",".",J139+I172)</f>
        <v>.</v>
      </c>
      <c r="M172" s="96"/>
    </row>
    <row r="173" spans="2:13" s="73" customFormat="1" ht="15">
      <c r="B173" s="97"/>
      <c r="C173" s="98"/>
      <c r="D173" s="98"/>
      <c r="E173" s="99"/>
      <c r="F173" s="99"/>
      <c r="G173" s="99"/>
      <c r="H173" s="99"/>
      <c r="I173" s="100">
        <f>SUM(I6:I172)</f>
        <v>3.3333333342433491E-3</v>
      </c>
      <c r="J173" s="101">
        <f>INDEX(J6:J172,COUNTIF(J6:J172,"&lt;&gt;."))</f>
        <v>3.3333333342433491E-3</v>
      </c>
      <c r="M173" s="96"/>
    </row>
    <row r="174" spans="2:13" s="19" customFormat="1">
      <c r="B174" s="15"/>
      <c r="C174" s="16"/>
      <c r="D174" s="16"/>
      <c r="E174" s="15"/>
      <c r="F174" s="15"/>
      <c r="G174" s="15"/>
      <c r="H174" s="15"/>
      <c r="I174" s="17"/>
      <c r="J174" s="18"/>
    </row>
  </sheetData>
  <autoFilter ref="B5:J173" xr:uid="{00000000-0009-0000-0000-000000000000}"/>
  <mergeCells count="1">
    <mergeCell ref="I4:J4"/>
  </mergeCells>
  <pageMargins left="0.15748031496062992" right="0.15748031496062992" top="0.39370078740157483" bottom="0.39370078740157483" header="0.51181102362204722" footer="0.51181102362204722"/>
  <pageSetup paperSize="9" scale="89" orientation="landscape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"/>
  <sheetViews>
    <sheetView workbookViewId="0">
      <pane ySplit="5" topLeftCell="A78" activePane="bottomLeft" state="frozen"/>
      <selection pane="bottomLeft" activeCell="D80" sqref="D80"/>
    </sheetView>
  </sheetViews>
  <sheetFormatPr defaultColWidth="9.140625" defaultRowHeight="15"/>
  <cols>
    <col min="1" max="1" width="70.7109375" bestFit="1" customWidth="1"/>
    <col min="2" max="6" width="14.7109375" customWidth="1"/>
    <col min="7" max="7" width="18.28515625" bestFit="1" customWidth="1"/>
    <col min="8" max="8" width="17.140625" customWidth="1"/>
  </cols>
  <sheetData>
    <row r="1" spans="1:8">
      <c r="A1" s="11" t="s">
        <v>8</v>
      </c>
      <c r="B1" t="s">
        <v>259</v>
      </c>
    </row>
    <row r="2" spans="1:8">
      <c r="A2" s="11" t="s">
        <v>10</v>
      </c>
      <c r="B2" t="s">
        <v>35</v>
      </c>
    </row>
    <row r="4" spans="1:8">
      <c r="A4" s="11" t="s">
        <v>31</v>
      </c>
      <c r="B4" s="11" t="s">
        <v>256</v>
      </c>
    </row>
    <row r="5" spans="1:8" s="10" customFormat="1">
      <c r="A5" s="143" t="s">
        <v>257</v>
      </c>
      <c r="B5" s="10">
        <v>2021</v>
      </c>
      <c r="C5" s="10">
        <v>2022</v>
      </c>
      <c r="D5" s="10">
        <v>2023</v>
      </c>
      <c r="E5" s="10">
        <v>2024</v>
      </c>
      <c r="F5">
        <v>2025</v>
      </c>
      <c r="G5">
        <v>2026</v>
      </c>
      <c r="H5" s="10" t="s">
        <v>258</v>
      </c>
    </row>
    <row r="6" spans="1:8">
      <c r="A6" s="12" t="s">
        <v>278</v>
      </c>
      <c r="B6" s="9"/>
      <c r="C6" s="9"/>
      <c r="D6" s="9"/>
      <c r="E6" s="9"/>
      <c r="F6" s="9"/>
      <c r="G6" s="9"/>
      <c r="H6" s="9"/>
    </row>
    <row r="7" spans="1:8">
      <c r="A7" s="13" t="s">
        <v>278</v>
      </c>
      <c r="B7" s="9"/>
      <c r="C7" s="9"/>
      <c r="D7" s="9"/>
      <c r="E7" s="9"/>
      <c r="F7" s="9"/>
      <c r="G7" s="9"/>
      <c r="H7" s="9"/>
    </row>
    <row r="8" spans="1:8">
      <c r="A8" s="14" t="s">
        <v>238</v>
      </c>
      <c r="B8" s="9"/>
      <c r="C8" s="9"/>
      <c r="D8" s="9"/>
      <c r="E8" s="9"/>
      <c r="F8" s="9"/>
      <c r="G8" s="9"/>
      <c r="H8" s="9"/>
    </row>
    <row r="9" spans="1:8">
      <c r="A9" s="132" t="s">
        <v>240</v>
      </c>
      <c r="B9" s="9"/>
      <c r="C9" s="9"/>
      <c r="D9" s="9"/>
      <c r="E9" s="9"/>
      <c r="F9" s="9">
        <v>10000</v>
      </c>
      <c r="G9" s="9"/>
      <c r="H9" s="9">
        <v>10000</v>
      </c>
    </row>
    <row r="10" spans="1:8">
      <c r="A10" s="12" t="s">
        <v>34</v>
      </c>
      <c r="B10" s="9"/>
      <c r="C10" s="9"/>
      <c r="D10" s="9"/>
      <c r="E10" s="9"/>
      <c r="F10" s="9"/>
      <c r="G10" s="9"/>
      <c r="H10" s="9"/>
    </row>
    <row r="11" spans="1:8">
      <c r="A11" s="13" t="s">
        <v>180</v>
      </c>
      <c r="B11" s="9"/>
      <c r="C11" s="9"/>
      <c r="D11" s="9"/>
      <c r="E11" s="9"/>
      <c r="F11" s="9"/>
      <c r="G11" s="9"/>
      <c r="H11" s="9"/>
    </row>
    <row r="12" spans="1:8">
      <c r="A12" s="14" t="s">
        <v>118</v>
      </c>
      <c r="B12" s="9"/>
      <c r="C12" s="9"/>
      <c r="D12" s="9"/>
      <c r="E12" s="9"/>
      <c r="F12" s="9"/>
      <c r="G12" s="9"/>
      <c r="H12" s="9"/>
    </row>
    <row r="13" spans="1:8">
      <c r="A13" s="132" t="s">
        <v>119</v>
      </c>
      <c r="B13" s="9"/>
      <c r="C13" s="9">
        <v>0</v>
      </c>
      <c r="D13" s="9"/>
      <c r="E13" s="9"/>
      <c r="F13" s="9"/>
      <c r="G13" s="9"/>
      <c r="H13" s="9">
        <v>0</v>
      </c>
    </row>
    <row r="14" spans="1:8">
      <c r="A14" s="14" t="s">
        <v>106</v>
      </c>
      <c r="B14" s="9"/>
      <c r="C14" s="9"/>
      <c r="D14" s="9"/>
      <c r="E14" s="9"/>
      <c r="F14" s="9"/>
      <c r="G14" s="9"/>
      <c r="H14" s="9"/>
    </row>
    <row r="15" spans="1:8">
      <c r="A15" s="132" t="s">
        <v>82</v>
      </c>
      <c r="B15" s="9"/>
      <c r="C15" s="9">
        <v>-3154.3917000000001</v>
      </c>
      <c r="D15" s="9"/>
      <c r="E15" s="9"/>
      <c r="F15" s="9"/>
      <c r="G15" s="9"/>
      <c r="H15" s="9">
        <v>-3154.3917000000001</v>
      </c>
    </row>
    <row r="16" spans="1:8">
      <c r="A16" s="14" t="s">
        <v>110</v>
      </c>
      <c r="B16" s="9"/>
      <c r="C16" s="9"/>
      <c r="D16" s="9"/>
      <c r="E16" s="9"/>
      <c r="F16" s="9"/>
      <c r="G16" s="9"/>
      <c r="H16" s="9"/>
    </row>
    <row r="17" spans="1:8">
      <c r="A17" s="132" t="s">
        <v>82</v>
      </c>
      <c r="B17" s="9"/>
      <c r="C17" s="9">
        <v>0</v>
      </c>
      <c r="D17" s="9"/>
      <c r="E17" s="9"/>
      <c r="F17" s="9"/>
      <c r="G17" s="9"/>
      <c r="H17" s="9">
        <v>0</v>
      </c>
    </row>
    <row r="18" spans="1:8">
      <c r="A18" s="13" t="s">
        <v>145</v>
      </c>
      <c r="B18" s="9"/>
      <c r="C18" s="9"/>
      <c r="D18" s="9"/>
      <c r="E18" s="9"/>
      <c r="F18" s="9"/>
      <c r="G18" s="9"/>
      <c r="H18" s="9"/>
    </row>
    <row r="19" spans="1:8">
      <c r="A19" s="14" t="s">
        <v>32</v>
      </c>
      <c r="B19" s="9"/>
      <c r="C19" s="9"/>
      <c r="D19" s="9"/>
      <c r="E19" s="9"/>
      <c r="F19" s="9"/>
      <c r="G19" s="9"/>
      <c r="H19" s="9"/>
    </row>
    <row r="20" spans="1:8">
      <c r="A20" s="132" t="s">
        <v>83</v>
      </c>
      <c r="B20" s="9">
        <v>-742.69</v>
      </c>
      <c r="C20" s="9">
        <v>-441.56999999999994</v>
      </c>
      <c r="D20" s="9">
        <v>-372.15999999999991</v>
      </c>
      <c r="E20" s="9">
        <v>-446.39999999999992</v>
      </c>
      <c r="F20" s="9">
        <v>-376.83</v>
      </c>
      <c r="G20" s="9">
        <v>-206</v>
      </c>
      <c r="H20" s="9">
        <v>-2585.6499999999996</v>
      </c>
    </row>
    <row r="21" spans="1:8">
      <c r="A21" s="13" t="s">
        <v>142</v>
      </c>
      <c r="B21" s="9"/>
      <c r="C21" s="9"/>
      <c r="D21" s="9"/>
      <c r="E21" s="9"/>
      <c r="F21" s="9"/>
      <c r="G21" s="9"/>
      <c r="H21" s="9"/>
    </row>
    <row r="22" spans="1:8">
      <c r="A22" s="14" t="s">
        <v>106</v>
      </c>
      <c r="B22" s="9"/>
      <c r="C22" s="9"/>
      <c r="D22" s="9"/>
      <c r="E22" s="9"/>
      <c r="F22" s="9"/>
      <c r="G22" s="9"/>
      <c r="H22" s="9"/>
    </row>
    <row r="23" spans="1:8">
      <c r="A23" s="132" t="s">
        <v>82</v>
      </c>
      <c r="B23" s="9"/>
      <c r="C23" s="9">
        <v>-124.328</v>
      </c>
      <c r="D23" s="9"/>
      <c r="E23" s="9"/>
      <c r="F23" s="9"/>
      <c r="G23" s="9"/>
      <c r="H23" s="9">
        <v>-124.328</v>
      </c>
    </row>
    <row r="24" spans="1:8">
      <c r="A24" s="13" t="s">
        <v>138</v>
      </c>
      <c r="B24" s="9"/>
      <c r="C24" s="9"/>
      <c r="D24" s="9"/>
      <c r="E24" s="9"/>
      <c r="F24" s="9"/>
      <c r="G24" s="9"/>
      <c r="H24" s="9"/>
    </row>
    <row r="25" spans="1:8">
      <c r="A25" s="14" t="s">
        <v>132</v>
      </c>
      <c r="B25" s="9"/>
      <c r="C25" s="9"/>
      <c r="D25" s="9"/>
      <c r="E25" s="9"/>
      <c r="F25" s="9"/>
      <c r="G25" s="9"/>
      <c r="H25" s="9"/>
    </row>
    <row r="26" spans="1:8">
      <c r="A26" s="132" t="s">
        <v>154</v>
      </c>
      <c r="B26" s="9"/>
      <c r="C26" s="9"/>
      <c r="D26" s="9">
        <v>-1740</v>
      </c>
      <c r="E26" s="9"/>
      <c r="F26" s="9"/>
      <c r="G26" s="9"/>
      <c r="H26" s="9">
        <v>-1740</v>
      </c>
    </row>
    <row r="27" spans="1:8">
      <c r="A27" s="14" t="s">
        <v>133</v>
      </c>
      <c r="B27" s="9"/>
      <c r="C27" s="9"/>
      <c r="D27" s="9"/>
      <c r="E27" s="9"/>
      <c r="F27" s="9"/>
      <c r="G27" s="9"/>
      <c r="H27" s="9"/>
    </row>
    <row r="28" spans="1:8">
      <c r="A28" s="132" t="s">
        <v>154</v>
      </c>
      <c r="B28" s="9"/>
      <c r="C28" s="9"/>
      <c r="D28" s="9">
        <v>-4640</v>
      </c>
      <c r="E28" s="9"/>
      <c r="F28" s="9"/>
      <c r="G28" s="9"/>
      <c r="H28" s="9">
        <v>-4640</v>
      </c>
    </row>
    <row r="29" spans="1:8">
      <c r="A29" s="14" t="s">
        <v>210</v>
      </c>
      <c r="B29" s="9"/>
      <c r="C29" s="9"/>
      <c r="D29" s="9"/>
      <c r="E29" s="9"/>
      <c r="F29" s="9"/>
      <c r="G29" s="9"/>
      <c r="H29" s="9"/>
    </row>
    <row r="30" spans="1:8">
      <c r="A30" s="132" t="s">
        <v>154</v>
      </c>
      <c r="B30" s="9"/>
      <c r="C30" s="9"/>
      <c r="D30" s="9"/>
      <c r="E30" s="9">
        <v>-4640</v>
      </c>
      <c r="F30" s="9"/>
      <c r="G30" s="9"/>
      <c r="H30" s="9">
        <v>-4640</v>
      </c>
    </row>
    <row r="31" spans="1:8">
      <c r="A31" s="14" t="s">
        <v>237</v>
      </c>
      <c r="B31" s="9"/>
      <c r="C31" s="9"/>
      <c r="D31" s="9"/>
      <c r="E31" s="9"/>
      <c r="F31" s="9"/>
      <c r="G31" s="9"/>
      <c r="H31" s="9"/>
    </row>
    <row r="32" spans="1:8">
      <c r="A32" s="132" t="s">
        <v>154</v>
      </c>
      <c r="B32" s="9"/>
      <c r="C32" s="9"/>
      <c r="D32" s="9"/>
      <c r="E32" s="9"/>
      <c r="F32" s="9">
        <v>-4680</v>
      </c>
      <c r="G32" s="9"/>
      <c r="H32" s="9">
        <v>-4680</v>
      </c>
    </row>
    <row r="33" spans="1:8">
      <c r="A33" s="13" t="s">
        <v>139</v>
      </c>
      <c r="B33" s="9"/>
      <c r="C33" s="9"/>
      <c r="D33" s="9"/>
      <c r="E33" s="9"/>
      <c r="F33" s="9"/>
      <c r="G33" s="9"/>
      <c r="H33" s="9"/>
    </row>
    <row r="34" spans="1:8">
      <c r="A34" s="14" t="s">
        <v>112</v>
      </c>
      <c r="B34" s="9"/>
      <c r="C34" s="9"/>
      <c r="D34" s="9"/>
      <c r="E34" s="9"/>
      <c r="F34" s="9"/>
      <c r="G34" s="9"/>
      <c r="H34" s="9"/>
    </row>
    <row r="35" spans="1:8">
      <c r="A35" s="132" t="s">
        <v>113</v>
      </c>
      <c r="B35" s="9"/>
      <c r="C35" s="9">
        <v>-87.75</v>
      </c>
      <c r="D35" s="9"/>
      <c r="E35" s="9"/>
      <c r="F35" s="9"/>
      <c r="G35" s="9"/>
      <c r="H35" s="9">
        <v>-87.75</v>
      </c>
    </row>
    <row r="36" spans="1:8">
      <c r="A36" s="13" t="s">
        <v>137</v>
      </c>
      <c r="B36" s="9"/>
      <c r="C36" s="9"/>
      <c r="D36" s="9"/>
      <c r="E36" s="9"/>
      <c r="F36" s="9"/>
      <c r="G36" s="9"/>
      <c r="H36" s="9"/>
    </row>
    <row r="37" spans="1:8">
      <c r="A37" s="14" t="s">
        <v>116</v>
      </c>
      <c r="B37" s="9"/>
      <c r="C37" s="9"/>
      <c r="D37" s="9"/>
      <c r="E37" s="9"/>
      <c r="F37" s="9"/>
      <c r="G37" s="9"/>
      <c r="H37" s="9"/>
    </row>
    <row r="38" spans="1:8">
      <c r="A38" s="132" t="s">
        <v>115</v>
      </c>
      <c r="B38" s="9"/>
      <c r="C38" s="9">
        <v>-20</v>
      </c>
      <c r="D38" s="9"/>
      <c r="E38" s="9"/>
      <c r="F38" s="9"/>
      <c r="G38" s="9"/>
      <c r="H38" s="9">
        <v>-20</v>
      </c>
    </row>
    <row r="39" spans="1:8">
      <c r="A39" s="14" t="s">
        <v>106</v>
      </c>
      <c r="B39" s="9"/>
      <c r="C39" s="9"/>
      <c r="D39" s="9"/>
      <c r="E39" s="9"/>
      <c r="F39" s="9"/>
      <c r="G39" s="9"/>
      <c r="H39" s="9"/>
    </row>
    <row r="40" spans="1:8">
      <c r="A40" s="132" t="s">
        <v>82</v>
      </c>
      <c r="B40" s="9"/>
      <c r="C40" s="9">
        <v>-178.90289999999999</v>
      </c>
      <c r="D40" s="9"/>
      <c r="E40" s="9"/>
      <c r="F40" s="9"/>
      <c r="G40" s="9"/>
      <c r="H40" s="9">
        <v>-178.90289999999999</v>
      </c>
    </row>
    <row r="41" spans="1:8">
      <c r="A41" s="13" t="s">
        <v>140</v>
      </c>
      <c r="B41" s="9"/>
      <c r="C41" s="9"/>
      <c r="D41" s="9"/>
      <c r="E41" s="9"/>
      <c r="F41" s="9"/>
      <c r="G41" s="9"/>
      <c r="H41" s="9"/>
    </row>
    <row r="42" spans="1:8">
      <c r="A42" s="14" t="s">
        <v>122</v>
      </c>
      <c r="B42" s="9"/>
      <c r="C42" s="9"/>
      <c r="D42" s="9"/>
      <c r="E42" s="9"/>
      <c r="F42" s="9"/>
      <c r="G42" s="9"/>
      <c r="H42" s="9"/>
    </row>
    <row r="43" spans="1:8">
      <c r="A43" s="132" t="s">
        <v>123</v>
      </c>
      <c r="B43" s="9"/>
      <c r="C43" s="9">
        <v>-75</v>
      </c>
      <c r="D43" s="9"/>
      <c r="E43" s="9"/>
      <c r="F43" s="9"/>
      <c r="G43" s="9"/>
      <c r="H43" s="9">
        <v>-75</v>
      </c>
    </row>
    <row r="44" spans="1:8">
      <c r="A44" s="14" t="s">
        <v>212</v>
      </c>
      <c r="B44" s="9"/>
      <c r="C44" s="9"/>
      <c r="D44" s="9"/>
      <c r="E44" s="9"/>
      <c r="F44" s="9"/>
      <c r="G44" s="9"/>
      <c r="H44" s="9"/>
    </row>
    <row r="45" spans="1:8">
      <c r="A45" s="132" t="s">
        <v>213</v>
      </c>
      <c r="B45" s="9"/>
      <c r="C45" s="9"/>
      <c r="D45" s="9"/>
      <c r="E45" s="9"/>
      <c r="F45" s="9">
        <v>-24.4</v>
      </c>
      <c r="G45" s="9"/>
      <c r="H45" s="9">
        <v>-24.4</v>
      </c>
    </row>
    <row r="46" spans="1:8">
      <c r="A46" s="13" t="s">
        <v>143</v>
      </c>
      <c r="B46" s="9"/>
      <c r="C46" s="9"/>
      <c r="D46" s="9"/>
      <c r="E46" s="9"/>
      <c r="F46" s="9"/>
      <c r="G46" s="9"/>
      <c r="H46" s="9"/>
    </row>
    <row r="47" spans="1:8">
      <c r="A47" s="14" t="s">
        <v>127</v>
      </c>
      <c r="B47" s="9"/>
      <c r="C47" s="9"/>
      <c r="D47" s="9"/>
      <c r="E47" s="9"/>
      <c r="F47" s="9"/>
      <c r="G47" s="9"/>
      <c r="H47" s="9"/>
    </row>
    <row r="48" spans="1:8">
      <c r="A48" s="132" t="s">
        <v>126</v>
      </c>
      <c r="B48" s="9"/>
      <c r="C48" s="9">
        <v>-350</v>
      </c>
      <c r="D48" s="9">
        <v>-350</v>
      </c>
      <c r="E48" s="9">
        <v>-350</v>
      </c>
      <c r="F48" s="9">
        <v>-350</v>
      </c>
      <c r="G48" s="9"/>
      <c r="H48" s="9">
        <v>-1400</v>
      </c>
    </row>
    <row r="49" spans="1:8">
      <c r="A49" s="13" t="s">
        <v>144</v>
      </c>
      <c r="B49" s="9"/>
      <c r="C49" s="9"/>
      <c r="D49" s="9"/>
      <c r="E49" s="9"/>
      <c r="F49" s="9"/>
      <c r="G49" s="9"/>
      <c r="H49" s="9"/>
    </row>
    <row r="50" spans="1:8">
      <c r="A50" s="14" t="s">
        <v>151</v>
      </c>
      <c r="B50" s="9"/>
      <c r="C50" s="9"/>
      <c r="D50" s="9"/>
      <c r="E50" s="9"/>
      <c r="F50" s="9"/>
      <c r="G50" s="9"/>
      <c r="H50" s="9"/>
    </row>
    <row r="51" spans="1:8">
      <c r="A51" s="132" t="s">
        <v>102</v>
      </c>
      <c r="B51" s="9"/>
      <c r="C51" s="9">
        <v>-534.99</v>
      </c>
      <c r="D51" s="9">
        <v>-4280.01</v>
      </c>
      <c r="E51" s="9"/>
      <c r="F51" s="9"/>
      <c r="G51" s="9"/>
      <c r="H51" s="9">
        <v>-4815</v>
      </c>
    </row>
    <row r="52" spans="1:8">
      <c r="A52" s="14" t="s">
        <v>152</v>
      </c>
      <c r="B52" s="9"/>
      <c r="C52" s="9"/>
      <c r="D52" s="9"/>
      <c r="E52" s="9"/>
      <c r="F52" s="9"/>
      <c r="G52" s="9"/>
      <c r="H52" s="9"/>
    </row>
    <row r="53" spans="1:8">
      <c r="A53" s="132" t="s">
        <v>102</v>
      </c>
      <c r="B53" s="9"/>
      <c r="C53" s="9"/>
      <c r="D53" s="9">
        <v>-4815</v>
      </c>
      <c r="E53" s="9"/>
      <c r="F53" s="9"/>
      <c r="G53" s="9"/>
      <c r="H53" s="9">
        <v>-4815</v>
      </c>
    </row>
    <row r="54" spans="1:8">
      <c r="A54" s="14" t="s">
        <v>199</v>
      </c>
      <c r="B54" s="9"/>
      <c r="C54" s="9"/>
      <c r="D54" s="9"/>
      <c r="E54" s="9"/>
      <c r="F54" s="9"/>
      <c r="G54" s="9"/>
      <c r="H54" s="9"/>
    </row>
    <row r="55" spans="1:8">
      <c r="A55" s="132" t="s">
        <v>102</v>
      </c>
      <c r="B55" s="9"/>
      <c r="C55" s="9"/>
      <c r="D55" s="9"/>
      <c r="E55" s="9">
        <v>-2407.5</v>
      </c>
      <c r="F55" s="9"/>
      <c r="G55" s="9"/>
      <c r="H55" s="9">
        <v>-2407.5</v>
      </c>
    </row>
    <row r="56" spans="1:8">
      <c r="A56" s="14" t="s">
        <v>114</v>
      </c>
      <c r="B56" s="9"/>
      <c r="C56" s="9"/>
      <c r="D56" s="9"/>
      <c r="E56" s="9"/>
      <c r="F56" s="9"/>
      <c r="G56" s="9"/>
      <c r="H56" s="9"/>
    </row>
    <row r="57" spans="1:8">
      <c r="A57" s="132" t="s">
        <v>102</v>
      </c>
      <c r="B57" s="9"/>
      <c r="C57" s="9">
        <v>0</v>
      </c>
      <c r="D57" s="9"/>
      <c r="E57" s="9"/>
      <c r="F57" s="9"/>
      <c r="G57" s="9"/>
      <c r="H57" s="9">
        <v>0</v>
      </c>
    </row>
    <row r="58" spans="1:8">
      <c r="A58" s="14" t="s">
        <v>203</v>
      </c>
      <c r="B58" s="9"/>
      <c r="C58" s="9"/>
      <c r="D58" s="9"/>
      <c r="E58" s="9"/>
      <c r="F58" s="9"/>
      <c r="G58" s="9"/>
      <c r="H58" s="9"/>
    </row>
    <row r="59" spans="1:8">
      <c r="A59" s="132" t="s">
        <v>102</v>
      </c>
      <c r="B59" s="9"/>
      <c r="C59" s="9"/>
      <c r="D59" s="9"/>
      <c r="E59" s="9">
        <v>3210</v>
      </c>
      <c r="F59" s="9"/>
      <c r="G59" s="9"/>
      <c r="H59" s="9">
        <v>3210</v>
      </c>
    </row>
    <row r="60" spans="1:8">
      <c r="A60" s="14" t="s">
        <v>211</v>
      </c>
      <c r="B60" s="9"/>
      <c r="C60" s="9"/>
      <c r="D60" s="9"/>
      <c r="E60" s="9"/>
      <c r="F60" s="9"/>
      <c r="G60" s="9"/>
      <c r="H60" s="9"/>
    </row>
    <row r="61" spans="1:8">
      <c r="A61" s="132" t="s">
        <v>102</v>
      </c>
      <c r="B61" s="9"/>
      <c r="C61" s="9"/>
      <c r="D61" s="9"/>
      <c r="E61" s="9">
        <v>802.5</v>
      </c>
      <c r="F61" s="9"/>
      <c r="G61" s="9"/>
      <c r="H61" s="9">
        <v>802.5</v>
      </c>
    </row>
    <row r="62" spans="1:8">
      <c r="A62" s="14" t="s">
        <v>207</v>
      </c>
      <c r="B62" s="9"/>
      <c r="C62" s="9"/>
      <c r="D62" s="9"/>
      <c r="E62" s="9"/>
      <c r="F62" s="9"/>
      <c r="G62" s="9"/>
      <c r="H62" s="9"/>
    </row>
    <row r="63" spans="1:8">
      <c r="A63" s="132" t="s">
        <v>102</v>
      </c>
      <c r="B63" s="9"/>
      <c r="C63" s="9"/>
      <c r="D63" s="9"/>
      <c r="E63" s="9"/>
      <c r="F63" s="9">
        <v>-1605</v>
      </c>
      <c r="G63" s="9"/>
      <c r="H63" s="9">
        <v>-1605</v>
      </c>
    </row>
    <row r="64" spans="1:8">
      <c r="A64" s="14" t="s">
        <v>245</v>
      </c>
      <c r="B64" s="9"/>
      <c r="C64" s="9"/>
      <c r="D64" s="9"/>
      <c r="E64" s="9"/>
      <c r="F64" s="9"/>
      <c r="G64" s="9"/>
      <c r="H64" s="9"/>
    </row>
    <row r="65" spans="1:8">
      <c r="A65" s="132" t="s">
        <v>102</v>
      </c>
      <c r="B65" s="9"/>
      <c r="C65" s="9"/>
      <c r="D65" s="9"/>
      <c r="E65" s="9"/>
      <c r="F65" s="9"/>
      <c r="G65" s="9">
        <v>-401.25</v>
      </c>
      <c r="H65" s="9">
        <v>-401.25</v>
      </c>
    </row>
    <row r="66" spans="1:8">
      <c r="A66" s="12" t="s">
        <v>147</v>
      </c>
      <c r="B66" s="9"/>
      <c r="C66" s="9"/>
      <c r="D66" s="9"/>
      <c r="E66" s="9"/>
      <c r="F66" s="9"/>
      <c r="G66" s="9"/>
      <c r="H66" s="9"/>
    </row>
    <row r="67" spans="1:8">
      <c r="A67" s="13" t="s">
        <v>170</v>
      </c>
      <c r="B67" s="9"/>
      <c r="C67" s="9"/>
      <c r="D67" s="9"/>
      <c r="E67" s="9"/>
      <c r="F67" s="9"/>
      <c r="G67" s="9"/>
      <c r="H67" s="9"/>
    </row>
    <row r="68" spans="1:8">
      <c r="A68" s="14" t="s">
        <v>109</v>
      </c>
      <c r="B68" s="9"/>
      <c r="C68" s="9"/>
      <c r="D68" s="9"/>
      <c r="E68" s="9"/>
      <c r="F68" s="9"/>
      <c r="G68" s="9"/>
      <c r="H68" s="9"/>
    </row>
    <row r="69" spans="1:8">
      <c r="A69" s="132" t="s">
        <v>170</v>
      </c>
      <c r="B69" s="9">
        <v>2000</v>
      </c>
      <c r="C69" s="9">
        <v>-19159.759999999998</v>
      </c>
      <c r="D69" s="9">
        <v>17127.420000000002</v>
      </c>
      <c r="E69" s="9">
        <v>5000</v>
      </c>
      <c r="F69" s="9">
        <v>3000</v>
      </c>
      <c r="G69" s="9">
        <v>-9585.98</v>
      </c>
      <c r="H69" s="9">
        <v>-1618.3199999999961</v>
      </c>
    </row>
    <row r="70" spans="1:8">
      <c r="A70" s="13" t="s">
        <v>196</v>
      </c>
      <c r="B70" s="9"/>
      <c r="C70" s="9"/>
      <c r="D70" s="9"/>
      <c r="E70" s="9"/>
      <c r="F70" s="9"/>
      <c r="G70" s="9"/>
      <c r="H70" s="9"/>
    </row>
    <row r="71" spans="1:8">
      <c r="A71" s="14" t="s">
        <v>197</v>
      </c>
      <c r="B71" s="9"/>
      <c r="C71" s="9"/>
      <c r="D71" s="9"/>
      <c r="E71" s="9"/>
      <c r="F71" s="9"/>
      <c r="G71" s="9"/>
      <c r="H71" s="9"/>
    </row>
    <row r="72" spans="1:8">
      <c r="A72" s="132" t="s">
        <v>218</v>
      </c>
      <c r="B72" s="9">
        <v>658.68</v>
      </c>
      <c r="C72" s="9"/>
      <c r="D72" s="9"/>
      <c r="E72" s="9"/>
      <c r="F72" s="9"/>
      <c r="G72" s="9"/>
      <c r="H72" s="9">
        <v>658.68</v>
      </c>
    </row>
    <row r="73" spans="1:8">
      <c r="A73" s="132" t="s">
        <v>219</v>
      </c>
      <c r="B73" s="9">
        <v>658.68</v>
      </c>
      <c r="C73" s="9"/>
      <c r="D73" s="9"/>
      <c r="E73" s="9"/>
      <c r="F73" s="9"/>
      <c r="G73" s="9"/>
      <c r="H73" s="9">
        <v>658.68</v>
      </c>
    </row>
    <row r="74" spans="1:8">
      <c r="A74" s="132" t="s">
        <v>220</v>
      </c>
      <c r="B74" s="9">
        <v>1482.04</v>
      </c>
      <c r="C74" s="9"/>
      <c r="D74" s="9"/>
      <c r="E74" s="9"/>
      <c r="F74" s="9"/>
      <c r="G74" s="9"/>
      <c r="H74" s="9">
        <v>1482.04</v>
      </c>
    </row>
    <row r="75" spans="1:8">
      <c r="A75" s="132" t="s">
        <v>221</v>
      </c>
      <c r="B75" s="9">
        <v>1482.04</v>
      </c>
      <c r="C75" s="9"/>
      <c r="D75" s="9"/>
      <c r="E75" s="9"/>
      <c r="F75" s="9"/>
      <c r="G75" s="9"/>
      <c r="H75" s="9">
        <v>1482.04</v>
      </c>
    </row>
    <row r="76" spans="1:8">
      <c r="A76" s="132" t="s">
        <v>222</v>
      </c>
      <c r="B76" s="9">
        <v>643.71</v>
      </c>
      <c r="C76" s="9"/>
      <c r="D76" s="9"/>
      <c r="E76" s="9"/>
      <c r="F76" s="9"/>
      <c r="G76" s="9"/>
      <c r="H76" s="9">
        <v>643.71</v>
      </c>
    </row>
    <row r="77" spans="1:8">
      <c r="A77" s="132" t="s">
        <v>224</v>
      </c>
      <c r="B77" s="9">
        <v>748.5</v>
      </c>
      <c r="C77" s="9"/>
      <c r="D77" s="9"/>
      <c r="E77" s="9"/>
      <c r="F77" s="9"/>
      <c r="G77" s="9"/>
      <c r="H77" s="9">
        <v>748.5</v>
      </c>
    </row>
    <row r="78" spans="1:8">
      <c r="A78" s="132" t="s">
        <v>225</v>
      </c>
      <c r="B78" s="9">
        <v>763.47</v>
      </c>
      <c r="C78" s="9"/>
      <c r="D78" s="9"/>
      <c r="E78" s="9"/>
      <c r="F78" s="9"/>
      <c r="G78" s="9"/>
      <c r="H78" s="9">
        <v>763.47</v>
      </c>
    </row>
    <row r="79" spans="1:8">
      <c r="A79" s="132" t="s">
        <v>226</v>
      </c>
      <c r="B79" s="9">
        <v>1452.1</v>
      </c>
      <c r="C79" s="9"/>
      <c r="D79" s="9"/>
      <c r="E79" s="9"/>
      <c r="F79" s="9"/>
      <c r="G79" s="9"/>
      <c r="H79" s="9">
        <v>1452.1</v>
      </c>
    </row>
    <row r="80" spans="1:8">
      <c r="A80" s="132" t="s">
        <v>227</v>
      </c>
      <c r="B80" s="9">
        <v>1452.1</v>
      </c>
      <c r="C80" s="9"/>
      <c r="D80" s="9"/>
      <c r="E80" s="9"/>
      <c r="F80" s="9"/>
      <c r="G80" s="9"/>
      <c r="H80" s="9">
        <v>1452.1</v>
      </c>
    </row>
    <row r="81" spans="1:8">
      <c r="A81" s="132" t="s">
        <v>228</v>
      </c>
      <c r="B81" s="9">
        <v>134.72999999999999</v>
      </c>
      <c r="C81" s="9"/>
      <c r="D81" s="9"/>
      <c r="E81" s="9"/>
      <c r="F81" s="9"/>
      <c r="G81" s="9"/>
      <c r="H81" s="9">
        <v>134.72999999999999</v>
      </c>
    </row>
    <row r="82" spans="1:8">
      <c r="A82" s="132" t="s">
        <v>229</v>
      </c>
      <c r="B82" s="9">
        <v>1796.41</v>
      </c>
      <c r="C82" s="9"/>
      <c r="D82" s="9"/>
      <c r="E82" s="9"/>
      <c r="F82" s="9"/>
      <c r="G82" s="9"/>
      <c r="H82" s="9">
        <v>1796.41</v>
      </c>
    </row>
    <row r="83" spans="1:8">
      <c r="A83" s="132" t="s">
        <v>230</v>
      </c>
      <c r="B83" s="9">
        <v>2245.5100000000002</v>
      </c>
      <c r="C83" s="9"/>
      <c r="D83" s="9"/>
      <c r="E83" s="9"/>
      <c r="F83" s="9"/>
      <c r="G83" s="9"/>
      <c r="H83" s="9">
        <v>2245.5100000000002</v>
      </c>
    </row>
    <row r="84" spans="1:8">
      <c r="A84" s="132" t="s">
        <v>231</v>
      </c>
      <c r="B84" s="9">
        <v>1482.04</v>
      </c>
      <c r="C84" s="9"/>
      <c r="D84" s="9"/>
      <c r="E84" s="9"/>
      <c r="F84" s="9"/>
      <c r="G84" s="9"/>
      <c r="H84" s="9">
        <v>1482.04</v>
      </c>
    </row>
    <row r="85" spans="1:8">
      <c r="A85" s="13" t="s">
        <v>13</v>
      </c>
      <c r="B85" s="9"/>
      <c r="C85" s="9"/>
      <c r="D85" s="9"/>
      <c r="E85" s="9"/>
      <c r="F85" s="9"/>
      <c r="G85" s="9"/>
      <c r="H85" s="9"/>
    </row>
    <row r="86" spans="1:8">
      <c r="A86" s="14" t="s">
        <v>109</v>
      </c>
      <c r="B86" s="9"/>
      <c r="C86" s="9"/>
      <c r="D86" s="9"/>
      <c r="E86" s="9"/>
      <c r="F86" s="9"/>
      <c r="G86" s="9"/>
      <c r="H86" s="9"/>
    </row>
    <row r="87" spans="1:8">
      <c r="A87" s="132" t="s">
        <v>157</v>
      </c>
      <c r="B87" s="9"/>
      <c r="C87" s="9">
        <v>439.65</v>
      </c>
      <c r="D87" s="9"/>
      <c r="E87" s="9"/>
      <c r="F87" s="9"/>
      <c r="G87" s="9"/>
      <c r="H87" s="9">
        <v>439.65</v>
      </c>
    </row>
    <row r="88" spans="1:8">
      <c r="A88" s="132" t="s">
        <v>158</v>
      </c>
      <c r="B88" s="9"/>
      <c r="C88" s="9">
        <v>439.65</v>
      </c>
      <c r="D88" s="9"/>
      <c r="E88" s="9"/>
      <c r="F88" s="9"/>
      <c r="G88" s="9"/>
      <c r="H88" s="9">
        <v>439.65</v>
      </c>
    </row>
    <row r="89" spans="1:8">
      <c r="A89" s="132" t="s">
        <v>159</v>
      </c>
      <c r="B89" s="9"/>
      <c r="C89" s="9">
        <v>1048.25</v>
      </c>
      <c r="D89" s="9"/>
      <c r="E89" s="9"/>
      <c r="F89" s="9"/>
      <c r="G89" s="9"/>
      <c r="H89" s="9">
        <v>1048.25</v>
      </c>
    </row>
    <row r="90" spans="1:8">
      <c r="A90" s="132" t="s">
        <v>162</v>
      </c>
      <c r="B90" s="9"/>
      <c r="C90" s="9">
        <v>499.83</v>
      </c>
      <c r="D90" s="9"/>
      <c r="E90" s="9"/>
      <c r="F90" s="9"/>
      <c r="G90" s="9"/>
      <c r="H90" s="9">
        <v>499.83</v>
      </c>
    </row>
    <row r="91" spans="1:8">
      <c r="A91" s="132" t="s">
        <v>163</v>
      </c>
      <c r="B91" s="9"/>
      <c r="C91" s="9">
        <v>508.2</v>
      </c>
      <c r="D91" s="9"/>
      <c r="E91" s="9"/>
      <c r="F91" s="9"/>
      <c r="G91" s="9"/>
      <c r="H91" s="9">
        <v>508.2</v>
      </c>
    </row>
    <row r="92" spans="1:8">
      <c r="A92" s="132" t="s">
        <v>164</v>
      </c>
      <c r="B92" s="9"/>
      <c r="C92" s="9">
        <v>967.9</v>
      </c>
      <c r="D92" s="9"/>
      <c r="E92" s="9"/>
      <c r="F92" s="9"/>
      <c r="G92" s="9"/>
      <c r="H92" s="9">
        <v>967.9</v>
      </c>
    </row>
    <row r="93" spans="1:8">
      <c r="A93" s="132" t="s">
        <v>165</v>
      </c>
      <c r="B93" s="9"/>
      <c r="C93" s="9">
        <v>90.27</v>
      </c>
      <c r="D93" s="9"/>
      <c r="E93" s="9"/>
      <c r="F93" s="9"/>
      <c r="G93" s="9"/>
      <c r="H93" s="9">
        <v>90.27</v>
      </c>
    </row>
    <row r="94" spans="1:8">
      <c r="A94" s="132" t="s">
        <v>166</v>
      </c>
      <c r="B94" s="9"/>
      <c r="C94" s="9">
        <v>967.9</v>
      </c>
      <c r="D94" s="9"/>
      <c r="E94" s="9"/>
      <c r="F94" s="9"/>
      <c r="G94" s="9"/>
      <c r="H94" s="9">
        <v>967.9</v>
      </c>
    </row>
    <row r="95" spans="1:8" s="111" customFormat="1">
      <c r="A95" s="132" t="s">
        <v>167</v>
      </c>
      <c r="B95" s="9"/>
      <c r="C95" s="9">
        <v>1196.92</v>
      </c>
      <c r="D95" s="9"/>
      <c r="E95" s="9"/>
      <c r="F95" s="9"/>
      <c r="G95" s="9"/>
      <c r="H95" s="9">
        <v>1196.92</v>
      </c>
    </row>
    <row r="96" spans="1:8">
      <c r="A96" s="132" t="s">
        <v>168</v>
      </c>
      <c r="B96" s="9"/>
      <c r="C96" s="9">
        <v>1496.16</v>
      </c>
      <c r="D96" s="9"/>
      <c r="E96" s="9"/>
      <c r="F96" s="9"/>
      <c r="G96" s="9"/>
      <c r="H96" s="9">
        <v>1496.16</v>
      </c>
    </row>
    <row r="97" spans="1:8">
      <c r="A97" s="132" t="s">
        <v>169</v>
      </c>
      <c r="B97" s="9"/>
      <c r="C97" s="9">
        <v>987.96</v>
      </c>
      <c r="D97" s="9"/>
      <c r="E97" s="9"/>
      <c r="F97" s="9"/>
      <c r="G97" s="9"/>
      <c r="H97" s="9">
        <v>987.96</v>
      </c>
    </row>
    <row r="98" spans="1:8">
      <c r="A98" s="132" t="s">
        <v>171</v>
      </c>
      <c r="B98" s="9"/>
      <c r="C98" s="9">
        <v>1357.29</v>
      </c>
      <c r="D98" s="9"/>
      <c r="E98" s="9"/>
      <c r="F98" s="9"/>
      <c r="G98" s="9"/>
      <c r="H98" s="9">
        <v>1357.29</v>
      </c>
    </row>
    <row r="99" spans="1:8">
      <c r="A99" s="12" t="s">
        <v>258</v>
      </c>
      <c r="B99" s="9">
        <v>16257.32</v>
      </c>
      <c r="C99" s="9">
        <v>-14126.712599999988</v>
      </c>
      <c r="D99" s="9">
        <v>930.25000000000182</v>
      </c>
      <c r="E99" s="9">
        <v>1168.6000000000004</v>
      </c>
      <c r="F99" s="9">
        <v>5963.77</v>
      </c>
      <c r="G99" s="9">
        <v>-10193.23</v>
      </c>
      <c r="H99" s="71">
        <v>-2.599999993435631E-3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45F7-3426-4923-9E84-1F15DE4AA33D}">
  <sheetPr>
    <pageSetUpPr fitToPage="1"/>
  </sheetPr>
  <dimension ref="B1:M75"/>
  <sheetViews>
    <sheetView workbookViewId="0">
      <pane ySplit="5" topLeftCell="A6" activePane="bottomLeft" state="frozen"/>
      <selection activeCell="L1" sqref="L1"/>
      <selection pane="bottomLeft" activeCell="H32" sqref="H32"/>
    </sheetView>
  </sheetViews>
  <sheetFormatPr defaultColWidth="9.140625" defaultRowHeight="12.75"/>
  <cols>
    <col min="1" max="1" width="2.7109375" style="16" customWidth="1"/>
    <col min="2" max="2" width="6.140625" style="15" customWidth="1"/>
    <col min="3" max="3" width="33" style="16" customWidth="1"/>
    <col min="4" max="4" width="28.85546875" style="16" customWidth="1"/>
    <col min="5" max="5" width="18.42578125" style="15" customWidth="1"/>
    <col min="6" max="6" width="42.28515625" style="15" customWidth="1"/>
    <col min="7" max="7" width="15.85546875" style="15" customWidth="1"/>
    <col min="8" max="8" width="12.85546875" style="15" customWidth="1"/>
    <col min="9" max="9" width="13.28515625" style="17" customWidth="1"/>
    <col min="10" max="10" width="13.28515625" style="18" customWidth="1"/>
    <col min="11" max="11" width="4.42578125" style="16" customWidth="1"/>
    <col min="12" max="12" width="12.140625" style="19" customWidth="1"/>
    <col min="13" max="13" width="12.42578125" style="19" customWidth="1"/>
    <col min="14" max="14" width="9.7109375" style="16" bestFit="1" customWidth="1"/>
    <col min="15" max="16384" width="9.140625" style="16"/>
  </cols>
  <sheetData>
    <row r="1" spans="2:13" s="73" customFormat="1" ht="15.75">
      <c r="B1" s="72"/>
      <c r="D1" s="74"/>
      <c r="E1" s="75"/>
      <c r="F1" s="75"/>
      <c r="G1" s="72"/>
      <c r="H1" s="72"/>
      <c r="I1" s="76"/>
      <c r="J1" s="77"/>
      <c r="L1" s="78"/>
      <c r="M1" s="78"/>
    </row>
    <row r="2" spans="2:13" s="73" customFormat="1">
      <c r="B2" s="72"/>
      <c r="C2" s="78" t="s">
        <v>36</v>
      </c>
      <c r="E2" s="79" t="s">
        <v>37</v>
      </c>
      <c r="F2" s="78" t="s">
        <v>247</v>
      </c>
      <c r="G2" s="78" t="s">
        <v>235</v>
      </c>
      <c r="H2" s="78" t="s">
        <v>236</v>
      </c>
      <c r="I2" s="76"/>
      <c r="J2" s="77"/>
      <c r="L2" s="78"/>
      <c r="M2" s="78"/>
    </row>
    <row r="3" spans="2:13" s="73" customFormat="1">
      <c r="B3" s="72"/>
      <c r="C3" s="78" t="s">
        <v>246</v>
      </c>
      <c r="D3" s="88"/>
      <c r="E3" s="79" t="s">
        <v>41</v>
      </c>
      <c r="F3" s="88" t="s">
        <v>248</v>
      </c>
      <c r="H3" s="72"/>
      <c r="I3" s="76"/>
      <c r="J3" s="77"/>
      <c r="L3" s="78"/>
      <c r="M3" s="78"/>
    </row>
    <row r="4" spans="2:13" s="73" customFormat="1">
      <c r="B4" s="72"/>
      <c r="C4" s="80" t="s">
        <v>43</v>
      </c>
      <c r="D4" s="78" t="s">
        <v>44</v>
      </c>
      <c r="E4" s="75"/>
      <c r="F4" s="75"/>
      <c r="G4" s="72"/>
      <c r="H4" s="72"/>
      <c r="I4" s="198" t="s">
        <v>45</v>
      </c>
      <c r="J4" s="199"/>
      <c r="L4" s="78"/>
      <c r="M4" s="78"/>
    </row>
    <row r="5" spans="2:13" s="75" customFormat="1">
      <c r="B5" s="81" t="s">
        <v>46</v>
      </c>
      <c r="C5" s="82" t="s">
        <v>47</v>
      </c>
      <c r="D5" s="82" t="s">
        <v>18</v>
      </c>
      <c r="E5" s="82" t="s">
        <v>48</v>
      </c>
      <c r="F5" s="82" t="s">
        <v>81</v>
      </c>
      <c r="G5" s="82" t="s">
        <v>49</v>
      </c>
      <c r="H5" s="82" t="s">
        <v>50</v>
      </c>
      <c r="I5" s="83" t="s">
        <v>51</v>
      </c>
      <c r="J5" s="84" t="s">
        <v>52</v>
      </c>
    </row>
    <row r="6" spans="2:13" s="73" customFormat="1">
      <c r="B6" s="85">
        <v>1</v>
      </c>
      <c r="C6" s="73" t="s">
        <v>53</v>
      </c>
      <c r="E6" s="72"/>
      <c r="F6" s="72"/>
      <c r="G6" s="86"/>
      <c r="H6" s="86"/>
      <c r="I6" s="76">
        <v>0</v>
      </c>
      <c r="J6" s="87">
        <f>I6</f>
        <v>0</v>
      </c>
    </row>
    <row r="7" spans="2:13" s="73" customFormat="1" ht="15">
      <c r="B7" s="85">
        <f t="shared" ref="B7:B67" si="0">B6+1</f>
        <v>2</v>
      </c>
      <c r="C7" s="73" t="s">
        <v>76</v>
      </c>
      <c r="D7" s="73" t="s">
        <v>54</v>
      </c>
      <c r="E7" s="88" t="s">
        <v>54</v>
      </c>
      <c r="F7" s="88" t="s">
        <v>79</v>
      </c>
      <c r="G7" s="86">
        <v>46085</v>
      </c>
      <c r="H7" s="86">
        <v>46085</v>
      </c>
      <c r="I7" s="128">
        <v>1000</v>
      </c>
      <c r="J7" s="89">
        <f t="shared" ref="J7:J63" si="1">IF(I7="",".",J6+I7)</f>
        <v>1000</v>
      </c>
      <c r="M7" s="96"/>
    </row>
    <row r="8" spans="2:13" s="73" customFormat="1" ht="15">
      <c r="B8" s="85">
        <f t="shared" si="0"/>
        <v>3</v>
      </c>
      <c r="C8" s="73" t="s">
        <v>251</v>
      </c>
      <c r="D8" s="73" t="s">
        <v>249</v>
      </c>
      <c r="E8" s="88"/>
      <c r="F8" s="88" t="s">
        <v>249</v>
      </c>
      <c r="G8" s="86">
        <v>46085</v>
      </c>
      <c r="H8" s="86">
        <v>46085</v>
      </c>
      <c r="I8" s="76">
        <v>-10</v>
      </c>
      <c r="J8" s="89">
        <f t="shared" si="1"/>
        <v>990</v>
      </c>
      <c r="M8" s="96"/>
    </row>
    <row r="9" spans="2:13" s="73" customFormat="1" ht="15">
      <c r="B9" s="85">
        <f t="shared" si="0"/>
        <v>4</v>
      </c>
      <c r="C9" s="73" t="s">
        <v>76</v>
      </c>
      <c r="D9" s="73" t="s">
        <v>54</v>
      </c>
      <c r="E9" s="88" t="s">
        <v>54</v>
      </c>
      <c r="F9" s="88" t="s">
        <v>79</v>
      </c>
      <c r="G9" s="86">
        <v>46090</v>
      </c>
      <c r="H9" s="86">
        <v>46090</v>
      </c>
      <c r="I9" s="128">
        <v>4000</v>
      </c>
      <c r="J9" s="89">
        <f t="shared" si="1"/>
        <v>4990</v>
      </c>
      <c r="M9" s="96"/>
    </row>
    <row r="10" spans="2:13" s="73" customFormat="1" ht="15">
      <c r="B10" s="85">
        <f t="shared" si="0"/>
        <v>5</v>
      </c>
      <c r="C10" s="73" t="s">
        <v>76</v>
      </c>
      <c r="D10" s="73" t="s">
        <v>54</v>
      </c>
      <c r="E10" s="88" t="s">
        <v>54</v>
      </c>
      <c r="F10" s="88" t="s">
        <v>79</v>
      </c>
      <c r="G10" s="86">
        <v>46090</v>
      </c>
      <c r="H10" s="86">
        <v>46090</v>
      </c>
      <c r="I10" s="128">
        <v>4000</v>
      </c>
      <c r="J10" s="89">
        <f t="shared" si="1"/>
        <v>8990</v>
      </c>
      <c r="M10" s="96"/>
    </row>
    <row r="11" spans="2:13" s="73" customFormat="1" ht="15">
      <c r="B11" s="85">
        <f t="shared" si="0"/>
        <v>6</v>
      </c>
      <c r="C11" s="73" t="s">
        <v>76</v>
      </c>
      <c r="D11" s="73" t="s">
        <v>54</v>
      </c>
      <c r="E11" s="88" t="s">
        <v>54</v>
      </c>
      <c r="F11" s="88" t="s">
        <v>79</v>
      </c>
      <c r="G11" s="86">
        <v>46093</v>
      </c>
      <c r="H11" s="86">
        <v>46093</v>
      </c>
      <c r="I11" s="128">
        <v>585.98</v>
      </c>
      <c r="J11" s="89">
        <f t="shared" ref="J11:J27" si="2">IF(I11="",".",J10+I11)</f>
        <v>9575.98</v>
      </c>
      <c r="M11" s="96"/>
    </row>
    <row r="12" spans="2:13" s="73" customFormat="1" ht="15">
      <c r="B12" s="85">
        <f t="shared" si="0"/>
        <v>7</v>
      </c>
      <c r="C12" s="73" t="s">
        <v>251</v>
      </c>
      <c r="D12" s="73" t="s">
        <v>249</v>
      </c>
      <c r="E12" s="88"/>
      <c r="F12" s="88" t="s">
        <v>249</v>
      </c>
      <c r="G12" s="86">
        <v>46114</v>
      </c>
      <c r="H12" s="86">
        <v>46114</v>
      </c>
      <c r="I12" s="76">
        <v>-10</v>
      </c>
      <c r="J12" s="89">
        <f t="shared" si="2"/>
        <v>9565.98</v>
      </c>
      <c r="M12" s="96"/>
    </row>
    <row r="13" spans="2:13" s="73" customFormat="1" ht="15">
      <c r="B13" s="85">
        <f t="shared" si="0"/>
        <v>8</v>
      </c>
      <c r="C13" s="73" t="s">
        <v>252</v>
      </c>
      <c r="D13" s="73" t="s">
        <v>249</v>
      </c>
      <c r="E13" s="88"/>
      <c r="F13" s="88" t="s">
        <v>249</v>
      </c>
      <c r="G13" s="86">
        <v>46114</v>
      </c>
      <c r="H13" s="86">
        <v>46114</v>
      </c>
      <c r="I13" s="76">
        <v>-16</v>
      </c>
      <c r="J13" s="89">
        <f t="shared" si="2"/>
        <v>9549.98</v>
      </c>
      <c r="M13" s="96"/>
    </row>
    <row r="14" spans="2:13" s="73" customFormat="1" ht="15">
      <c r="B14" s="85">
        <f t="shared" si="0"/>
        <v>9</v>
      </c>
      <c r="C14" s="73" t="s">
        <v>251</v>
      </c>
      <c r="D14" s="73" t="s">
        <v>249</v>
      </c>
      <c r="E14" s="88"/>
      <c r="F14" s="88" t="s">
        <v>249</v>
      </c>
      <c r="G14" s="86">
        <v>46144</v>
      </c>
      <c r="H14" s="86">
        <v>46144</v>
      </c>
      <c r="I14" s="76">
        <v>-10</v>
      </c>
      <c r="J14" s="89">
        <f t="shared" si="2"/>
        <v>9539.98</v>
      </c>
      <c r="M14" s="96"/>
    </row>
    <row r="15" spans="2:13" s="73" customFormat="1" ht="15">
      <c r="B15" s="85">
        <f t="shared" si="0"/>
        <v>10</v>
      </c>
      <c r="C15" s="73" t="s">
        <v>252</v>
      </c>
      <c r="D15" s="73" t="s">
        <v>249</v>
      </c>
      <c r="E15" s="88"/>
      <c r="F15" s="88" t="s">
        <v>249</v>
      </c>
      <c r="G15" s="86">
        <v>46144</v>
      </c>
      <c r="H15" s="86">
        <v>46144</v>
      </c>
      <c r="I15" s="76">
        <v>-8</v>
      </c>
      <c r="J15" s="89">
        <f t="shared" si="2"/>
        <v>9531.98</v>
      </c>
      <c r="M15" s="96"/>
    </row>
    <row r="16" spans="2:13" s="73" customFormat="1" ht="15">
      <c r="B16" s="85">
        <f t="shared" si="0"/>
        <v>11</v>
      </c>
      <c r="C16" s="73" t="s">
        <v>245</v>
      </c>
      <c r="D16" s="73" t="s">
        <v>79</v>
      </c>
      <c r="E16" s="88"/>
      <c r="F16" s="88" t="s">
        <v>103</v>
      </c>
      <c r="G16" s="86">
        <v>46163</v>
      </c>
      <c r="H16" s="86">
        <v>46163</v>
      </c>
      <c r="I16" s="76">
        <v>-401.25</v>
      </c>
      <c r="J16" s="89">
        <f t="shared" si="2"/>
        <v>9130.73</v>
      </c>
      <c r="L16" s="78"/>
      <c r="M16" s="105"/>
    </row>
    <row r="17" spans="2:13" s="73" customFormat="1" ht="15">
      <c r="B17" s="85">
        <f t="shared" si="0"/>
        <v>12</v>
      </c>
      <c r="C17" s="73" t="s">
        <v>255</v>
      </c>
      <c r="D17" s="73" t="s">
        <v>249</v>
      </c>
      <c r="E17" s="88"/>
      <c r="F17" s="88" t="s">
        <v>249</v>
      </c>
      <c r="G17" s="86">
        <v>46163</v>
      </c>
      <c r="H17" s="86">
        <v>46163</v>
      </c>
      <c r="I17" s="76">
        <v>19.510000000000002</v>
      </c>
      <c r="J17" s="89">
        <f t="shared" si="2"/>
        <v>9150.24</v>
      </c>
      <c r="M17" s="96"/>
    </row>
    <row r="18" spans="2:13" s="73" customFormat="1" ht="15">
      <c r="B18" s="85">
        <f t="shared" si="0"/>
        <v>13</v>
      </c>
      <c r="C18" s="73" t="s">
        <v>251</v>
      </c>
      <c r="D18" s="73" t="s">
        <v>249</v>
      </c>
      <c r="E18" s="88"/>
      <c r="F18" s="88" t="s">
        <v>249</v>
      </c>
      <c r="G18" s="86">
        <v>46175</v>
      </c>
      <c r="H18" s="86">
        <v>46175</v>
      </c>
      <c r="I18" s="76">
        <v>-10</v>
      </c>
      <c r="J18" s="89">
        <f t="shared" si="2"/>
        <v>9140.24</v>
      </c>
      <c r="M18" s="96"/>
    </row>
    <row r="19" spans="2:13" s="73" customFormat="1" ht="15">
      <c r="B19" s="85">
        <f t="shared" si="0"/>
        <v>14</v>
      </c>
      <c r="C19" s="73" t="s">
        <v>252</v>
      </c>
      <c r="D19" s="73" t="s">
        <v>249</v>
      </c>
      <c r="E19" s="88"/>
      <c r="F19" s="88" t="s">
        <v>249</v>
      </c>
      <c r="G19" s="86">
        <v>46175</v>
      </c>
      <c r="H19" s="86">
        <v>46175</v>
      </c>
      <c r="I19" s="76">
        <v>-8</v>
      </c>
      <c r="J19" s="89">
        <f t="shared" si="2"/>
        <v>9132.24</v>
      </c>
      <c r="M19" s="96"/>
    </row>
    <row r="20" spans="2:13" s="73" customFormat="1" ht="15">
      <c r="B20" s="85">
        <f t="shared" si="0"/>
        <v>15</v>
      </c>
      <c r="C20" s="73" t="s">
        <v>251</v>
      </c>
      <c r="D20" s="73" t="s">
        <v>249</v>
      </c>
      <c r="E20" s="88"/>
      <c r="F20" s="88" t="s">
        <v>249</v>
      </c>
      <c r="G20" s="86">
        <v>46205</v>
      </c>
      <c r="H20" s="86">
        <v>46205</v>
      </c>
      <c r="I20" s="76">
        <v>-10</v>
      </c>
      <c r="J20" s="89">
        <f t="shared" si="2"/>
        <v>9122.24</v>
      </c>
      <c r="M20" s="96"/>
    </row>
    <row r="21" spans="2:13" s="73" customFormat="1" ht="15">
      <c r="B21" s="85">
        <f t="shared" si="0"/>
        <v>16</v>
      </c>
      <c r="C21" s="73" t="s">
        <v>252</v>
      </c>
      <c r="D21" s="73" t="s">
        <v>249</v>
      </c>
      <c r="E21" s="88"/>
      <c r="F21" s="88" t="s">
        <v>249</v>
      </c>
      <c r="G21" s="86">
        <v>46205</v>
      </c>
      <c r="H21" s="86">
        <v>46205</v>
      </c>
      <c r="I21" s="76">
        <v>-8</v>
      </c>
      <c r="J21" s="89">
        <f t="shared" si="2"/>
        <v>9114.24</v>
      </c>
      <c r="M21" s="96"/>
    </row>
    <row r="22" spans="2:13" s="73" customFormat="1" ht="15">
      <c r="B22" s="85">
        <f t="shared" si="0"/>
        <v>17</v>
      </c>
      <c r="C22" s="73" t="s">
        <v>125</v>
      </c>
      <c r="D22" s="73" t="s">
        <v>79</v>
      </c>
      <c r="E22" s="88"/>
      <c r="F22" s="88" t="s">
        <v>126</v>
      </c>
      <c r="G22" s="86">
        <v>46212</v>
      </c>
      <c r="H22" s="86">
        <v>46212</v>
      </c>
      <c r="I22" s="76">
        <v>-350</v>
      </c>
      <c r="J22" s="89">
        <f t="shared" si="2"/>
        <v>8764.24</v>
      </c>
      <c r="M22" s="96"/>
    </row>
    <row r="23" spans="2:13" s="73" customFormat="1" ht="15">
      <c r="B23" s="85">
        <f t="shared" si="0"/>
        <v>18</v>
      </c>
      <c r="C23" s="73" t="s">
        <v>251</v>
      </c>
      <c r="D23" s="73" t="s">
        <v>249</v>
      </c>
      <c r="E23" s="88"/>
      <c r="F23" s="88" t="s">
        <v>249</v>
      </c>
      <c r="G23" s="86">
        <v>46236</v>
      </c>
      <c r="H23" s="86">
        <v>46236</v>
      </c>
      <c r="I23" s="76">
        <v>-10</v>
      </c>
      <c r="J23" s="89">
        <f t="shared" si="2"/>
        <v>8754.24</v>
      </c>
      <c r="M23" s="96"/>
    </row>
    <row r="24" spans="2:13" s="73" customFormat="1" ht="15">
      <c r="B24" s="85">
        <f t="shared" si="0"/>
        <v>19</v>
      </c>
      <c r="C24" s="73" t="s">
        <v>252</v>
      </c>
      <c r="D24" s="73" t="s">
        <v>249</v>
      </c>
      <c r="E24" s="88"/>
      <c r="F24" s="88" t="s">
        <v>249</v>
      </c>
      <c r="G24" s="86">
        <v>46236</v>
      </c>
      <c r="H24" s="86">
        <v>46236</v>
      </c>
      <c r="I24" s="76">
        <v>-8</v>
      </c>
      <c r="J24" s="89">
        <f t="shared" si="2"/>
        <v>8746.24</v>
      </c>
      <c r="M24" s="96"/>
    </row>
    <row r="25" spans="2:13" s="73" customFormat="1" ht="15">
      <c r="B25" s="85">
        <f t="shared" si="0"/>
        <v>20</v>
      </c>
      <c r="C25" s="73" t="s">
        <v>245</v>
      </c>
      <c r="D25" s="73" t="s">
        <v>79</v>
      </c>
      <c r="E25" s="88"/>
      <c r="F25" s="88" t="s">
        <v>103</v>
      </c>
      <c r="G25" s="86">
        <v>46243</v>
      </c>
      <c r="H25" s="86">
        <v>46243</v>
      </c>
      <c r="I25" s="76">
        <v>-401.25</v>
      </c>
      <c r="J25" s="89">
        <f t="shared" si="2"/>
        <v>8344.99</v>
      </c>
      <c r="L25" s="78"/>
      <c r="M25" s="105"/>
    </row>
    <row r="26" spans="2:13" s="73" customFormat="1" ht="15">
      <c r="B26" s="85">
        <f t="shared" si="0"/>
        <v>21</v>
      </c>
      <c r="C26" s="73" t="s">
        <v>251</v>
      </c>
      <c r="D26" s="73" t="s">
        <v>249</v>
      </c>
      <c r="E26" s="88"/>
      <c r="F26" s="88" t="s">
        <v>249</v>
      </c>
      <c r="G26" s="86">
        <v>46267</v>
      </c>
      <c r="H26" s="86">
        <v>46267</v>
      </c>
      <c r="I26" s="76">
        <v>-10</v>
      </c>
      <c r="J26" s="89">
        <f t="shared" si="2"/>
        <v>8334.99</v>
      </c>
      <c r="M26" s="96"/>
    </row>
    <row r="27" spans="2:13" s="73" customFormat="1" ht="15">
      <c r="B27" s="85">
        <f t="shared" si="0"/>
        <v>22</v>
      </c>
      <c r="C27" s="73" t="s">
        <v>252</v>
      </c>
      <c r="D27" s="73" t="s">
        <v>249</v>
      </c>
      <c r="E27" s="88"/>
      <c r="F27" s="88" t="s">
        <v>249</v>
      </c>
      <c r="G27" s="86">
        <v>46267</v>
      </c>
      <c r="H27" s="86">
        <v>46267</v>
      </c>
      <c r="I27" s="76">
        <v>-8</v>
      </c>
      <c r="J27" s="89">
        <f t="shared" si="2"/>
        <v>8326.99</v>
      </c>
      <c r="M27" s="96"/>
    </row>
    <row r="28" spans="2:13" s="73" customFormat="1" ht="15">
      <c r="B28" s="85">
        <f t="shared" si="0"/>
        <v>23</v>
      </c>
      <c r="C28" s="73" t="s">
        <v>251</v>
      </c>
      <c r="D28" s="73" t="s">
        <v>249</v>
      </c>
      <c r="E28" s="88"/>
      <c r="F28" s="88" t="s">
        <v>249</v>
      </c>
      <c r="G28" s="86">
        <v>46297</v>
      </c>
      <c r="H28" s="86">
        <v>46297</v>
      </c>
      <c r="I28" s="76">
        <v>-10</v>
      </c>
      <c r="J28" s="89">
        <f t="shared" ref="J28:J29" si="3">IF(I28="",".",J27+I28)</f>
        <v>8316.99</v>
      </c>
      <c r="M28" s="96"/>
    </row>
    <row r="29" spans="2:13" s="73" customFormat="1" ht="15">
      <c r="B29" s="85">
        <f t="shared" si="0"/>
        <v>24</v>
      </c>
      <c r="C29" s="73" t="s">
        <v>252</v>
      </c>
      <c r="D29" s="73" t="s">
        <v>249</v>
      </c>
      <c r="E29" s="88"/>
      <c r="F29" s="88" t="s">
        <v>249</v>
      </c>
      <c r="G29" s="86">
        <v>46297</v>
      </c>
      <c r="H29" s="86">
        <v>46297</v>
      </c>
      <c r="I29" s="76">
        <v>-8</v>
      </c>
      <c r="J29" s="89">
        <f t="shared" si="3"/>
        <v>8308.99</v>
      </c>
      <c r="M29" s="96"/>
    </row>
    <row r="30" spans="2:13" s="73" customFormat="1" ht="15">
      <c r="B30" s="85">
        <f t="shared" si="0"/>
        <v>25</v>
      </c>
      <c r="E30" s="88"/>
      <c r="F30" s="88"/>
      <c r="G30" s="86"/>
      <c r="H30" s="86"/>
      <c r="I30" s="76"/>
      <c r="J30" s="89" t="str">
        <f t="shared" si="1"/>
        <v>.</v>
      </c>
      <c r="M30" s="96"/>
    </row>
    <row r="31" spans="2:13" s="73" customFormat="1" ht="15">
      <c r="B31" s="85">
        <f t="shared" si="0"/>
        <v>26</v>
      </c>
      <c r="E31" s="88"/>
      <c r="F31" s="88"/>
      <c r="G31" s="86"/>
      <c r="H31" s="86"/>
      <c r="I31" s="76"/>
      <c r="J31" s="89" t="str">
        <f t="shared" si="1"/>
        <v>.</v>
      </c>
      <c r="M31" s="96"/>
    </row>
    <row r="32" spans="2:13" s="73" customFormat="1" ht="15">
      <c r="B32" s="85">
        <f t="shared" si="0"/>
        <v>27</v>
      </c>
      <c r="E32" s="88"/>
      <c r="F32" s="88"/>
      <c r="G32" s="86"/>
      <c r="H32" s="86"/>
      <c r="I32" s="76"/>
      <c r="J32" s="89" t="str">
        <f t="shared" si="1"/>
        <v>.</v>
      </c>
      <c r="M32" s="96"/>
    </row>
    <row r="33" spans="2:13" s="73" customFormat="1" ht="15">
      <c r="B33" s="85">
        <f t="shared" si="0"/>
        <v>28</v>
      </c>
      <c r="E33" s="88"/>
      <c r="F33" s="88"/>
      <c r="G33" s="86"/>
      <c r="H33" s="86"/>
      <c r="I33" s="76"/>
      <c r="J33" s="89" t="str">
        <f t="shared" si="1"/>
        <v>.</v>
      </c>
      <c r="M33" s="96"/>
    </row>
    <row r="34" spans="2:13" s="73" customFormat="1" ht="15">
      <c r="B34" s="85">
        <f t="shared" si="0"/>
        <v>29</v>
      </c>
      <c r="E34" s="88"/>
      <c r="F34" s="88"/>
      <c r="G34" s="86"/>
      <c r="H34" s="86"/>
      <c r="I34" s="76"/>
      <c r="J34" s="89" t="str">
        <f t="shared" si="1"/>
        <v>.</v>
      </c>
      <c r="M34" s="96"/>
    </row>
    <row r="35" spans="2:13" s="73" customFormat="1" ht="15">
      <c r="B35" s="85">
        <f t="shared" si="0"/>
        <v>30</v>
      </c>
      <c r="E35" s="88"/>
      <c r="F35" s="88"/>
      <c r="G35" s="86"/>
      <c r="H35" s="86"/>
      <c r="I35" s="76"/>
      <c r="J35" s="89" t="str">
        <f t="shared" si="1"/>
        <v>.</v>
      </c>
      <c r="M35" s="96"/>
    </row>
    <row r="36" spans="2:13" s="73" customFormat="1" ht="15">
      <c r="B36" s="85">
        <f t="shared" si="0"/>
        <v>31</v>
      </c>
      <c r="E36" s="88"/>
      <c r="F36" s="88"/>
      <c r="G36" s="86"/>
      <c r="H36" s="86"/>
      <c r="I36" s="76"/>
      <c r="J36" s="89" t="str">
        <f t="shared" si="1"/>
        <v>.</v>
      </c>
      <c r="M36" s="96"/>
    </row>
    <row r="37" spans="2:13" s="73" customFormat="1" ht="15">
      <c r="B37" s="85">
        <f t="shared" si="0"/>
        <v>32</v>
      </c>
      <c r="E37" s="88"/>
      <c r="F37" s="88"/>
      <c r="G37" s="86"/>
      <c r="H37" s="86"/>
      <c r="I37" s="76"/>
      <c r="J37" s="89" t="str">
        <f t="shared" si="1"/>
        <v>.</v>
      </c>
      <c r="M37" s="96"/>
    </row>
    <row r="38" spans="2:13" s="73" customFormat="1" ht="15">
      <c r="B38" s="85">
        <f t="shared" si="0"/>
        <v>33</v>
      </c>
      <c r="E38" s="88"/>
      <c r="F38" s="88"/>
      <c r="G38" s="86"/>
      <c r="H38" s="86"/>
      <c r="I38" s="76"/>
      <c r="J38" s="89" t="str">
        <f t="shared" si="1"/>
        <v>.</v>
      </c>
      <c r="M38" s="96"/>
    </row>
    <row r="39" spans="2:13" s="73" customFormat="1" ht="15">
      <c r="B39" s="85">
        <f t="shared" si="0"/>
        <v>34</v>
      </c>
      <c r="E39" s="88"/>
      <c r="F39" s="88"/>
      <c r="G39" s="86"/>
      <c r="H39" s="86"/>
      <c r="I39" s="76"/>
      <c r="J39" s="89" t="str">
        <f t="shared" si="1"/>
        <v>.</v>
      </c>
      <c r="M39" s="96"/>
    </row>
    <row r="40" spans="2:13" s="73" customFormat="1" ht="15">
      <c r="B40" s="85">
        <f t="shared" si="0"/>
        <v>35</v>
      </c>
      <c r="E40" s="88"/>
      <c r="F40" s="88"/>
      <c r="G40" s="86"/>
      <c r="H40" s="86"/>
      <c r="I40" s="76"/>
      <c r="J40" s="89" t="str">
        <f t="shared" si="1"/>
        <v>.</v>
      </c>
      <c r="M40" s="96"/>
    </row>
    <row r="41" spans="2:13" s="73" customFormat="1" ht="15">
      <c r="B41" s="85">
        <f t="shared" si="0"/>
        <v>36</v>
      </c>
      <c r="E41" s="88"/>
      <c r="F41" s="88"/>
      <c r="G41" s="86"/>
      <c r="H41" s="86"/>
      <c r="I41" s="76"/>
      <c r="J41" s="89" t="str">
        <f t="shared" si="1"/>
        <v>.</v>
      </c>
      <c r="M41" s="96"/>
    </row>
    <row r="42" spans="2:13" s="73" customFormat="1" ht="15">
      <c r="B42" s="85">
        <f t="shared" si="0"/>
        <v>37</v>
      </c>
      <c r="E42" s="88"/>
      <c r="F42" s="88"/>
      <c r="G42" s="86"/>
      <c r="H42" s="86"/>
      <c r="I42" s="76"/>
      <c r="J42" s="89" t="str">
        <f t="shared" si="1"/>
        <v>.</v>
      </c>
      <c r="M42" s="96"/>
    </row>
    <row r="43" spans="2:13" s="73" customFormat="1" ht="15">
      <c r="B43" s="85">
        <f t="shared" si="0"/>
        <v>38</v>
      </c>
      <c r="E43" s="88"/>
      <c r="F43" s="88"/>
      <c r="G43" s="86"/>
      <c r="H43" s="86"/>
      <c r="I43" s="76"/>
      <c r="J43" s="89" t="str">
        <f t="shared" si="1"/>
        <v>.</v>
      </c>
      <c r="M43" s="96"/>
    </row>
    <row r="44" spans="2:13" s="73" customFormat="1" ht="15">
      <c r="B44" s="85">
        <f t="shared" si="0"/>
        <v>39</v>
      </c>
      <c r="E44" s="88"/>
      <c r="F44" s="88"/>
      <c r="G44" s="86"/>
      <c r="H44" s="86"/>
      <c r="I44" s="76"/>
      <c r="J44" s="89" t="str">
        <f t="shared" si="1"/>
        <v>.</v>
      </c>
      <c r="M44" s="96"/>
    </row>
    <row r="45" spans="2:13" s="73" customFormat="1" ht="15">
      <c r="B45" s="85">
        <f t="shared" si="0"/>
        <v>40</v>
      </c>
      <c r="E45" s="88"/>
      <c r="F45" s="88"/>
      <c r="G45" s="86"/>
      <c r="H45" s="86"/>
      <c r="I45" s="76"/>
      <c r="J45" s="89" t="str">
        <f t="shared" si="1"/>
        <v>.</v>
      </c>
      <c r="M45" s="96"/>
    </row>
    <row r="46" spans="2:13" s="73" customFormat="1" ht="15">
      <c r="B46" s="85">
        <f t="shared" si="0"/>
        <v>41</v>
      </c>
      <c r="E46" s="88"/>
      <c r="F46" s="88"/>
      <c r="G46" s="86"/>
      <c r="H46" s="86"/>
      <c r="I46" s="76"/>
      <c r="J46" s="89" t="str">
        <f t="shared" si="1"/>
        <v>.</v>
      </c>
      <c r="M46" s="96"/>
    </row>
    <row r="47" spans="2:13" s="73" customFormat="1" ht="15">
      <c r="B47" s="85">
        <f t="shared" si="0"/>
        <v>42</v>
      </c>
      <c r="E47" s="88"/>
      <c r="F47" s="88"/>
      <c r="G47" s="86"/>
      <c r="H47" s="86"/>
      <c r="I47" s="76"/>
      <c r="J47" s="89" t="str">
        <f t="shared" si="1"/>
        <v>.</v>
      </c>
      <c r="M47" s="96"/>
    </row>
    <row r="48" spans="2:13" s="73" customFormat="1" ht="15">
      <c r="B48" s="85">
        <f t="shared" si="0"/>
        <v>43</v>
      </c>
      <c r="E48" s="88"/>
      <c r="F48" s="88"/>
      <c r="G48" s="86"/>
      <c r="H48" s="86"/>
      <c r="I48" s="76"/>
      <c r="J48" s="89" t="str">
        <f t="shared" si="1"/>
        <v>.</v>
      </c>
      <c r="M48" s="96"/>
    </row>
    <row r="49" spans="2:13" s="73" customFormat="1" ht="15">
      <c r="B49" s="85">
        <f t="shared" si="0"/>
        <v>44</v>
      </c>
      <c r="E49" s="88"/>
      <c r="F49" s="88"/>
      <c r="G49" s="86"/>
      <c r="H49" s="86"/>
      <c r="I49" s="76"/>
      <c r="J49" s="89" t="str">
        <f t="shared" si="1"/>
        <v>.</v>
      </c>
      <c r="M49" s="96"/>
    </row>
    <row r="50" spans="2:13" s="73" customFormat="1" ht="15">
      <c r="B50" s="85">
        <f t="shared" si="0"/>
        <v>45</v>
      </c>
      <c r="E50" s="88"/>
      <c r="F50" s="88"/>
      <c r="G50" s="86"/>
      <c r="H50" s="86"/>
      <c r="I50" s="76"/>
      <c r="J50" s="89" t="str">
        <f t="shared" si="1"/>
        <v>.</v>
      </c>
      <c r="M50" s="96"/>
    </row>
    <row r="51" spans="2:13" s="73" customFormat="1" ht="15">
      <c r="B51" s="85">
        <f t="shared" si="0"/>
        <v>46</v>
      </c>
      <c r="E51" s="88"/>
      <c r="F51" s="88"/>
      <c r="G51" s="86"/>
      <c r="H51" s="86"/>
      <c r="I51" s="76"/>
      <c r="J51" s="89" t="str">
        <f t="shared" si="1"/>
        <v>.</v>
      </c>
      <c r="M51" s="96"/>
    </row>
    <row r="52" spans="2:13" s="73" customFormat="1" ht="15">
      <c r="B52" s="85">
        <f t="shared" si="0"/>
        <v>47</v>
      </c>
      <c r="E52" s="88"/>
      <c r="F52" s="88"/>
      <c r="G52" s="86"/>
      <c r="H52" s="86"/>
      <c r="I52" s="76"/>
      <c r="J52" s="89" t="str">
        <f t="shared" si="1"/>
        <v>.</v>
      </c>
      <c r="L52" s="78"/>
      <c r="M52" s="105"/>
    </row>
    <row r="53" spans="2:13" s="73" customFormat="1" ht="15">
      <c r="B53" s="85">
        <f t="shared" si="0"/>
        <v>48</v>
      </c>
      <c r="E53" s="88"/>
      <c r="F53" s="88"/>
      <c r="G53" s="86"/>
      <c r="H53" s="86"/>
      <c r="I53" s="76"/>
      <c r="J53" s="89" t="str">
        <f t="shared" si="1"/>
        <v>.</v>
      </c>
      <c r="M53" s="96"/>
    </row>
    <row r="54" spans="2:13" s="73" customFormat="1" ht="15">
      <c r="B54" s="85">
        <f t="shared" si="0"/>
        <v>49</v>
      </c>
      <c r="E54" s="88"/>
      <c r="F54" s="88"/>
      <c r="G54" s="86"/>
      <c r="H54" s="86"/>
      <c r="I54" s="76"/>
      <c r="J54" s="89" t="str">
        <f t="shared" si="1"/>
        <v>.</v>
      </c>
      <c r="M54" s="96"/>
    </row>
    <row r="55" spans="2:13" s="73" customFormat="1" ht="15">
      <c r="B55" s="85">
        <f t="shared" si="0"/>
        <v>50</v>
      </c>
      <c r="E55" s="88"/>
      <c r="F55" s="88"/>
      <c r="G55" s="86"/>
      <c r="H55" s="86"/>
      <c r="I55" s="76"/>
      <c r="J55" s="89" t="str">
        <f t="shared" si="1"/>
        <v>.</v>
      </c>
      <c r="M55" s="96"/>
    </row>
    <row r="56" spans="2:13" s="73" customFormat="1" ht="15">
      <c r="B56" s="85">
        <f t="shared" si="0"/>
        <v>51</v>
      </c>
      <c r="E56" s="88"/>
      <c r="F56" s="88"/>
      <c r="G56" s="86"/>
      <c r="H56" s="86"/>
      <c r="I56" s="76"/>
      <c r="J56" s="89" t="str">
        <f t="shared" si="1"/>
        <v>.</v>
      </c>
      <c r="M56" s="96"/>
    </row>
    <row r="57" spans="2:13" s="73" customFormat="1" ht="15">
      <c r="B57" s="85">
        <f t="shared" si="0"/>
        <v>52</v>
      </c>
      <c r="E57" s="88"/>
      <c r="F57" s="88"/>
      <c r="G57" s="86"/>
      <c r="H57" s="86"/>
      <c r="I57" s="76"/>
      <c r="J57" s="89" t="str">
        <f t="shared" si="1"/>
        <v>.</v>
      </c>
      <c r="M57" s="96"/>
    </row>
    <row r="58" spans="2:13" s="73" customFormat="1" ht="15">
      <c r="B58" s="85">
        <f t="shared" si="0"/>
        <v>53</v>
      </c>
      <c r="E58" s="88"/>
      <c r="F58" s="88"/>
      <c r="G58" s="86"/>
      <c r="H58" s="86"/>
      <c r="I58" s="76"/>
      <c r="J58" s="89" t="str">
        <f t="shared" si="1"/>
        <v>.</v>
      </c>
      <c r="M58" s="96"/>
    </row>
    <row r="59" spans="2:13" s="73" customFormat="1" ht="15">
      <c r="B59" s="85">
        <f t="shared" si="0"/>
        <v>54</v>
      </c>
      <c r="E59" s="88"/>
      <c r="F59" s="88"/>
      <c r="G59" s="86"/>
      <c r="H59" s="86"/>
      <c r="I59" s="76"/>
      <c r="J59" s="89" t="str">
        <f t="shared" si="1"/>
        <v>.</v>
      </c>
      <c r="M59" s="96"/>
    </row>
    <row r="60" spans="2:13" s="73" customFormat="1" ht="15">
      <c r="B60" s="85">
        <f t="shared" si="0"/>
        <v>55</v>
      </c>
      <c r="E60" s="88"/>
      <c r="F60" s="88"/>
      <c r="G60" s="86"/>
      <c r="H60" s="86"/>
      <c r="I60" s="76"/>
      <c r="J60" s="89" t="str">
        <f t="shared" si="1"/>
        <v>.</v>
      </c>
      <c r="M60" s="96"/>
    </row>
    <row r="61" spans="2:13" s="73" customFormat="1" ht="15">
      <c r="B61" s="85">
        <f t="shared" si="0"/>
        <v>56</v>
      </c>
      <c r="E61" s="88"/>
      <c r="F61" s="88"/>
      <c r="G61" s="86"/>
      <c r="H61" s="86"/>
      <c r="I61" s="76"/>
      <c r="J61" s="89" t="str">
        <f t="shared" si="1"/>
        <v>.</v>
      </c>
      <c r="M61" s="96"/>
    </row>
    <row r="62" spans="2:13" s="73" customFormat="1" ht="15">
      <c r="B62" s="85">
        <f t="shared" si="0"/>
        <v>57</v>
      </c>
      <c r="E62" s="88"/>
      <c r="F62" s="88"/>
      <c r="G62" s="86"/>
      <c r="H62" s="86"/>
      <c r="I62" s="76"/>
      <c r="J62" s="89" t="str">
        <f t="shared" si="1"/>
        <v>.</v>
      </c>
      <c r="M62" s="96"/>
    </row>
    <row r="63" spans="2:13" s="73" customFormat="1" ht="15">
      <c r="B63" s="85">
        <f t="shared" si="0"/>
        <v>58</v>
      </c>
      <c r="E63" s="88"/>
      <c r="F63" s="88"/>
      <c r="G63" s="86"/>
      <c r="H63" s="86"/>
      <c r="I63" s="76"/>
      <c r="J63" s="89" t="str">
        <f t="shared" si="1"/>
        <v>.</v>
      </c>
      <c r="M63" s="96"/>
    </row>
    <row r="64" spans="2:13" s="73" customFormat="1" ht="15">
      <c r="B64" s="85">
        <f t="shared" si="0"/>
        <v>59</v>
      </c>
      <c r="E64" s="88"/>
      <c r="F64" s="88"/>
      <c r="G64" s="86"/>
      <c r="H64" s="86"/>
      <c r="I64" s="76"/>
      <c r="J64" s="89" t="str">
        <f t="shared" ref="J64:J67" si="4">IF(I64="",".",J63+I64)</f>
        <v>.</v>
      </c>
      <c r="L64" s="78"/>
      <c r="M64" s="105"/>
    </row>
    <row r="65" spans="2:13" s="73" customFormat="1" ht="15">
      <c r="B65" s="85">
        <f t="shared" si="0"/>
        <v>60</v>
      </c>
      <c r="E65" s="88"/>
      <c r="F65" s="88"/>
      <c r="G65" s="86"/>
      <c r="H65" s="86"/>
      <c r="I65" s="76"/>
      <c r="J65" s="89" t="str">
        <f t="shared" si="4"/>
        <v>.</v>
      </c>
      <c r="M65" s="96"/>
    </row>
    <row r="66" spans="2:13" s="73" customFormat="1" ht="15">
      <c r="B66" s="85">
        <f t="shared" si="0"/>
        <v>61</v>
      </c>
      <c r="E66" s="88"/>
      <c r="F66" s="88"/>
      <c r="G66" s="86"/>
      <c r="H66" s="86"/>
      <c r="I66" s="76"/>
      <c r="J66" s="89" t="str">
        <f t="shared" si="4"/>
        <v>.</v>
      </c>
      <c r="M66" s="96"/>
    </row>
    <row r="67" spans="2:13" s="73" customFormat="1" ht="15">
      <c r="B67" s="85">
        <f t="shared" si="0"/>
        <v>62</v>
      </c>
      <c r="E67" s="88"/>
      <c r="F67" s="88"/>
      <c r="G67" s="86"/>
      <c r="H67" s="86"/>
      <c r="I67" s="76"/>
      <c r="J67" s="89" t="str">
        <f t="shared" si="4"/>
        <v>.</v>
      </c>
      <c r="M67" s="96"/>
    </row>
    <row r="68" spans="2:13" s="73" customFormat="1" ht="15">
      <c r="B68" s="85"/>
      <c r="E68" s="72"/>
      <c r="F68" s="72"/>
      <c r="G68" s="72"/>
      <c r="H68" s="72"/>
      <c r="I68" s="76"/>
      <c r="J68" s="89" t="str">
        <f>IF(I68="",".",J64+I68)</f>
        <v>.</v>
      </c>
      <c r="M68" s="96"/>
    </row>
    <row r="69" spans="2:13" s="73" customFormat="1" ht="15">
      <c r="B69" s="97"/>
      <c r="C69" s="98"/>
      <c r="D69" s="98"/>
      <c r="E69" s="99"/>
      <c r="F69" s="99"/>
      <c r="G69" s="99"/>
      <c r="H69" s="99"/>
      <c r="I69" s="100">
        <f>SUM(I6:I68)</f>
        <v>8308.99</v>
      </c>
      <c r="J69" s="101">
        <f>INDEX(J6:J68,COUNTIF(J6:J68,"&lt;&gt;."))</f>
        <v>8308.99</v>
      </c>
      <c r="M69" s="96"/>
    </row>
    <row r="70" spans="2:13" s="19" customFormat="1">
      <c r="B70" s="15"/>
      <c r="C70" s="16"/>
      <c r="D70" s="16"/>
      <c r="E70" s="15"/>
      <c r="F70" s="15"/>
      <c r="G70" s="15"/>
      <c r="H70" s="15"/>
      <c r="I70" s="17"/>
      <c r="J70" s="18"/>
    </row>
    <row r="73" spans="2:13" s="73" customFormat="1" ht="15">
      <c r="B73" s="85">
        <f>OLKYPAY!B159+1</f>
        <v>153</v>
      </c>
      <c r="C73" s="73" t="s">
        <v>250</v>
      </c>
      <c r="D73" s="73" t="s">
        <v>79</v>
      </c>
      <c r="E73" s="88"/>
      <c r="F73" s="88" t="s">
        <v>103</v>
      </c>
      <c r="G73" s="86">
        <v>46152</v>
      </c>
      <c r="H73" s="86">
        <v>46152</v>
      </c>
      <c r="I73" s="76">
        <v>-401.25</v>
      </c>
      <c r="J73" s="89">
        <f>IF(I73="",".",OLKYPAY!J159+I73)</f>
        <v>9310.9333333333343</v>
      </c>
      <c r="L73" s="78"/>
      <c r="M73" s="105"/>
    </row>
    <row r="74" spans="2:13" s="73" customFormat="1" ht="15">
      <c r="B74" s="85">
        <f>B73+1</f>
        <v>154</v>
      </c>
      <c r="C74" s="73" t="s">
        <v>250</v>
      </c>
      <c r="D74" s="73" t="s">
        <v>79</v>
      </c>
      <c r="E74" s="88"/>
      <c r="F74" s="88" t="s">
        <v>103</v>
      </c>
      <c r="G74" s="86">
        <v>46244</v>
      </c>
      <c r="H74" s="86">
        <v>46244</v>
      </c>
      <c r="I74" s="76">
        <v>-401.25</v>
      </c>
      <c r="J74" s="89">
        <f>IF(I74="",".",J73+I74)</f>
        <v>8909.6833333333343</v>
      </c>
      <c r="L74" s="78"/>
      <c r="M74" s="105"/>
    </row>
    <row r="75" spans="2:13" s="73" customFormat="1" ht="15">
      <c r="B75" s="85">
        <f>B74+1</f>
        <v>155</v>
      </c>
      <c r="C75" s="73" t="s">
        <v>250</v>
      </c>
      <c r="D75" s="73" t="s">
        <v>79</v>
      </c>
      <c r="E75" s="88"/>
      <c r="F75" s="88" t="s">
        <v>103</v>
      </c>
      <c r="G75" s="86">
        <v>46336</v>
      </c>
      <c r="H75" s="86">
        <v>46336</v>
      </c>
      <c r="I75" s="76">
        <v>-401.25</v>
      </c>
      <c r="J75" s="89">
        <f>IF(I75="",".",J74+I75)</f>
        <v>8508.4333333333343</v>
      </c>
      <c r="L75" s="78"/>
      <c r="M75" s="105"/>
    </row>
  </sheetData>
  <autoFilter ref="B5:J69" xr:uid="{00000000-0009-0000-0000-000000000000}"/>
  <mergeCells count="1">
    <mergeCell ref="I4:J4"/>
  </mergeCells>
  <pageMargins left="0.15748031496062992" right="0.15748031496062992" top="0.39370078740157483" bottom="0.39370078740157483" header="0.51181102362204722" footer="0.51181102362204722"/>
  <pageSetup paperSize="9" scale="89" orientation="landscape" horizontalDpi="4294967293" vertic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28DA-69F9-4484-AE13-CB0204D42950}">
  <dimension ref="A1:H95"/>
  <sheetViews>
    <sheetView workbookViewId="0">
      <pane ySplit="5" topLeftCell="A6" activePane="bottomLeft" state="frozen"/>
      <selection pane="bottomLeft" activeCell="B10" sqref="B10"/>
    </sheetView>
  </sheetViews>
  <sheetFormatPr defaultColWidth="9.140625" defaultRowHeight="15"/>
  <cols>
    <col min="1" max="1" width="70.7109375" bestFit="1" customWidth="1"/>
    <col min="2" max="2" width="14.7109375" customWidth="1"/>
    <col min="3" max="3" width="16.5703125" customWidth="1"/>
    <col min="4" max="6" width="14.7109375" customWidth="1"/>
    <col min="7" max="7" width="18.28515625" bestFit="1" customWidth="1"/>
    <col min="8" max="8" width="17.140625" customWidth="1"/>
  </cols>
  <sheetData>
    <row r="1" spans="1:8">
      <c r="A1" s="11" t="s">
        <v>8</v>
      </c>
      <c r="B1" t="s">
        <v>259</v>
      </c>
    </row>
    <row r="2" spans="1:8">
      <c r="A2" s="11" t="s">
        <v>10</v>
      </c>
      <c r="B2" t="s">
        <v>249</v>
      </c>
    </row>
    <row r="4" spans="1:8">
      <c r="A4" s="11" t="s">
        <v>31</v>
      </c>
      <c r="B4" s="11" t="s">
        <v>256</v>
      </c>
    </row>
    <row r="5" spans="1:8" s="10" customFormat="1">
      <c r="A5" s="143" t="s">
        <v>257</v>
      </c>
      <c r="B5">
        <v>2026</v>
      </c>
      <c r="C5" s="10" t="s">
        <v>258</v>
      </c>
      <c r="D5"/>
      <c r="E5"/>
      <c r="F5"/>
      <c r="G5"/>
      <c r="H5"/>
    </row>
    <row r="6" spans="1:8">
      <c r="A6" s="12" t="s">
        <v>34</v>
      </c>
      <c r="B6" s="9"/>
      <c r="C6" s="9"/>
    </row>
    <row r="7" spans="1:8">
      <c r="A7" s="13" t="s">
        <v>145</v>
      </c>
      <c r="B7" s="9"/>
      <c r="C7" s="9"/>
    </row>
    <row r="8" spans="1:8">
      <c r="A8" s="14" t="s">
        <v>32</v>
      </c>
      <c r="B8" s="9"/>
      <c r="C8" s="9"/>
    </row>
    <row r="9" spans="1:8">
      <c r="A9" s="132" t="s">
        <v>249</v>
      </c>
      <c r="B9" s="9">
        <v>-124.49</v>
      </c>
      <c r="C9" s="9">
        <v>-124.49</v>
      </c>
    </row>
    <row r="10" spans="1:8">
      <c r="A10" s="13" t="s">
        <v>143</v>
      </c>
      <c r="B10" s="9"/>
      <c r="C10" s="9"/>
    </row>
    <row r="11" spans="1:8">
      <c r="A11" s="14" t="s">
        <v>127</v>
      </c>
      <c r="B11" s="9"/>
      <c r="C11" s="9"/>
    </row>
    <row r="12" spans="1:8">
      <c r="A12" s="132" t="s">
        <v>126</v>
      </c>
      <c r="B12" s="9">
        <v>-350</v>
      </c>
      <c r="C12" s="9">
        <v>-350</v>
      </c>
    </row>
    <row r="13" spans="1:8">
      <c r="A13" s="13" t="s">
        <v>144</v>
      </c>
      <c r="B13" s="9"/>
      <c r="C13" s="9"/>
    </row>
    <row r="14" spans="1:8">
      <c r="A14" s="14" t="s">
        <v>245</v>
      </c>
      <c r="B14" s="9"/>
      <c r="C14" s="9"/>
    </row>
    <row r="15" spans="1:8">
      <c r="A15" s="132" t="s">
        <v>102</v>
      </c>
      <c r="B15" s="9">
        <v>-802.5</v>
      </c>
      <c r="C15" s="9">
        <v>-802.5</v>
      </c>
    </row>
    <row r="16" spans="1:8">
      <c r="A16" s="12" t="s">
        <v>147</v>
      </c>
      <c r="B16" s="9"/>
      <c r="C16" s="9"/>
    </row>
    <row r="17" spans="1:3">
      <c r="A17" s="13" t="s">
        <v>170</v>
      </c>
      <c r="B17" s="9"/>
      <c r="C17" s="9"/>
    </row>
    <row r="18" spans="1:3">
      <c r="A18" s="14" t="s">
        <v>109</v>
      </c>
      <c r="B18" s="9"/>
      <c r="C18" s="9"/>
    </row>
    <row r="19" spans="1:3">
      <c r="A19" s="132" t="s">
        <v>170</v>
      </c>
      <c r="B19" s="9">
        <v>9585.98</v>
      </c>
      <c r="C19" s="9">
        <v>9585.98</v>
      </c>
    </row>
    <row r="20" spans="1:3">
      <c r="A20" s="12" t="s">
        <v>258</v>
      </c>
      <c r="B20" s="9">
        <v>8308.99</v>
      </c>
      <c r="C20" s="71">
        <v>8308.99</v>
      </c>
    </row>
    <row r="95" spans="1:8" s="111" customFormat="1">
      <c r="A95"/>
      <c r="B95"/>
      <c r="C95"/>
      <c r="D95"/>
      <c r="E95"/>
      <c r="F95"/>
      <c r="G95"/>
      <c r="H95"/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31"/>
  <sheetViews>
    <sheetView tabSelected="1" zoomScaleNormal="100" workbookViewId="0">
      <pane ySplit="1" topLeftCell="A293" activePane="bottomLeft" state="frozen"/>
      <selection activeCell="K169" activeCellId="2" sqref="K24:K86 K167:K168 K169"/>
      <selection pane="bottomLeft" activeCell="A323" sqref="A323:B324"/>
    </sheetView>
  </sheetViews>
  <sheetFormatPr defaultColWidth="9.140625" defaultRowHeight="15"/>
  <cols>
    <col min="1" max="2" width="10.7109375" style="6" bestFit="1" customWidth="1"/>
    <col min="3" max="3" width="7.42578125" style="7" customWidth="1"/>
    <col min="4" max="4" width="7" style="7" customWidth="1"/>
    <col min="5" max="5" width="15" style="7" customWidth="1"/>
    <col min="6" max="6" width="12.5703125" style="66" customWidth="1"/>
    <col min="7" max="8" width="7.7109375" style="7" customWidth="1"/>
    <col min="9" max="9" width="10.85546875" style="9" customWidth="1"/>
    <col min="10" max="10" width="9.7109375" style="59" customWidth="1"/>
    <col min="11" max="11" width="10.42578125" style="9" customWidth="1"/>
    <col min="12" max="12" width="13.85546875" style="9" bestFit="1" customWidth="1"/>
    <col min="13" max="13" width="13.85546875" style="9" customWidth="1"/>
    <col min="14" max="14" width="6.5703125" style="8" customWidth="1"/>
    <col min="15" max="15" width="8.140625" style="27" customWidth="1"/>
    <col min="16" max="16" width="6.42578125" customWidth="1"/>
    <col min="17" max="17" width="27.7109375" bestFit="1" customWidth="1"/>
    <col min="18" max="18" width="24.7109375" customWidth="1"/>
    <col min="19" max="19" width="31.7109375" customWidth="1"/>
    <col min="20" max="20" width="16.85546875" customWidth="1"/>
    <col min="21" max="21" width="33.85546875" customWidth="1"/>
    <col min="22" max="22" width="36.42578125" customWidth="1"/>
    <col min="23" max="23" width="12" style="10" customWidth="1"/>
    <col min="24" max="24" width="29.5703125" customWidth="1"/>
    <col min="25" max="25" width="7.7109375" style="10" customWidth="1"/>
    <col min="26" max="26" width="7" style="10" customWidth="1"/>
    <col min="27" max="27" width="17.7109375" customWidth="1"/>
    <col min="29" max="30" width="10.7109375" bestFit="1" customWidth="1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186" t="s">
        <v>241</v>
      </c>
      <c r="F1" s="65" t="s">
        <v>107</v>
      </c>
      <c r="G1" s="2" t="s">
        <v>108</v>
      </c>
      <c r="H1" s="2" t="s">
        <v>120</v>
      </c>
      <c r="I1" s="3" t="s">
        <v>99</v>
      </c>
      <c r="J1" s="58" t="s">
        <v>101</v>
      </c>
      <c r="K1" s="3" t="s">
        <v>100</v>
      </c>
      <c r="L1" s="3" t="s">
        <v>4</v>
      </c>
      <c r="M1" s="3" t="s">
        <v>11</v>
      </c>
      <c r="N1" s="70" t="s">
        <v>12</v>
      </c>
      <c r="O1" s="26" t="s">
        <v>5</v>
      </c>
      <c r="P1" s="5" t="s">
        <v>8</v>
      </c>
      <c r="Q1" s="5" t="s">
        <v>9</v>
      </c>
      <c r="R1" s="4" t="s">
        <v>150</v>
      </c>
      <c r="S1" s="4" t="s">
        <v>7</v>
      </c>
      <c r="T1" s="4" t="s">
        <v>204</v>
      </c>
      <c r="U1" s="4" t="s">
        <v>6</v>
      </c>
      <c r="V1" s="4" t="s">
        <v>18</v>
      </c>
      <c r="W1" s="4" t="s">
        <v>10</v>
      </c>
      <c r="X1" s="4" t="s">
        <v>19</v>
      </c>
      <c r="Y1" s="5" t="s">
        <v>153</v>
      </c>
      <c r="Z1" s="5" t="s">
        <v>105</v>
      </c>
    </row>
    <row r="2" spans="1:26">
      <c r="A2" s="6">
        <v>44561</v>
      </c>
      <c r="B2" s="6">
        <v>44561</v>
      </c>
      <c r="C2" s="7">
        <f t="shared" ref="C2:C3" si="0">IF(B2="","",MONTH(B2))</f>
        <v>12</v>
      </c>
      <c r="D2" s="7">
        <f t="shared" ref="D2:D3" si="1">IF(B2="","",YEAR(B2))</f>
        <v>2021</v>
      </c>
      <c r="E2" s="187"/>
      <c r="L2" s="9">
        <v>1004968.24</v>
      </c>
      <c r="M2" s="9">
        <f>+L2</f>
        <v>1004968.24</v>
      </c>
      <c r="P2" t="s">
        <v>14</v>
      </c>
      <c r="Q2" t="s">
        <v>188</v>
      </c>
      <c r="R2" t="s">
        <v>186</v>
      </c>
      <c r="S2" t="s">
        <v>187</v>
      </c>
      <c r="U2" t="s">
        <v>184</v>
      </c>
      <c r="V2" t="s">
        <v>185</v>
      </c>
    </row>
    <row r="3" spans="1:26">
      <c r="A3" s="6">
        <v>44561</v>
      </c>
      <c r="B3" s="6">
        <v>44561</v>
      </c>
      <c r="C3" s="7">
        <f t="shared" si="0"/>
        <v>12</v>
      </c>
      <c r="D3" s="7">
        <f t="shared" si="1"/>
        <v>2021</v>
      </c>
      <c r="E3" s="187"/>
      <c r="L3" s="9">
        <v>-1004968.24</v>
      </c>
      <c r="M3" s="9">
        <f>M2+L3</f>
        <v>0</v>
      </c>
      <c r="P3" t="s">
        <v>14</v>
      </c>
      <c r="Q3" t="s">
        <v>188</v>
      </c>
      <c r="R3" t="s">
        <v>186</v>
      </c>
      <c r="S3" t="s">
        <v>187</v>
      </c>
      <c r="U3" t="s">
        <v>184</v>
      </c>
      <c r="V3" t="s">
        <v>79</v>
      </c>
      <c r="X3" t="s">
        <v>79</v>
      </c>
    </row>
    <row r="4" spans="1:26">
      <c r="A4" s="6">
        <v>44561</v>
      </c>
      <c r="B4" s="6">
        <v>44561</v>
      </c>
      <c r="C4" s="7">
        <f t="shared" ref="C4:C5" si="2">IF(B4="","",MONTH(B4))</f>
        <v>12</v>
      </c>
      <c r="D4" s="7">
        <f t="shared" ref="D4:D5" si="3">IF(B4="","",YEAR(B4))</f>
        <v>2021</v>
      </c>
      <c r="E4" s="187"/>
      <c r="L4" s="9">
        <v>16257.32</v>
      </c>
      <c r="M4" s="9">
        <f t="shared" ref="M4:M7" si="4">M3+L4</f>
        <v>16257.32</v>
      </c>
      <c r="P4" t="s">
        <v>14</v>
      </c>
      <c r="Q4" t="s">
        <v>188</v>
      </c>
      <c r="R4" t="s">
        <v>189</v>
      </c>
      <c r="S4" t="s">
        <v>192</v>
      </c>
      <c r="U4" t="s">
        <v>191</v>
      </c>
      <c r="V4" t="s">
        <v>190</v>
      </c>
    </row>
    <row r="5" spans="1:26">
      <c r="A5" s="6">
        <v>44561</v>
      </c>
      <c r="B5" s="6">
        <v>44561</v>
      </c>
      <c r="C5" s="7">
        <f t="shared" si="2"/>
        <v>12</v>
      </c>
      <c r="D5" s="7">
        <f t="shared" si="3"/>
        <v>2021</v>
      </c>
      <c r="E5" s="187"/>
      <c r="L5" s="9">
        <v>-16257.32</v>
      </c>
      <c r="M5" s="9">
        <f t="shared" si="4"/>
        <v>0</v>
      </c>
      <c r="P5" t="s">
        <v>14</v>
      </c>
      <c r="Q5" t="s">
        <v>188</v>
      </c>
      <c r="R5" t="s">
        <v>189</v>
      </c>
      <c r="S5" t="s">
        <v>192</v>
      </c>
      <c r="U5" t="s">
        <v>191</v>
      </c>
      <c r="V5" t="s">
        <v>79</v>
      </c>
      <c r="X5" t="s">
        <v>79</v>
      </c>
    </row>
    <row r="6" spans="1:26">
      <c r="A6" s="6">
        <v>44561</v>
      </c>
      <c r="B6" s="6">
        <v>44561</v>
      </c>
      <c r="C6" s="7">
        <f t="shared" ref="C6:C29" si="5">IF(B6="","",MONTH(B6))</f>
        <v>12</v>
      </c>
      <c r="D6" s="7">
        <f t="shared" ref="D6" si="6">IF(B6="","",YEAR(B6))</f>
        <v>2021</v>
      </c>
      <c r="E6" s="187"/>
      <c r="L6" s="9">
        <v>43249.57</v>
      </c>
      <c r="M6" s="9">
        <f t="shared" si="4"/>
        <v>43249.57</v>
      </c>
      <c r="N6" s="8" t="s">
        <v>72</v>
      </c>
      <c r="P6" t="s">
        <v>14</v>
      </c>
      <c r="Q6" t="s">
        <v>147</v>
      </c>
      <c r="R6" t="s">
        <v>148</v>
      </c>
      <c r="S6" t="s">
        <v>13</v>
      </c>
      <c r="U6" t="s">
        <v>109</v>
      </c>
      <c r="V6" t="s">
        <v>157</v>
      </c>
      <c r="X6" t="s">
        <v>25</v>
      </c>
      <c r="Y6"/>
    </row>
    <row r="7" spans="1:26">
      <c r="A7" s="6">
        <v>44561</v>
      </c>
      <c r="B7" s="6">
        <v>44561</v>
      </c>
      <c r="C7" s="7">
        <f t="shared" si="5"/>
        <v>12</v>
      </c>
      <c r="D7" s="7">
        <f t="shared" ref="D7:D28" si="7">IF(B7="","",YEAR(B7))</f>
        <v>2021</v>
      </c>
      <c r="E7" s="187"/>
      <c r="L7" s="9">
        <v>43249.57</v>
      </c>
      <c r="M7" s="9">
        <f t="shared" si="4"/>
        <v>86499.14</v>
      </c>
      <c r="N7" s="8" t="s">
        <v>72</v>
      </c>
      <c r="P7" t="s">
        <v>14</v>
      </c>
      <c r="Q7" t="s">
        <v>147</v>
      </c>
      <c r="R7" t="s">
        <v>148</v>
      </c>
      <c r="S7" t="s">
        <v>13</v>
      </c>
      <c r="U7" t="s">
        <v>109</v>
      </c>
      <c r="V7" t="s">
        <v>158</v>
      </c>
      <c r="X7" t="s">
        <v>26</v>
      </c>
    </row>
    <row r="8" spans="1:26">
      <c r="A8" s="6">
        <v>44561</v>
      </c>
      <c r="B8" s="6">
        <v>44561</v>
      </c>
      <c r="C8" s="7">
        <f t="shared" si="5"/>
        <v>12</v>
      </c>
      <c r="D8" s="7">
        <f t="shared" si="7"/>
        <v>2021</v>
      </c>
      <c r="E8" s="187"/>
      <c r="L8" s="9">
        <v>42266.62</v>
      </c>
      <c r="M8" s="9">
        <f t="shared" ref="M8:M71" si="8">M7+L8</f>
        <v>128765.76000000001</v>
      </c>
      <c r="N8" s="8" t="s">
        <v>73</v>
      </c>
      <c r="P8" t="s">
        <v>14</v>
      </c>
      <c r="Q8" t="s">
        <v>147</v>
      </c>
      <c r="R8" t="s">
        <v>148</v>
      </c>
      <c r="S8" t="s">
        <v>13</v>
      </c>
      <c r="U8" t="s">
        <v>109</v>
      </c>
      <c r="V8" t="s">
        <v>159</v>
      </c>
      <c r="X8" t="s">
        <v>16</v>
      </c>
    </row>
    <row r="9" spans="1:26">
      <c r="A9" s="6">
        <v>44561</v>
      </c>
      <c r="B9" s="6">
        <v>44561</v>
      </c>
      <c r="C9" s="7">
        <f t="shared" si="5"/>
        <v>12</v>
      </c>
      <c r="D9" s="7">
        <f t="shared" si="7"/>
        <v>2021</v>
      </c>
      <c r="E9" s="187"/>
      <c r="L9" s="9">
        <v>97311.53</v>
      </c>
      <c r="M9" s="9">
        <f t="shared" si="8"/>
        <v>226077.29</v>
      </c>
      <c r="N9" s="8" t="s">
        <v>73</v>
      </c>
      <c r="P9" t="s">
        <v>14</v>
      </c>
      <c r="Q9" t="s">
        <v>147</v>
      </c>
      <c r="R9" t="s">
        <v>148</v>
      </c>
      <c r="S9" t="s">
        <v>13</v>
      </c>
      <c r="U9" t="s">
        <v>109</v>
      </c>
      <c r="V9" t="s">
        <v>160</v>
      </c>
      <c r="X9" t="s">
        <v>28</v>
      </c>
    </row>
    <row r="10" spans="1:26">
      <c r="A10" s="6">
        <v>44561</v>
      </c>
      <c r="B10" s="6">
        <v>44561</v>
      </c>
      <c r="C10" s="7">
        <f t="shared" si="5"/>
        <v>12</v>
      </c>
      <c r="D10" s="7">
        <f t="shared" si="7"/>
        <v>2021</v>
      </c>
      <c r="E10" s="187"/>
      <c r="L10" s="9">
        <v>97311.53</v>
      </c>
      <c r="M10" s="9">
        <f t="shared" si="8"/>
        <v>323388.82</v>
      </c>
      <c r="N10" s="8" t="s">
        <v>73</v>
      </c>
      <c r="P10" t="s">
        <v>14</v>
      </c>
      <c r="Q10" t="s">
        <v>147</v>
      </c>
      <c r="R10" t="s">
        <v>148</v>
      </c>
      <c r="S10" t="s">
        <v>13</v>
      </c>
      <c r="U10" t="s">
        <v>109</v>
      </c>
      <c r="V10" t="s">
        <v>161</v>
      </c>
      <c r="X10" t="s">
        <v>27</v>
      </c>
    </row>
    <row r="11" spans="1:26">
      <c r="A11" s="6">
        <v>44561</v>
      </c>
      <c r="B11" s="6">
        <v>44561</v>
      </c>
      <c r="C11" s="7">
        <f t="shared" si="5"/>
        <v>12</v>
      </c>
      <c r="D11" s="7">
        <f t="shared" si="7"/>
        <v>2021</v>
      </c>
      <c r="E11" s="187"/>
      <c r="L11" s="9">
        <v>49147.24</v>
      </c>
      <c r="M11" s="9">
        <f t="shared" si="8"/>
        <v>372536.06</v>
      </c>
      <c r="N11" s="8" t="s">
        <v>68</v>
      </c>
      <c r="P11" t="s">
        <v>14</v>
      </c>
      <c r="Q11" t="s">
        <v>147</v>
      </c>
      <c r="R11" t="s">
        <v>148</v>
      </c>
      <c r="S11" t="s">
        <v>13</v>
      </c>
      <c r="U11" t="s">
        <v>109</v>
      </c>
      <c r="V11" t="s">
        <v>162</v>
      </c>
      <c r="X11" t="s">
        <v>21</v>
      </c>
    </row>
    <row r="12" spans="1:26">
      <c r="A12" s="6">
        <v>44561</v>
      </c>
      <c r="B12" s="6">
        <v>44561</v>
      </c>
      <c r="C12" s="7">
        <f t="shared" si="5"/>
        <v>12</v>
      </c>
      <c r="D12" s="7">
        <f t="shared" si="7"/>
        <v>2021</v>
      </c>
      <c r="E12" s="187"/>
      <c r="L12" s="9">
        <v>50130.18</v>
      </c>
      <c r="M12" s="9">
        <f t="shared" si="8"/>
        <v>422666.23999999999</v>
      </c>
      <c r="N12" s="8" t="s">
        <v>68</v>
      </c>
      <c r="P12" t="s">
        <v>14</v>
      </c>
      <c r="Q12" t="s">
        <v>147</v>
      </c>
      <c r="R12" t="s">
        <v>148</v>
      </c>
      <c r="S12" t="s">
        <v>13</v>
      </c>
      <c r="U12" t="s">
        <v>109</v>
      </c>
      <c r="V12" t="s">
        <v>163</v>
      </c>
      <c r="X12" t="s">
        <v>30</v>
      </c>
    </row>
    <row r="13" spans="1:26">
      <c r="A13" s="6">
        <v>44561</v>
      </c>
      <c r="B13" s="6">
        <v>44561</v>
      </c>
      <c r="C13" s="7">
        <f t="shared" si="5"/>
        <v>12</v>
      </c>
      <c r="D13" s="7">
        <f t="shared" si="7"/>
        <v>2021</v>
      </c>
      <c r="E13" s="187"/>
      <c r="L13" s="9">
        <v>95345.63</v>
      </c>
      <c r="M13" s="9">
        <f t="shared" si="8"/>
        <v>518011.87</v>
      </c>
      <c r="N13" s="8" t="s">
        <v>71</v>
      </c>
      <c r="P13" t="s">
        <v>14</v>
      </c>
      <c r="Q13" t="s">
        <v>147</v>
      </c>
      <c r="R13" t="s">
        <v>148</v>
      </c>
      <c r="S13" t="s">
        <v>13</v>
      </c>
      <c r="U13" t="s">
        <v>109</v>
      </c>
      <c r="V13" t="s">
        <v>164</v>
      </c>
      <c r="X13" t="s">
        <v>24</v>
      </c>
    </row>
    <row r="14" spans="1:26">
      <c r="A14" s="6">
        <v>44561</v>
      </c>
      <c r="B14" s="6">
        <v>44561</v>
      </c>
      <c r="C14" s="7">
        <f t="shared" si="5"/>
        <v>12</v>
      </c>
      <c r="D14" s="7">
        <f t="shared" si="7"/>
        <v>2021</v>
      </c>
      <c r="E14" s="187"/>
      <c r="L14" s="9">
        <v>8846.5</v>
      </c>
      <c r="M14" s="9">
        <f t="shared" si="8"/>
        <v>526858.37</v>
      </c>
      <c r="N14" s="8" t="s">
        <v>67</v>
      </c>
      <c r="P14" t="s">
        <v>14</v>
      </c>
      <c r="Q14" t="s">
        <v>147</v>
      </c>
      <c r="R14" t="s">
        <v>148</v>
      </c>
      <c r="S14" t="s">
        <v>13</v>
      </c>
      <c r="U14" t="s">
        <v>109</v>
      </c>
      <c r="V14" t="s">
        <v>165</v>
      </c>
      <c r="X14" t="s">
        <v>17</v>
      </c>
    </row>
    <row r="15" spans="1:26">
      <c r="A15" s="6">
        <v>44561</v>
      </c>
      <c r="B15" s="6">
        <v>44561</v>
      </c>
      <c r="C15" s="7">
        <f t="shared" si="5"/>
        <v>12</v>
      </c>
      <c r="D15" s="7">
        <f t="shared" si="7"/>
        <v>2021</v>
      </c>
      <c r="E15" s="187"/>
      <c r="L15" s="9">
        <v>95345.63</v>
      </c>
      <c r="M15" s="9">
        <f t="shared" si="8"/>
        <v>622204</v>
      </c>
      <c r="N15" s="8" t="s">
        <v>67</v>
      </c>
      <c r="P15" t="s">
        <v>14</v>
      </c>
      <c r="Q15" t="s">
        <v>147</v>
      </c>
      <c r="R15" t="s">
        <v>148</v>
      </c>
      <c r="S15" t="s">
        <v>13</v>
      </c>
      <c r="U15" t="s">
        <v>109</v>
      </c>
      <c r="V15" t="s">
        <v>166</v>
      </c>
      <c r="X15" t="s">
        <v>20</v>
      </c>
    </row>
    <row r="16" spans="1:26">
      <c r="A16" s="6">
        <v>44561</v>
      </c>
      <c r="B16" s="6">
        <v>44561</v>
      </c>
      <c r="C16" s="7">
        <f t="shared" si="5"/>
        <v>12</v>
      </c>
      <c r="D16" s="7">
        <f t="shared" si="7"/>
        <v>2021</v>
      </c>
      <c r="E16" s="187"/>
      <c r="L16" s="9">
        <v>117953.36</v>
      </c>
      <c r="M16" s="9">
        <f t="shared" si="8"/>
        <v>740157.36</v>
      </c>
      <c r="N16" s="8" t="s">
        <v>70</v>
      </c>
      <c r="P16" t="s">
        <v>14</v>
      </c>
      <c r="Q16" t="s">
        <v>147</v>
      </c>
      <c r="R16" t="s">
        <v>148</v>
      </c>
      <c r="S16" t="s">
        <v>13</v>
      </c>
      <c r="U16" t="s">
        <v>109</v>
      </c>
      <c r="V16" t="s">
        <v>167</v>
      </c>
      <c r="X16" t="s">
        <v>23</v>
      </c>
    </row>
    <row r="17" spans="1:25">
      <c r="A17" s="6">
        <v>44561</v>
      </c>
      <c r="B17" s="6">
        <v>44561</v>
      </c>
      <c r="C17" s="7">
        <f t="shared" si="5"/>
        <v>12</v>
      </c>
      <c r="D17" s="7">
        <f t="shared" si="7"/>
        <v>2021</v>
      </c>
      <c r="E17" s="187"/>
      <c r="L17" s="9">
        <v>147441.71</v>
      </c>
      <c r="M17" s="9">
        <f t="shared" si="8"/>
        <v>887599.07</v>
      </c>
      <c r="N17" s="8" t="s">
        <v>69</v>
      </c>
      <c r="P17" t="s">
        <v>14</v>
      </c>
      <c r="Q17" t="s">
        <v>147</v>
      </c>
      <c r="R17" t="s">
        <v>148</v>
      </c>
      <c r="S17" t="s">
        <v>13</v>
      </c>
      <c r="U17" t="s">
        <v>109</v>
      </c>
      <c r="V17" t="s">
        <v>168</v>
      </c>
      <c r="X17" t="s">
        <v>22</v>
      </c>
    </row>
    <row r="18" spans="1:25">
      <c r="A18" s="6">
        <v>44561</v>
      </c>
      <c r="B18" s="6">
        <v>44561</v>
      </c>
      <c r="C18" s="7">
        <f t="shared" si="5"/>
        <v>12</v>
      </c>
      <c r="D18" s="7">
        <f t="shared" si="7"/>
        <v>2021</v>
      </c>
      <c r="E18" s="187"/>
      <c r="L18" s="9">
        <v>97311.53</v>
      </c>
      <c r="M18" s="9">
        <f t="shared" si="8"/>
        <v>984910.6</v>
      </c>
      <c r="N18" s="8" t="s">
        <v>75</v>
      </c>
      <c r="P18" t="s">
        <v>14</v>
      </c>
      <c r="Q18" t="s">
        <v>147</v>
      </c>
      <c r="R18" t="s">
        <v>148</v>
      </c>
      <c r="S18" t="s">
        <v>13</v>
      </c>
      <c r="U18" t="s">
        <v>109</v>
      </c>
      <c r="V18" t="s">
        <v>169</v>
      </c>
      <c r="X18" t="s">
        <v>29</v>
      </c>
    </row>
    <row r="19" spans="1:25">
      <c r="A19" s="6">
        <v>44561</v>
      </c>
      <c r="B19" s="6">
        <v>44561</v>
      </c>
      <c r="C19" s="7">
        <f t="shared" si="5"/>
        <v>12</v>
      </c>
      <c r="D19" s="7">
        <f t="shared" si="7"/>
        <v>2021</v>
      </c>
      <c r="E19" s="187"/>
      <c r="L19" s="9">
        <v>-984910.6</v>
      </c>
      <c r="M19" s="9">
        <f t="shared" si="8"/>
        <v>0</v>
      </c>
      <c r="P19" t="s">
        <v>14</v>
      </c>
      <c r="Q19" t="s">
        <v>147</v>
      </c>
      <c r="R19" t="s">
        <v>148</v>
      </c>
      <c r="S19" t="s">
        <v>13</v>
      </c>
      <c r="U19" t="s">
        <v>109</v>
      </c>
      <c r="V19" t="s">
        <v>79</v>
      </c>
      <c r="X19" t="s">
        <v>79</v>
      </c>
    </row>
    <row r="20" spans="1:25">
      <c r="A20" s="6">
        <v>44561</v>
      </c>
      <c r="B20" s="6">
        <v>44561</v>
      </c>
      <c r="C20" s="7">
        <f t="shared" si="5"/>
        <v>12</v>
      </c>
      <c r="D20" s="7">
        <f t="shared" si="7"/>
        <v>2021</v>
      </c>
      <c r="E20" s="187"/>
      <c r="L20" s="9">
        <v>3154.39</v>
      </c>
      <c r="M20" s="9">
        <f t="shared" si="8"/>
        <v>3154.39</v>
      </c>
      <c r="P20" t="s">
        <v>14</v>
      </c>
      <c r="Q20" t="s">
        <v>147</v>
      </c>
      <c r="R20" t="s">
        <v>148</v>
      </c>
      <c r="S20" t="s">
        <v>180</v>
      </c>
      <c r="U20" t="s">
        <v>179</v>
      </c>
      <c r="V20" t="s">
        <v>183</v>
      </c>
    </row>
    <row r="21" spans="1:25">
      <c r="A21" s="6">
        <v>44561</v>
      </c>
      <c r="B21" s="6">
        <v>44561</v>
      </c>
      <c r="C21" s="7">
        <f t="shared" si="5"/>
        <v>12</v>
      </c>
      <c r="D21" s="7">
        <f t="shared" si="7"/>
        <v>2021</v>
      </c>
      <c r="E21" s="187"/>
      <c r="L21" s="9">
        <v>-3154.39</v>
      </c>
      <c r="M21" s="9">
        <f t="shared" si="8"/>
        <v>0</v>
      </c>
      <c r="P21" t="s">
        <v>14</v>
      </c>
      <c r="Q21" t="s">
        <v>147</v>
      </c>
      <c r="R21" t="s">
        <v>148</v>
      </c>
      <c r="S21" t="s">
        <v>181</v>
      </c>
      <c r="U21" t="s">
        <v>179</v>
      </c>
      <c r="V21" t="s">
        <v>79</v>
      </c>
      <c r="X21" t="s">
        <v>79</v>
      </c>
    </row>
    <row r="22" spans="1:25">
      <c r="A22" s="6">
        <v>44561</v>
      </c>
      <c r="B22" s="6">
        <v>44561</v>
      </c>
      <c r="C22" s="7">
        <f t="shared" si="5"/>
        <v>12</v>
      </c>
      <c r="D22" s="7">
        <f t="shared" si="7"/>
        <v>2021</v>
      </c>
      <c r="E22" s="187"/>
      <c r="L22" s="9">
        <v>1755</v>
      </c>
      <c r="M22" s="9">
        <f t="shared" si="8"/>
        <v>1755</v>
      </c>
      <c r="P22" t="s">
        <v>14</v>
      </c>
      <c r="Q22" t="s">
        <v>147</v>
      </c>
      <c r="R22" t="s">
        <v>148</v>
      </c>
      <c r="S22" t="s">
        <v>182</v>
      </c>
      <c r="U22" t="s">
        <v>179</v>
      </c>
      <c r="V22" t="s">
        <v>183</v>
      </c>
    </row>
    <row r="23" spans="1:25">
      <c r="A23" s="6">
        <v>44561</v>
      </c>
      <c r="B23" s="6">
        <v>44561</v>
      </c>
      <c r="C23" s="7">
        <f t="shared" si="5"/>
        <v>12</v>
      </c>
      <c r="D23" s="7">
        <f t="shared" si="7"/>
        <v>2021</v>
      </c>
      <c r="E23" s="187"/>
      <c r="L23" s="9">
        <v>-1755</v>
      </c>
      <c r="M23" s="9">
        <f t="shared" si="8"/>
        <v>0</v>
      </c>
      <c r="P23" t="s">
        <v>14</v>
      </c>
      <c r="Q23" t="s">
        <v>147</v>
      </c>
      <c r="R23" t="s">
        <v>148</v>
      </c>
      <c r="S23" t="s">
        <v>181</v>
      </c>
      <c r="U23" t="s">
        <v>179</v>
      </c>
      <c r="V23" t="s">
        <v>79</v>
      </c>
      <c r="X23" t="s">
        <v>79</v>
      </c>
    </row>
    <row r="24" spans="1:25">
      <c r="A24" s="6">
        <v>44561</v>
      </c>
      <c r="B24" s="6">
        <v>44561</v>
      </c>
      <c r="C24" s="7">
        <f t="shared" ref="C24:C27" si="9">IF(B24="","",MONTH(B24))</f>
        <v>12</v>
      </c>
      <c r="D24" s="7">
        <f t="shared" ref="D24:D27" si="10">IF(B24="","",YEAR(B24))</f>
        <v>2021</v>
      </c>
      <c r="E24" s="187"/>
      <c r="L24" s="71">
        <v>19168.79</v>
      </c>
      <c r="M24" s="9">
        <f t="shared" si="8"/>
        <v>19168.79</v>
      </c>
      <c r="P24" t="s">
        <v>14</v>
      </c>
      <c r="Q24" t="s">
        <v>147</v>
      </c>
      <c r="R24" t="s">
        <v>148</v>
      </c>
      <c r="S24" t="s">
        <v>170</v>
      </c>
      <c r="U24" t="s">
        <v>109</v>
      </c>
      <c r="V24" t="s">
        <v>170</v>
      </c>
      <c r="X24" t="s">
        <v>17</v>
      </c>
    </row>
    <row r="25" spans="1:25">
      <c r="A25" s="6">
        <v>44561</v>
      </c>
      <c r="B25" s="6">
        <v>44561</v>
      </c>
      <c r="C25" s="7">
        <f t="shared" si="9"/>
        <v>12</v>
      </c>
      <c r="D25" s="7">
        <f t="shared" si="10"/>
        <v>2021</v>
      </c>
      <c r="E25" s="187"/>
      <c r="L25" s="9">
        <v>-19168.79</v>
      </c>
      <c r="M25" s="9">
        <f t="shared" si="8"/>
        <v>0</v>
      </c>
      <c r="P25" t="s">
        <v>14</v>
      </c>
      <c r="Q25" t="s">
        <v>147</v>
      </c>
      <c r="R25" t="s">
        <v>148</v>
      </c>
      <c r="S25" t="s">
        <v>54</v>
      </c>
      <c r="U25" t="s">
        <v>179</v>
      </c>
      <c r="V25" t="s">
        <v>79</v>
      </c>
      <c r="X25" t="s">
        <v>79</v>
      </c>
    </row>
    <row r="26" spans="1:25">
      <c r="A26" s="6">
        <v>44561</v>
      </c>
      <c r="B26" s="6">
        <v>44561</v>
      </c>
      <c r="C26" s="7">
        <f t="shared" si="9"/>
        <v>12</v>
      </c>
      <c r="D26" s="7">
        <f t="shared" si="10"/>
        <v>2021</v>
      </c>
      <c r="E26" s="187"/>
      <c r="L26" s="9">
        <v>888.85</v>
      </c>
      <c r="M26" s="9">
        <f t="shared" si="8"/>
        <v>888.85</v>
      </c>
      <c r="P26" t="s">
        <v>14</v>
      </c>
      <c r="Q26" t="s">
        <v>147</v>
      </c>
      <c r="R26" t="s">
        <v>149</v>
      </c>
      <c r="S26" t="s">
        <v>195</v>
      </c>
      <c r="U26" t="s">
        <v>174</v>
      </c>
      <c r="V26" t="s">
        <v>173</v>
      </c>
    </row>
    <row r="27" spans="1:25">
      <c r="A27" s="6">
        <v>44561</v>
      </c>
      <c r="B27" s="6">
        <v>44561</v>
      </c>
      <c r="C27" s="7">
        <f t="shared" si="9"/>
        <v>12</v>
      </c>
      <c r="D27" s="7">
        <f t="shared" si="10"/>
        <v>2021</v>
      </c>
      <c r="E27" s="187"/>
      <c r="L27" s="9">
        <v>-888.85</v>
      </c>
      <c r="M27" s="9">
        <f t="shared" si="8"/>
        <v>0</v>
      </c>
      <c r="P27" t="s">
        <v>14</v>
      </c>
      <c r="Q27" t="s">
        <v>147</v>
      </c>
      <c r="R27" t="s">
        <v>149</v>
      </c>
      <c r="S27" t="s">
        <v>195</v>
      </c>
      <c r="U27" t="s">
        <v>174</v>
      </c>
      <c r="V27" t="s">
        <v>79</v>
      </c>
      <c r="X27" t="s">
        <v>79</v>
      </c>
    </row>
    <row r="28" spans="1:25">
      <c r="A28" s="6">
        <v>44561</v>
      </c>
      <c r="B28" s="6">
        <v>44561</v>
      </c>
      <c r="C28" s="7">
        <f t="shared" si="5"/>
        <v>12</v>
      </c>
      <c r="D28" s="7">
        <f t="shared" si="7"/>
        <v>2021</v>
      </c>
      <c r="E28" s="187"/>
      <c r="L28" s="9">
        <v>-5652.07</v>
      </c>
      <c r="M28" s="9">
        <f t="shared" si="8"/>
        <v>-5652.07</v>
      </c>
      <c r="P28" t="s">
        <v>14</v>
      </c>
      <c r="Q28" t="s">
        <v>147</v>
      </c>
      <c r="R28" t="s">
        <v>149</v>
      </c>
      <c r="S28" t="s">
        <v>194</v>
      </c>
      <c r="U28" t="s">
        <v>177</v>
      </c>
      <c r="V28" t="s">
        <v>178</v>
      </c>
    </row>
    <row r="29" spans="1:25">
      <c r="A29" s="6">
        <v>44561</v>
      </c>
      <c r="B29" s="6">
        <v>44561</v>
      </c>
      <c r="C29" s="7">
        <f t="shared" si="5"/>
        <v>12</v>
      </c>
      <c r="D29" s="7">
        <f t="shared" ref="D29" si="11">IF(B29="","",YEAR(B29))</f>
        <v>2021</v>
      </c>
      <c r="E29" s="187"/>
      <c r="L29" s="9">
        <v>5652.07</v>
      </c>
      <c r="M29" s="9">
        <f t="shared" si="8"/>
        <v>0</v>
      </c>
      <c r="P29" t="s">
        <v>14</v>
      </c>
      <c r="Q29" t="s">
        <v>147</v>
      </c>
      <c r="R29" t="s">
        <v>149</v>
      </c>
      <c r="S29" t="s">
        <v>194</v>
      </c>
      <c r="U29" t="s">
        <v>177</v>
      </c>
      <c r="V29" t="s">
        <v>79</v>
      </c>
      <c r="X29" t="s">
        <v>79</v>
      </c>
    </row>
    <row r="30" spans="1:25">
      <c r="A30" s="6">
        <v>44480</v>
      </c>
      <c r="B30" s="6">
        <v>44480</v>
      </c>
      <c r="C30" s="7">
        <f t="shared" ref="C30:C60" si="12">IF(B30="","",MONTH(B30))</f>
        <v>10</v>
      </c>
      <c r="D30" s="7">
        <f t="shared" ref="D30:D60" si="13">IF(B30="","",YEAR(B30))</f>
        <v>2021</v>
      </c>
      <c r="E30" s="187"/>
      <c r="L30" s="71">
        <v>2000</v>
      </c>
      <c r="M30" s="9">
        <f t="shared" si="8"/>
        <v>2000</v>
      </c>
      <c r="P30" t="s">
        <v>14</v>
      </c>
      <c r="Q30" t="s">
        <v>147</v>
      </c>
      <c r="R30" t="s">
        <v>148</v>
      </c>
      <c r="S30" t="s">
        <v>170</v>
      </c>
      <c r="U30" t="s">
        <v>109</v>
      </c>
      <c r="V30" t="s">
        <v>170</v>
      </c>
      <c r="W30" s="10" t="s">
        <v>35</v>
      </c>
      <c r="X30" t="s">
        <v>17</v>
      </c>
      <c r="Y30"/>
    </row>
    <row r="31" spans="1:25">
      <c r="A31" s="6">
        <v>44491</v>
      </c>
      <c r="B31" s="6">
        <v>44491</v>
      </c>
      <c r="C31" s="7">
        <f t="shared" si="12"/>
        <v>10</v>
      </c>
      <c r="D31" s="7">
        <f t="shared" si="13"/>
        <v>2021</v>
      </c>
      <c r="E31" s="187"/>
      <c r="L31" s="9">
        <v>1452.1</v>
      </c>
      <c r="M31" s="9">
        <f t="shared" si="8"/>
        <v>3452.1</v>
      </c>
      <c r="N31" s="8" t="s">
        <v>67</v>
      </c>
      <c r="O31" s="27">
        <v>1452</v>
      </c>
      <c r="P31" t="s">
        <v>14</v>
      </c>
      <c r="Q31" t="s">
        <v>147</v>
      </c>
      <c r="R31" t="s">
        <v>149</v>
      </c>
      <c r="S31" t="s">
        <v>196</v>
      </c>
      <c r="U31" t="s">
        <v>197</v>
      </c>
      <c r="V31" t="s">
        <v>227</v>
      </c>
      <c r="W31" s="10" t="s">
        <v>35</v>
      </c>
      <c r="X31" t="s">
        <v>20</v>
      </c>
      <c r="Y31"/>
    </row>
    <row r="32" spans="1:25">
      <c r="A32" s="6">
        <v>44494</v>
      </c>
      <c r="B32" s="6">
        <v>44494</v>
      </c>
      <c r="C32" s="7">
        <f t="shared" si="12"/>
        <v>10</v>
      </c>
      <c r="D32" s="7">
        <f t="shared" si="13"/>
        <v>2021</v>
      </c>
      <c r="E32" s="187"/>
      <c r="L32" s="9">
        <v>748.5</v>
      </c>
      <c r="M32" s="9">
        <f t="shared" si="8"/>
        <v>4200.6000000000004</v>
      </c>
      <c r="N32" s="8" t="s">
        <v>68</v>
      </c>
      <c r="O32" s="27">
        <v>749</v>
      </c>
      <c r="P32" t="s">
        <v>14</v>
      </c>
      <c r="Q32" t="s">
        <v>147</v>
      </c>
      <c r="R32" t="s">
        <v>149</v>
      </c>
      <c r="S32" t="s">
        <v>196</v>
      </c>
      <c r="U32" t="s">
        <v>197</v>
      </c>
      <c r="V32" t="s">
        <v>224</v>
      </c>
      <c r="W32" s="10" t="s">
        <v>35</v>
      </c>
      <c r="X32" t="s">
        <v>21</v>
      </c>
      <c r="Y32"/>
    </row>
    <row r="33" spans="1:26">
      <c r="A33" s="6">
        <v>44494</v>
      </c>
      <c r="B33" s="6">
        <v>44494</v>
      </c>
      <c r="C33" s="7">
        <f t="shared" si="12"/>
        <v>10</v>
      </c>
      <c r="D33" s="7">
        <f t="shared" si="13"/>
        <v>2021</v>
      </c>
      <c r="E33" s="187"/>
      <c r="L33" s="9">
        <v>2245.5100000000002</v>
      </c>
      <c r="M33" s="9">
        <f t="shared" si="8"/>
        <v>6446.1100000000006</v>
      </c>
      <c r="N33" s="8" t="s">
        <v>69</v>
      </c>
      <c r="O33" s="27">
        <v>2245</v>
      </c>
      <c r="P33" t="s">
        <v>14</v>
      </c>
      <c r="Q33" t="s">
        <v>147</v>
      </c>
      <c r="R33" t="s">
        <v>149</v>
      </c>
      <c r="S33" t="s">
        <v>196</v>
      </c>
      <c r="U33" t="s">
        <v>197</v>
      </c>
      <c r="V33" t="s">
        <v>230</v>
      </c>
      <c r="W33" s="10" t="s">
        <v>35</v>
      </c>
      <c r="X33" t="s">
        <v>22</v>
      </c>
      <c r="Y33"/>
    </row>
    <row r="34" spans="1:26">
      <c r="A34" s="6">
        <v>44494</v>
      </c>
      <c r="B34" s="6">
        <v>44494</v>
      </c>
      <c r="C34" s="7">
        <f t="shared" si="12"/>
        <v>10</v>
      </c>
      <c r="D34" s="7">
        <f t="shared" si="13"/>
        <v>2021</v>
      </c>
      <c r="E34" s="187"/>
      <c r="L34" s="9">
        <v>134.72999999999999</v>
      </c>
      <c r="M34" s="9">
        <f t="shared" si="8"/>
        <v>6580.84</v>
      </c>
      <c r="N34" s="8" t="s">
        <v>67</v>
      </c>
      <c r="O34" s="27">
        <v>135</v>
      </c>
      <c r="P34" t="s">
        <v>14</v>
      </c>
      <c r="Q34" t="s">
        <v>147</v>
      </c>
      <c r="R34" t="s">
        <v>149</v>
      </c>
      <c r="S34" t="s">
        <v>196</v>
      </c>
      <c r="U34" t="s">
        <v>197</v>
      </c>
      <c r="V34" t="s">
        <v>228</v>
      </c>
      <c r="W34" s="10" t="s">
        <v>35</v>
      </c>
      <c r="X34" t="s">
        <v>17</v>
      </c>
      <c r="Y34"/>
    </row>
    <row r="35" spans="1:26">
      <c r="A35" s="6">
        <v>44494</v>
      </c>
      <c r="B35" s="6">
        <v>44494</v>
      </c>
      <c r="C35" s="7">
        <f t="shared" si="12"/>
        <v>10</v>
      </c>
      <c r="D35" s="7">
        <f t="shared" si="13"/>
        <v>2021</v>
      </c>
      <c r="E35" s="187"/>
      <c r="L35" s="9">
        <v>1796.41</v>
      </c>
      <c r="M35" s="9">
        <f t="shared" si="8"/>
        <v>8377.25</v>
      </c>
      <c r="N35" s="8" t="s">
        <v>70</v>
      </c>
      <c r="O35" s="27">
        <v>1796</v>
      </c>
      <c r="P35" t="s">
        <v>14</v>
      </c>
      <c r="Q35" t="s">
        <v>147</v>
      </c>
      <c r="R35" t="s">
        <v>149</v>
      </c>
      <c r="S35" t="s">
        <v>196</v>
      </c>
      <c r="U35" t="s">
        <v>197</v>
      </c>
      <c r="V35" t="s">
        <v>229</v>
      </c>
      <c r="W35" s="10" t="s">
        <v>35</v>
      </c>
      <c r="X35" t="s">
        <v>23</v>
      </c>
      <c r="Y35"/>
    </row>
    <row r="36" spans="1:26">
      <c r="A36" s="6">
        <v>44494</v>
      </c>
      <c r="B36" s="6">
        <v>44494</v>
      </c>
      <c r="C36" s="7">
        <f t="shared" si="12"/>
        <v>10</v>
      </c>
      <c r="D36" s="7">
        <f t="shared" si="13"/>
        <v>2021</v>
      </c>
      <c r="E36" s="187"/>
      <c r="L36" s="9">
        <v>1452.1</v>
      </c>
      <c r="M36" s="9">
        <f t="shared" si="8"/>
        <v>9829.35</v>
      </c>
      <c r="N36" s="8" t="s">
        <v>71</v>
      </c>
      <c r="O36" s="27">
        <v>1452</v>
      </c>
      <c r="P36" t="s">
        <v>14</v>
      </c>
      <c r="Q36" t="s">
        <v>147</v>
      </c>
      <c r="R36" t="s">
        <v>149</v>
      </c>
      <c r="S36" t="s">
        <v>196</v>
      </c>
      <c r="U36" t="s">
        <v>197</v>
      </c>
      <c r="V36" t="s">
        <v>226</v>
      </c>
      <c r="W36" s="10" t="s">
        <v>35</v>
      </c>
      <c r="X36" t="s">
        <v>24</v>
      </c>
      <c r="Y36"/>
    </row>
    <row r="37" spans="1:26">
      <c r="A37" s="6">
        <v>44495</v>
      </c>
      <c r="B37" s="6">
        <v>44495</v>
      </c>
      <c r="C37" s="7">
        <f t="shared" si="12"/>
        <v>10</v>
      </c>
      <c r="D37" s="7">
        <f t="shared" si="13"/>
        <v>2021</v>
      </c>
      <c r="E37" s="187"/>
      <c r="L37" s="9">
        <v>658.68</v>
      </c>
      <c r="M37" s="9">
        <f t="shared" si="8"/>
        <v>10488.03</v>
      </c>
      <c r="N37" s="8" t="s">
        <v>72</v>
      </c>
      <c r="O37" s="27">
        <v>659</v>
      </c>
      <c r="P37" t="s">
        <v>14</v>
      </c>
      <c r="Q37" t="s">
        <v>147</v>
      </c>
      <c r="R37" t="s">
        <v>149</v>
      </c>
      <c r="S37" t="s">
        <v>196</v>
      </c>
      <c r="U37" t="s">
        <v>197</v>
      </c>
      <c r="V37" t="s">
        <v>218</v>
      </c>
      <c r="W37" s="10" t="s">
        <v>35</v>
      </c>
      <c r="X37" t="s">
        <v>25</v>
      </c>
      <c r="Y37"/>
    </row>
    <row r="38" spans="1:26">
      <c r="A38" s="6">
        <v>44495</v>
      </c>
      <c r="B38" s="6">
        <v>44495</v>
      </c>
      <c r="C38" s="7">
        <f t="shared" si="12"/>
        <v>10</v>
      </c>
      <c r="D38" s="7">
        <f t="shared" si="13"/>
        <v>2021</v>
      </c>
      <c r="E38" s="187"/>
      <c r="L38" s="9">
        <v>658.68</v>
      </c>
      <c r="M38" s="9">
        <f t="shared" si="8"/>
        <v>11146.710000000001</v>
      </c>
      <c r="N38" s="8" t="s">
        <v>72</v>
      </c>
      <c r="O38" s="27">
        <v>659</v>
      </c>
      <c r="P38" t="s">
        <v>14</v>
      </c>
      <c r="Q38" t="s">
        <v>147</v>
      </c>
      <c r="R38" t="s">
        <v>149</v>
      </c>
      <c r="S38" t="s">
        <v>196</v>
      </c>
      <c r="U38" t="s">
        <v>197</v>
      </c>
      <c r="V38" t="s">
        <v>219</v>
      </c>
      <c r="W38" s="10" t="s">
        <v>35</v>
      </c>
      <c r="X38" t="s">
        <v>26</v>
      </c>
      <c r="Y38"/>
    </row>
    <row r="39" spans="1:26">
      <c r="A39" s="6">
        <v>44496</v>
      </c>
      <c r="B39" s="6">
        <v>44496</v>
      </c>
      <c r="C39" s="7">
        <f t="shared" si="12"/>
        <v>10</v>
      </c>
      <c r="D39" s="7">
        <f t="shared" si="13"/>
        <v>2021</v>
      </c>
      <c r="E39" s="187"/>
      <c r="L39" s="9">
        <v>89.71</v>
      </c>
      <c r="M39" s="9">
        <f t="shared" si="8"/>
        <v>11236.42</v>
      </c>
      <c r="N39" s="8" t="s">
        <v>73</v>
      </c>
      <c r="O39" s="27">
        <v>90</v>
      </c>
      <c r="P39" t="s">
        <v>14</v>
      </c>
      <c r="Q39" t="s">
        <v>147</v>
      </c>
      <c r="R39" t="s">
        <v>149</v>
      </c>
      <c r="S39" t="s">
        <v>196</v>
      </c>
      <c r="U39" t="s">
        <v>197</v>
      </c>
      <c r="V39" t="s">
        <v>222</v>
      </c>
      <c r="W39" s="10" t="s">
        <v>35</v>
      </c>
      <c r="X39" t="s">
        <v>16</v>
      </c>
      <c r="Y39"/>
    </row>
    <row r="40" spans="1:26">
      <c r="A40" s="6">
        <v>44496</v>
      </c>
      <c r="B40" s="6">
        <v>44496</v>
      </c>
      <c r="C40" s="7">
        <f t="shared" si="12"/>
        <v>10</v>
      </c>
      <c r="D40" s="7">
        <f t="shared" si="13"/>
        <v>2021</v>
      </c>
      <c r="E40" s="187"/>
      <c r="L40" s="9">
        <v>554</v>
      </c>
      <c r="M40" s="9">
        <f t="shared" si="8"/>
        <v>11790.42</v>
      </c>
      <c r="N40" s="8" t="s">
        <v>74</v>
      </c>
      <c r="O40" s="27">
        <v>554</v>
      </c>
      <c r="P40" t="s">
        <v>14</v>
      </c>
      <c r="Q40" t="s">
        <v>147</v>
      </c>
      <c r="R40" t="s">
        <v>149</v>
      </c>
      <c r="S40" t="s">
        <v>196</v>
      </c>
      <c r="U40" t="s">
        <v>197</v>
      </c>
      <c r="V40" t="s">
        <v>222</v>
      </c>
      <c r="W40" s="10" t="s">
        <v>35</v>
      </c>
      <c r="X40" t="s">
        <v>16</v>
      </c>
      <c r="Y40"/>
    </row>
    <row r="41" spans="1:26">
      <c r="A41" s="6">
        <v>44496</v>
      </c>
      <c r="B41" s="6">
        <v>44496</v>
      </c>
      <c r="C41" s="7">
        <f t="shared" si="12"/>
        <v>10</v>
      </c>
      <c r="D41" s="7">
        <f t="shared" si="13"/>
        <v>2021</v>
      </c>
      <c r="E41" s="187"/>
      <c r="L41" s="9">
        <v>1482.04</v>
      </c>
      <c r="M41" s="9">
        <f t="shared" si="8"/>
        <v>13272.46</v>
      </c>
      <c r="N41" s="8" t="s">
        <v>74</v>
      </c>
      <c r="O41" s="27">
        <v>1482</v>
      </c>
      <c r="P41" t="s">
        <v>14</v>
      </c>
      <c r="Q41" t="s">
        <v>147</v>
      </c>
      <c r="R41" t="s">
        <v>149</v>
      </c>
      <c r="S41" t="s">
        <v>196</v>
      </c>
      <c r="U41" t="s">
        <v>197</v>
      </c>
      <c r="V41" t="s">
        <v>221</v>
      </c>
      <c r="W41" s="10" t="s">
        <v>35</v>
      </c>
      <c r="X41" t="s">
        <v>27</v>
      </c>
      <c r="Y41"/>
    </row>
    <row r="42" spans="1:26">
      <c r="A42" s="6">
        <v>44496</v>
      </c>
      <c r="B42" s="6">
        <v>44496</v>
      </c>
      <c r="C42" s="7">
        <f t="shared" si="12"/>
        <v>10</v>
      </c>
      <c r="D42" s="7">
        <f t="shared" si="13"/>
        <v>2021</v>
      </c>
      <c r="E42" s="187"/>
      <c r="L42" s="9">
        <v>1482.04</v>
      </c>
      <c r="M42" s="9">
        <f t="shared" si="8"/>
        <v>14754.5</v>
      </c>
      <c r="N42" s="8" t="s">
        <v>73</v>
      </c>
      <c r="O42" s="27">
        <v>1482</v>
      </c>
      <c r="P42" t="s">
        <v>14</v>
      </c>
      <c r="Q42" t="s">
        <v>147</v>
      </c>
      <c r="R42" t="s">
        <v>149</v>
      </c>
      <c r="S42" t="s">
        <v>196</v>
      </c>
      <c r="U42" t="s">
        <v>197</v>
      </c>
      <c r="V42" t="s">
        <v>220</v>
      </c>
      <c r="W42" s="10" t="s">
        <v>35</v>
      </c>
      <c r="X42" t="s">
        <v>28</v>
      </c>
      <c r="Y42"/>
    </row>
    <row r="43" spans="1:26">
      <c r="A43" s="6">
        <v>44497</v>
      </c>
      <c r="B43" s="6">
        <v>44497</v>
      </c>
      <c r="C43" s="7">
        <f t="shared" si="12"/>
        <v>10</v>
      </c>
      <c r="D43" s="7">
        <f t="shared" si="13"/>
        <v>2021</v>
      </c>
      <c r="E43" s="187"/>
      <c r="L43" s="9">
        <v>1482.04</v>
      </c>
      <c r="M43" s="9">
        <f t="shared" si="8"/>
        <v>16236.54</v>
      </c>
      <c r="N43" s="8" t="s">
        <v>75</v>
      </c>
      <c r="O43" s="27">
        <v>1482</v>
      </c>
      <c r="P43" t="s">
        <v>14</v>
      </c>
      <c r="Q43" t="s">
        <v>147</v>
      </c>
      <c r="R43" t="s">
        <v>149</v>
      </c>
      <c r="S43" t="s">
        <v>196</v>
      </c>
      <c r="U43" t="s">
        <v>197</v>
      </c>
      <c r="V43" t="s">
        <v>231</v>
      </c>
      <c r="W43" s="10" t="s">
        <v>35</v>
      </c>
      <c r="X43" t="s">
        <v>29</v>
      </c>
      <c r="Y43"/>
    </row>
    <row r="44" spans="1:26">
      <c r="A44" s="6">
        <v>44505</v>
      </c>
      <c r="B44" s="6">
        <v>44505</v>
      </c>
      <c r="C44" s="7">
        <f t="shared" si="12"/>
        <v>11</v>
      </c>
      <c r="D44" s="7">
        <f t="shared" si="13"/>
        <v>2021</v>
      </c>
      <c r="E44" s="187"/>
      <c r="L44" s="9">
        <v>763.47</v>
      </c>
      <c r="M44" s="9">
        <f t="shared" si="8"/>
        <v>17000.010000000002</v>
      </c>
      <c r="N44" s="8" t="s">
        <v>68</v>
      </c>
      <c r="O44" s="27">
        <v>763</v>
      </c>
      <c r="P44" t="s">
        <v>14</v>
      </c>
      <c r="Q44" t="s">
        <v>147</v>
      </c>
      <c r="R44" t="s">
        <v>149</v>
      </c>
      <c r="S44" t="s">
        <v>196</v>
      </c>
      <c r="U44" t="s">
        <v>197</v>
      </c>
      <c r="V44" t="s">
        <v>225</v>
      </c>
      <c r="W44" s="10" t="s">
        <v>35</v>
      </c>
      <c r="X44" t="s">
        <v>30</v>
      </c>
      <c r="Y44"/>
    </row>
    <row r="45" spans="1:26">
      <c r="A45" s="6">
        <v>44510</v>
      </c>
      <c r="B45" s="6">
        <v>44510</v>
      </c>
      <c r="C45" s="7">
        <f t="shared" si="12"/>
        <v>11</v>
      </c>
      <c r="D45" s="7">
        <f t="shared" si="13"/>
        <v>2021</v>
      </c>
      <c r="E45" s="187"/>
      <c r="L45" s="9">
        <v>-117</v>
      </c>
      <c r="M45" s="9">
        <f t="shared" si="8"/>
        <v>16883.010000000002</v>
      </c>
      <c r="P45" t="s">
        <v>33</v>
      </c>
      <c r="Q45" t="s">
        <v>34</v>
      </c>
      <c r="S45" t="s">
        <v>145</v>
      </c>
      <c r="U45" t="s">
        <v>32</v>
      </c>
      <c r="V45" t="s">
        <v>83</v>
      </c>
      <c r="W45" s="10" t="s">
        <v>35</v>
      </c>
      <c r="X45" t="s">
        <v>35</v>
      </c>
      <c r="Y45"/>
    </row>
    <row r="46" spans="1:26">
      <c r="A46" s="6">
        <v>44560</v>
      </c>
      <c r="B46" s="6">
        <v>44560</v>
      </c>
      <c r="C46" s="7">
        <f t="shared" si="12"/>
        <v>12</v>
      </c>
      <c r="D46" s="7">
        <f t="shared" si="13"/>
        <v>2021</v>
      </c>
      <c r="E46" s="187"/>
      <c r="L46" s="9">
        <v>-585</v>
      </c>
      <c r="M46" s="9">
        <f t="shared" si="8"/>
        <v>16298.010000000002</v>
      </c>
      <c r="P46" t="s">
        <v>33</v>
      </c>
      <c r="Q46" t="s">
        <v>34</v>
      </c>
      <c r="S46" t="s">
        <v>145</v>
      </c>
      <c r="U46" t="s">
        <v>32</v>
      </c>
      <c r="V46" t="s">
        <v>83</v>
      </c>
      <c r="W46" s="10" t="s">
        <v>35</v>
      </c>
      <c r="X46" t="s">
        <v>35</v>
      </c>
      <c r="Y46"/>
    </row>
    <row r="47" spans="1:26">
      <c r="A47" s="20">
        <v>44561</v>
      </c>
      <c r="B47" s="20">
        <v>44561</v>
      </c>
      <c r="C47" s="21">
        <f t="shared" si="12"/>
        <v>12</v>
      </c>
      <c r="D47" s="21">
        <f t="shared" si="13"/>
        <v>2021</v>
      </c>
      <c r="E47" s="190"/>
      <c r="F47" s="67"/>
      <c r="G47" s="21"/>
      <c r="H47" s="21"/>
      <c r="I47" s="25"/>
      <c r="J47" s="60"/>
      <c r="K47" s="25"/>
      <c r="L47" s="25">
        <v>-40.69</v>
      </c>
      <c r="M47" s="25">
        <f t="shared" si="8"/>
        <v>16257.320000000002</v>
      </c>
      <c r="N47" s="23"/>
      <c r="O47" s="28"/>
      <c r="P47" s="24" t="s">
        <v>33</v>
      </c>
      <c r="Q47" s="24" t="s">
        <v>34</v>
      </c>
      <c r="R47" s="24"/>
      <c r="S47" s="24" t="s">
        <v>145</v>
      </c>
      <c r="T47" s="24"/>
      <c r="U47" s="24" t="s">
        <v>32</v>
      </c>
      <c r="V47" s="24" t="s">
        <v>83</v>
      </c>
      <c r="W47" s="63" t="s">
        <v>35</v>
      </c>
      <c r="X47" s="24" t="s">
        <v>35</v>
      </c>
      <c r="Y47" s="24"/>
      <c r="Z47" s="63"/>
    </row>
    <row r="48" spans="1:26">
      <c r="A48" s="6">
        <v>44564</v>
      </c>
      <c r="B48" s="6">
        <v>44564</v>
      </c>
      <c r="C48" s="7">
        <f t="shared" si="12"/>
        <v>1</v>
      </c>
      <c r="D48" s="7">
        <f t="shared" si="13"/>
        <v>2022</v>
      </c>
      <c r="E48" s="187"/>
      <c r="L48" s="9">
        <v>-19.899999999999999</v>
      </c>
      <c r="M48" s="9">
        <f t="shared" si="8"/>
        <v>16237.420000000002</v>
      </c>
      <c r="P48" t="s">
        <v>33</v>
      </c>
      <c r="Q48" t="s">
        <v>34</v>
      </c>
      <c r="S48" t="s">
        <v>145</v>
      </c>
      <c r="U48" t="s">
        <v>32</v>
      </c>
      <c r="V48" t="s">
        <v>83</v>
      </c>
      <c r="W48" s="10" t="s">
        <v>35</v>
      </c>
      <c r="X48" t="s">
        <v>35</v>
      </c>
      <c r="Y48"/>
    </row>
    <row r="49" spans="1:25">
      <c r="A49" s="6">
        <v>44571</v>
      </c>
      <c r="B49" s="6">
        <v>44571</v>
      </c>
      <c r="C49" s="7">
        <f t="shared" si="12"/>
        <v>1</v>
      </c>
      <c r="D49" s="7">
        <f t="shared" si="13"/>
        <v>2022</v>
      </c>
      <c r="E49" s="187"/>
      <c r="L49" s="9">
        <v>-1482.04</v>
      </c>
      <c r="M49" s="9">
        <f t="shared" si="8"/>
        <v>14755.380000000001</v>
      </c>
      <c r="N49" s="8" t="s">
        <v>74</v>
      </c>
      <c r="O49" s="27">
        <v>-1482</v>
      </c>
      <c r="P49" t="s">
        <v>14</v>
      </c>
      <c r="Q49" t="s">
        <v>147</v>
      </c>
      <c r="R49" t="s">
        <v>149</v>
      </c>
      <c r="S49" t="s">
        <v>196</v>
      </c>
      <c r="U49" t="s">
        <v>197</v>
      </c>
      <c r="V49" t="s">
        <v>221</v>
      </c>
      <c r="X49" t="s">
        <v>27</v>
      </c>
      <c r="Y49"/>
    </row>
    <row r="50" spans="1:25">
      <c r="A50" s="6">
        <v>44571</v>
      </c>
      <c r="B50" s="6">
        <v>44571</v>
      </c>
      <c r="C50" s="7">
        <f t="shared" si="12"/>
        <v>1</v>
      </c>
      <c r="D50" s="7">
        <f t="shared" si="13"/>
        <v>2022</v>
      </c>
      <c r="E50" s="187"/>
      <c r="L50" s="9">
        <v>600</v>
      </c>
      <c r="M50" s="9">
        <f t="shared" si="8"/>
        <v>15355.380000000001</v>
      </c>
      <c r="N50" s="8" t="s">
        <v>73</v>
      </c>
      <c r="O50" s="27">
        <v>600</v>
      </c>
      <c r="P50" t="s">
        <v>14</v>
      </c>
      <c r="Q50" t="s">
        <v>147</v>
      </c>
      <c r="R50" t="s">
        <v>149</v>
      </c>
      <c r="S50" t="s">
        <v>196</v>
      </c>
      <c r="U50" t="s">
        <v>197</v>
      </c>
      <c r="V50" t="s">
        <v>221</v>
      </c>
      <c r="X50" t="s">
        <v>27</v>
      </c>
      <c r="Y50"/>
    </row>
    <row r="51" spans="1:25">
      <c r="A51" s="6">
        <v>44571</v>
      </c>
      <c r="B51" s="6">
        <v>44571</v>
      </c>
      <c r="C51" s="7">
        <f t="shared" si="12"/>
        <v>1</v>
      </c>
      <c r="D51" s="7">
        <f t="shared" si="13"/>
        <v>2022</v>
      </c>
      <c r="E51" s="187"/>
      <c r="L51" s="9">
        <v>882.04</v>
      </c>
      <c r="M51" s="9">
        <f t="shared" si="8"/>
        <v>16237.420000000002</v>
      </c>
      <c r="N51" s="8" t="s">
        <v>74</v>
      </c>
      <c r="O51" s="27">
        <v>882</v>
      </c>
      <c r="P51" t="s">
        <v>14</v>
      </c>
      <c r="Q51" t="s">
        <v>147</v>
      </c>
      <c r="R51" t="s">
        <v>149</v>
      </c>
      <c r="S51" t="s">
        <v>196</v>
      </c>
      <c r="U51" t="s">
        <v>197</v>
      </c>
      <c r="V51" t="s">
        <v>172</v>
      </c>
      <c r="X51" t="s">
        <v>172</v>
      </c>
      <c r="Y51"/>
    </row>
    <row r="52" spans="1:25">
      <c r="A52" s="6">
        <v>44571</v>
      </c>
      <c r="B52" s="6">
        <v>44571</v>
      </c>
      <c r="C52" s="7">
        <f t="shared" si="12"/>
        <v>1</v>
      </c>
      <c r="D52" s="7">
        <f t="shared" si="13"/>
        <v>2022</v>
      </c>
      <c r="E52" s="187"/>
      <c r="L52" s="9">
        <v>-1482.04</v>
      </c>
      <c r="M52" s="9">
        <f t="shared" si="8"/>
        <v>14755.380000000001</v>
      </c>
      <c r="N52" s="8" t="s">
        <v>73</v>
      </c>
      <c r="O52" s="27">
        <v>-1482</v>
      </c>
      <c r="P52" t="s">
        <v>14</v>
      </c>
      <c r="Q52" t="s">
        <v>147</v>
      </c>
      <c r="R52" t="s">
        <v>149</v>
      </c>
      <c r="S52" t="s">
        <v>196</v>
      </c>
      <c r="U52" t="s">
        <v>197</v>
      </c>
      <c r="V52" t="s">
        <v>220</v>
      </c>
      <c r="X52" t="s">
        <v>28</v>
      </c>
      <c r="Y52"/>
    </row>
    <row r="53" spans="1:25">
      <c r="A53" s="6">
        <v>44571</v>
      </c>
      <c r="B53" s="6">
        <v>44571</v>
      </c>
      <c r="C53" s="7">
        <f t="shared" si="12"/>
        <v>1</v>
      </c>
      <c r="D53" s="7">
        <f t="shared" si="13"/>
        <v>2022</v>
      </c>
      <c r="E53" s="187"/>
      <c r="L53" s="9">
        <v>600</v>
      </c>
      <c r="M53" s="9">
        <f t="shared" si="8"/>
        <v>15355.380000000001</v>
      </c>
      <c r="N53" s="8" t="s">
        <v>73</v>
      </c>
      <c r="O53" s="27">
        <v>600</v>
      </c>
      <c r="P53" t="s">
        <v>14</v>
      </c>
      <c r="Q53" t="s">
        <v>147</v>
      </c>
      <c r="R53" t="s">
        <v>149</v>
      </c>
      <c r="S53" t="s">
        <v>196</v>
      </c>
      <c r="U53" t="s">
        <v>197</v>
      </c>
      <c r="V53" t="s">
        <v>220</v>
      </c>
      <c r="X53" t="s">
        <v>28</v>
      </c>
      <c r="Y53"/>
    </row>
    <row r="54" spans="1:25">
      <c r="A54" s="6">
        <v>44571</v>
      </c>
      <c r="B54" s="6">
        <v>44571</v>
      </c>
      <c r="C54" s="7">
        <f t="shared" si="12"/>
        <v>1</v>
      </c>
      <c r="D54" s="7">
        <f t="shared" si="13"/>
        <v>2022</v>
      </c>
      <c r="E54" s="187"/>
      <c r="L54" s="9">
        <v>882.04</v>
      </c>
      <c r="M54" s="9">
        <f t="shared" si="8"/>
        <v>16237.420000000002</v>
      </c>
      <c r="N54" s="8" t="s">
        <v>74</v>
      </c>
      <c r="O54" s="27">
        <v>882</v>
      </c>
      <c r="P54" t="s">
        <v>14</v>
      </c>
      <c r="Q54" t="s">
        <v>147</v>
      </c>
      <c r="R54" t="s">
        <v>149</v>
      </c>
      <c r="S54" t="s">
        <v>196</v>
      </c>
      <c r="U54" t="s">
        <v>197</v>
      </c>
      <c r="V54" t="s">
        <v>172</v>
      </c>
      <c r="X54" t="s">
        <v>172</v>
      </c>
      <c r="Y54"/>
    </row>
    <row r="55" spans="1:25">
      <c r="A55" s="6">
        <v>44571</v>
      </c>
      <c r="B55" s="6">
        <v>44571</v>
      </c>
      <c r="C55" s="7">
        <f t="shared" si="12"/>
        <v>1</v>
      </c>
      <c r="D55" s="7">
        <f t="shared" si="13"/>
        <v>2022</v>
      </c>
      <c r="E55" s="187"/>
      <c r="L55" s="9">
        <v>-554</v>
      </c>
      <c r="M55" s="9">
        <f t="shared" si="8"/>
        <v>15683.420000000002</v>
      </c>
      <c r="N55" s="8" t="s">
        <v>74</v>
      </c>
      <c r="O55" s="27">
        <v>-554</v>
      </c>
      <c r="P55" t="s">
        <v>14</v>
      </c>
      <c r="Q55" t="s">
        <v>147</v>
      </c>
      <c r="R55" t="s">
        <v>149</v>
      </c>
      <c r="S55" t="s">
        <v>196</v>
      </c>
      <c r="U55" t="s">
        <v>197</v>
      </c>
      <c r="V55" t="s">
        <v>222</v>
      </c>
      <c r="X55" t="s">
        <v>16</v>
      </c>
      <c r="Y55"/>
    </row>
    <row r="56" spans="1:25">
      <c r="A56" s="6">
        <v>44571</v>
      </c>
      <c r="B56" s="6">
        <v>44571</v>
      </c>
      <c r="C56" s="7">
        <f t="shared" si="12"/>
        <v>1</v>
      </c>
      <c r="D56" s="7">
        <f t="shared" si="13"/>
        <v>2022</v>
      </c>
      <c r="E56" s="187"/>
      <c r="L56" s="9">
        <v>271.95999999999998</v>
      </c>
      <c r="M56" s="9">
        <f t="shared" si="8"/>
        <v>15955.380000000001</v>
      </c>
      <c r="N56" s="8" t="s">
        <v>74</v>
      </c>
      <c r="O56" s="27">
        <v>272</v>
      </c>
      <c r="P56" t="s">
        <v>14</v>
      </c>
      <c r="Q56" t="s">
        <v>147</v>
      </c>
      <c r="R56" t="s">
        <v>149</v>
      </c>
      <c r="S56" t="s">
        <v>196</v>
      </c>
      <c r="U56" t="s">
        <v>197</v>
      </c>
      <c r="V56" t="s">
        <v>172</v>
      </c>
      <c r="X56" t="s">
        <v>172</v>
      </c>
      <c r="Y56"/>
    </row>
    <row r="57" spans="1:25">
      <c r="A57" s="6">
        <v>44571</v>
      </c>
      <c r="B57" s="6">
        <v>44571</v>
      </c>
      <c r="C57" s="7">
        <f t="shared" si="12"/>
        <v>1</v>
      </c>
      <c r="D57" s="7">
        <f t="shared" si="13"/>
        <v>2022</v>
      </c>
      <c r="E57" s="187"/>
      <c r="L57" s="9">
        <v>282.04000000000002</v>
      </c>
      <c r="M57" s="9">
        <f t="shared" si="8"/>
        <v>16237.420000000002</v>
      </c>
      <c r="N57" s="8" t="s">
        <v>73</v>
      </c>
      <c r="O57" s="27">
        <v>282</v>
      </c>
      <c r="P57" t="s">
        <v>14</v>
      </c>
      <c r="Q57" t="s">
        <v>147</v>
      </c>
      <c r="R57" t="s">
        <v>149</v>
      </c>
      <c r="S57" t="s">
        <v>196</v>
      </c>
      <c r="U57" t="s">
        <v>197</v>
      </c>
      <c r="V57" t="s">
        <v>222</v>
      </c>
      <c r="X57" t="s">
        <v>16</v>
      </c>
      <c r="Y57"/>
    </row>
    <row r="58" spans="1:25">
      <c r="A58" s="6">
        <v>44572</v>
      </c>
      <c r="B58" s="6">
        <v>44572</v>
      </c>
      <c r="C58" s="7">
        <f t="shared" si="12"/>
        <v>1</v>
      </c>
      <c r="D58" s="7">
        <f t="shared" si="13"/>
        <v>2022</v>
      </c>
      <c r="E58" s="187"/>
      <c r="L58" s="9">
        <v>-2036.04</v>
      </c>
      <c r="M58" s="9">
        <f t="shared" si="8"/>
        <v>14201.380000000001</v>
      </c>
      <c r="N58" s="8" t="s">
        <v>74</v>
      </c>
      <c r="O58" s="27">
        <v>-2036</v>
      </c>
      <c r="P58" t="s">
        <v>14</v>
      </c>
      <c r="Q58" t="s">
        <v>147</v>
      </c>
      <c r="R58" t="s">
        <v>149</v>
      </c>
      <c r="S58" t="s">
        <v>196</v>
      </c>
      <c r="U58" t="s">
        <v>197</v>
      </c>
      <c r="V58" t="s">
        <v>172</v>
      </c>
      <c r="X58" t="s">
        <v>172</v>
      </c>
      <c r="Y58"/>
    </row>
    <row r="59" spans="1:25">
      <c r="A59" s="6">
        <v>44572</v>
      </c>
      <c r="B59" s="6">
        <v>44572</v>
      </c>
      <c r="C59" s="7">
        <f t="shared" si="12"/>
        <v>1</v>
      </c>
      <c r="D59" s="7">
        <f t="shared" si="13"/>
        <v>2022</v>
      </c>
      <c r="E59" s="187"/>
      <c r="L59" s="9">
        <v>2036.04</v>
      </c>
      <c r="M59" s="9">
        <f t="shared" si="8"/>
        <v>16237.420000000002</v>
      </c>
      <c r="N59" s="8" t="s">
        <v>74</v>
      </c>
      <c r="O59" s="27">
        <v>2036</v>
      </c>
      <c r="P59" t="s">
        <v>14</v>
      </c>
      <c r="Q59" t="s">
        <v>147</v>
      </c>
      <c r="R59" t="s">
        <v>149</v>
      </c>
      <c r="S59" t="s">
        <v>196</v>
      </c>
      <c r="U59" t="s">
        <v>197</v>
      </c>
      <c r="V59" t="s">
        <v>223</v>
      </c>
      <c r="X59" t="s">
        <v>77</v>
      </c>
      <c r="Y59"/>
    </row>
    <row r="60" spans="1:25">
      <c r="A60" s="6">
        <v>44574</v>
      </c>
      <c r="B60" s="6">
        <v>44574</v>
      </c>
      <c r="C60" s="7">
        <f t="shared" si="12"/>
        <v>1</v>
      </c>
      <c r="D60" s="7">
        <f t="shared" si="13"/>
        <v>2022</v>
      </c>
      <c r="E60" s="187"/>
      <c r="L60" s="9">
        <v>1496.16</v>
      </c>
      <c r="M60" s="9">
        <f t="shared" si="8"/>
        <v>17733.580000000002</v>
      </c>
      <c r="N60" s="8" t="s">
        <v>69</v>
      </c>
      <c r="P60" t="s">
        <v>14</v>
      </c>
      <c r="Q60" t="s">
        <v>147</v>
      </c>
      <c r="R60" t="s">
        <v>148</v>
      </c>
      <c r="S60" t="s">
        <v>13</v>
      </c>
      <c r="U60" t="s">
        <v>109</v>
      </c>
      <c r="V60" t="s">
        <v>168</v>
      </c>
      <c r="W60" s="10" t="s">
        <v>35</v>
      </c>
      <c r="X60" t="s">
        <v>22</v>
      </c>
      <c r="Y60"/>
    </row>
    <row r="61" spans="1:25">
      <c r="A61" s="6">
        <v>44574</v>
      </c>
      <c r="B61" s="6">
        <v>44574</v>
      </c>
      <c r="C61" s="7">
        <f t="shared" ref="C61:C73" si="14">IF(B61="","",MONTH(B61))</f>
        <v>1</v>
      </c>
      <c r="D61" s="7">
        <f t="shared" ref="D61:D73" si="15">IF(B61="","",YEAR(B61))</f>
        <v>2022</v>
      </c>
      <c r="E61" s="187"/>
      <c r="L61" s="9">
        <v>987.96</v>
      </c>
      <c r="M61" s="9">
        <f t="shared" si="8"/>
        <v>18721.54</v>
      </c>
      <c r="N61" s="8" t="s">
        <v>75</v>
      </c>
      <c r="P61" t="s">
        <v>14</v>
      </c>
      <c r="Q61" t="s">
        <v>147</v>
      </c>
      <c r="R61" t="s">
        <v>148</v>
      </c>
      <c r="S61" t="s">
        <v>13</v>
      </c>
      <c r="U61" t="s">
        <v>109</v>
      </c>
      <c r="V61" t="s">
        <v>169</v>
      </c>
      <c r="W61" s="10" t="s">
        <v>35</v>
      </c>
      <c r="X61" t="s">
        <v>29</v>
      </c>
      <c r="Y61"/>
    </row>
    <row r="62" spans="1:25">
      <c r="A62" s="6">
        <v>44574</v>
      </c>
      <c r="B62" s="6">
        <v>44574</v>
      </c>
      <c r="C62" s="7">
        <f t="shared" si="14"/>
        <v>1</v>
      </c>
      <c r="D62" s="7">
        <f t="shared" si="15"/>
        <v>2022</v>
      </c>
      <c r="E62" s="187"/>
      <c r="L62" s="9">
        <v>967.9</v>
      </c>
      <c r="M62" s="9">
        <f t="shared" si="8"/>
        <v>19689.440000000002</v>
      </c>
      <c r="N62" s="8" t="s">
        <v>67</v>
      </c>
      <c r="P62" t="s">
        <v>14</v>
      </c>
      <c r="Q62" t="s">
        <v>147</v>
      </c>
      <c r="R62" t="s">
        <v>148</v>
      </c>
      <c r="S62" t="s">
        <v>13</v>
      </c>
      <c r="U62" t="s">
        <v>109</v>
      </c>
      <c r="V62" t="s">
        <v>166</v>
      </c>
      <c r="W62" s="10" t="s">
        <v>35</v>
      </c>
      <c r="X62" t="s">
        <v>20</v>
      </c>
      <c r="Y62"/>
    </row>
    <row r="63" spans="1:25">
      <c r="A63" s="6">
        <v>44574</v>
      </c>
      <c r="B63" s="6">
        <v>44574</v>
      </c>
      <c r="C63" s="7">
        <f t="shared" si="14"/>
        <v>1</v>
      </c>
      <c r="D63" s="7">
        <f t="shared" si="15"/>
        <v>2022</v>
      </c>
      <c r="E63" s="187"/>
      <c r="L63" s="9">
        <v>90.27</v>
      </c>
      <c r="M63" s="9">
        <f t="shared" si="8"/>
        <v>19779.710000000003</v>
      </c>
      <c r="N63" s="8" t="s">
        <v>67</v>
      </c>
      <c r="P63" t="s">
        <v>14</v>
      </c>
      <c r="Q63" t="s">
        <v>147</v>
      </c>
      <c r="R63" t="s">
        <v>148</v>
      </c>
      <c r="S63" t="s">
        <v>13</v>
      </c>
      <c r="U63" t="s">
        <v>109</v>
      </c>
      <c r="V63" t="s">
        <v>165</v>
      </c>
      <c r="W63" s="10" t="s">
        <v>35</v>
      </c>
      <c r="X63" t="s">
        <v>17</v>
      </c>
      <c r="Y63"/>
    </row>
    <row r="64" spans="1:25">
      <c r="A64" s="6">
        <v>44575</v>
      </c>
      <c r="B64" s="6">
        <v>44575</v>
      </c>
      <c r="C64" s="7">
        <f t="shared" si="14"/>
        <v>1</v>
      </c>
      <c r="D64" s="7">
        <f t="shared" si="15"/>
        <v>2022</v>
      </c>
      <c r="E64" s="187"/>
      <c r="L64" s="9">
        <v>967.9</v>
      </c>
      <c r="M64" s="9">
        <f t="shared" si="8"/>
        <v>20747.610000000004</v>
      </c>
      <c r="N64" s="8" t="s">
        <v>71</v>
      </c>
      <c r="P64" t="s">
        <v>14</v>
      </c>
      <c r="Q64" t="s">
        <v>147</v>
      </c>
      <c r="R64" t="s">
        <v>148</v>
      </c>
      <c r="S64" t="s">
        <v>13</v>
      </c>
      <c r="U64" t="s">
        <v>109</v>
      </c>
      <c r="V64" t="s">
        <v>164</v>
      </c>
      <c r="W64" s="10" t="s">
        <v>35</v>
      </c>
      <c r="X64" t="s">
        <v>24</v>
      </c>
      <c r="Y64"/>
    </row>
    <row r="65" spans="1:26">
      <c r="A65" s="6">
        <v>44578</v>
      </c>
      <c r="B65" s="6">
        <v>44578</v>
      </c>
      <c r="C65" s="7">
        <f t="shared" si="14"/>
        <v>1</v>
      </c>
      <c r="D65" s="7">
        <f t="shared" si="15"/>
        <v>2022</v>
      </c>
      <c r="E65" s="187"/>
      <c r="L65" s="9">
        <v>439.65</v>
      </c>
      <c r="M65" s="9">
        <f t="shared" si="8"/>
        <v>21187.260000000006</v>
      </c>
      <c r="N65" s="8" t="s">
        <v>72</v>
      </c>
      <c r="P65" t="s">
        <v>14</v>
      </c>
      <c r="Q65" t="s">
        <v>147</v>
      </c>
      <c r="R65" t="s">
        <v>148</v>
      </c>
      <c r="S65" t="s">
        <v>13</v>
      </c>
      <c r="U65" t="s">
        <v>109</v>
      </c>
      <c r="V65" t="s">
        <v>157</v>
      </c>
      <c r="W65" s="10" t="s">
        <v>35</v>
      </c>
      <c r="X65" t="s">
        <v>25</v>
      </c>
      <c r="Y65"/>
    </row>
    <row r="66" spans="1:26">
      <c r="A66" s="6">
        <v>44578</v>
      </c>
      <c r="B66" s="6">
        <v>44578</v>
      </c>
      <c r="C66" s="7">
        <f t="shared" si="14"/>
        <v>1</v>
      </c>
      <c r="D66" s="7">
        <f t="shared" si="15"/>
        <v>2022</v>
      </c>
      <c r="E66" s="187"/>
      <c r="L66" s="9">
        <v>439.65</v>
      </c>
      <c r="M66" s="9">
        <f t="shared" si="8"/>
        <v>21626.910000000007</v>
      </c>
      <c r="N66" s="8" t="s">
        <v>72</v>
      </c>
      <c r="P66" t="s">
        <v>14</v>
      </c>
      <c r="Q66" t="s">
        <v>147</v>
      </c>
      <c r="R66" t="s">
        <v>148</v>
      </c>
      <c r="S66" t="s">
        <v>13</v>
      </c>
      <c r="U66" t="s">
        <v>109</v>
      </c>
      <c r="V66" t="s">
        <v>158</v>
      </c>
      <c r="W66" s="10" t="s">
        <v>35</v>
      </c>
      <c r="X66" t="s">
        <v>26</v>
      </c>
      <c r="Y66"/>
    </row>
    <row r="67" spans="1:26">
      <c r="A67" s="6">
        <v>44589</v>
      </c>
      <c r="B67" s="6">
        <v>44589</v>
      </c>
      <c r="C67" s="7">
        <f t="shared" si="14"/>
        <v>1</v>
      </c>
      <c r="D67" s="7">
        <f t="shared" si="15"/>
        <v>2022</v>
      </c>
      <c r="E67" s="187"/>
      <c r="L67" s="71">
        <v>-6397</v>
      </c>
      <c r="M67" s="9">
        <f t="shared" si="8"/>
        <v>15229.910000000007</v>
      </c>
      <c r="P67" t="s">
        <v>14</v>
      </c>
      <c r="Q67" t="s">
        <v>147</v>
      </c>
      <c r="R67" t="s">
        <v>148</v>
      </c>
      <c r="S67" t="s">
        <v>170</v>
      </c>
      <c r="U67" t="s">
        <v>109</v>
      </c>
      <c r="V67" t="s">
        <v>170</v>
      </c>
      <c r="W67" s="10" t="s">
        <v>35</v>
      </c>
      <c r="X67" t="s">
        <v>17</v>
      </c>
      <c r="Y67"/>
    </row>
    <row r="68" spans="1:26">
      <c r="A68" s="6">
        <v>44589</v>
      </c>
      <c r="B68" s="6">
        <v>44589</v>
      </c>
      <c r="C68" s="7">
        <f t="shared" si="14"/>
        <v>1</v>
      </c>
      <c r="D68" s="7">
        <f t="shared" si="15"/>
        <v>2022</v>
      </c>
      <c r="E68" s="187"/>
      <c r="L68" s="71">
        <v>-2000</v>
      </c>
      <c r="M68" s="9">
        <f t="shared" si="8"/>
        <v>13229.910000000007</v>
      </c>
      <c r="P68" t="s">
        <v>14</v>
      </c>
      <c r="Q68" t="s">
        <v>147</v>
      </c>
      <c r="R68" t="s">
        <v>148</v>
      </c>
      <c r="S68" t="s">
        <v>170</v>
      </c>
      <c r="U68" t="s">
        <v>109</v>
      </c>
      <c r="V68" t="s">
        <v>170</v>
      </c>
      <c r="W68" s="10" t="s">
        <v>35</v>
      </c>
      <c r="X68" t="s">
        <v>17</v>
      </c>
      <c r="Y68"/>
    </row>
    <row r="69" spans="1:26">
      <c r="A69" s="6">
        <v>44589</v>
      </c>
      <c r="B69" s="6">
        <v>44589</v>
      </c>
      <c r="C69" s="7">
        <f t="shared" si="14"/>
        <v>1</v>
      </c>
      <c r="D69" s="7">
        <f t="shared" si="15"/>
        <v>2022</v>
      </c>
      <c r="E69" s="187"/>
      <c r="H69" s="7" t="s">
        <v>121</v>
      </c>
      <c r="I69" s="9">
        <v>-2500</v>
      </c>
      <c r="J69" s="59">
        <v>0</v>
      </c>
      <c r="K69" s="9">
        <f>I69*J69</f>
        <v>0</v>
      </c>
      <c r="L69" s="9">
        <f>I69+K69</f>
        <v>-2500</v>
      </c>
      <c r="M69" s="9">
        <f t="shared" si="8"/>
        <v>10729.910000000007</v>
      </c>
      <c r="P69" t="s">
        <v>33</v>
      </c>
      <c r="Q69" t="s">
        <v>34</v>
      </c>
      <c r="S69" t="s">
        <v>146</v>
      </c>
      <c r="U69" t="s">
        <v>110</v>
      </c>
      <c r="V69" t="s">
        <v>82</v>
      </c>
      <c r="W69" s="10" t="s">
        <v>35</v>
      </c>
      <c r="X69" t="s">
        <v>79</v>
      </c>
      <c r="Y69"/>
      <c r="Z69" s="10" t="s">
        <v>104</v>
      </c>
    </row>
    <row r="70" spans="1:26">
      <c r="A70" s="6">
        <v>44592</v>
      </c>
      <c r="B70" s="6">
        <v>44592</v>
      </c>
      <c r="C70" s="7">
        <f t="shared" si="14"/>
        <v>1</v>
      </c>
      <c r="D70" s="7">
        <f t="shared" si="15"/>
        <v>2022</v>
      </c>
      <c r="E70" s="187"/>
      <c r="L70" s="9">
        <v>1196.92</v>
      </c>
      <c r="M70" s="9">
        <f t="shared" si="8"/>
        <v>11926.830000000007</v>
      </c>
      <c r="N70" s="8" t="s">
        <v>70</v>
      </c>
      <c r="P70" t="s">
        <v>14</v>
      </c>
      <c r="Q70" t="s">
        <v>147</v>
      </c>
      <c r="R70" t="s">
        <v>148</v>
      </c>
      <c r="S70" t="s">
        <v>13</v>
      </c>
      <c r="U70" t="s">
        <v>109</v>
      </c>
      <c r="V70" t="s">
        <v>167</v>
      </c>
      <c r="W70" s="10" t="s">
        <v>35</v>
      </c>
      <c r="X70" t="s">
        <v>23</v>
      </c>
      <c r="Y70"/>
    </row>
    <row r="71" spans="1:26">
      <c r="A71" s="6">
        <v>44593</v>
      </c>
      <c r="B71" s="6">
        <v>44593</v>
      </c>
      <c r="C71" s="7">
        <f t="shared" si="14"/>
        <v>2</v>
      </c>
      <c r="D71" s="7">
        <f t="shared" si="15"/>
        <v>2022</v>
      </c>
      <c r="E71" s="187"/>
      <c r="L71" s="9">
        <v>-20.5</v>
      </c>
      <c r="M71" s="9">
        <f t="shared" si="8"/>
        <v>11906.330000000007</v>
      </c>
      <c r="P71" t="s">
        <v>33</v>
      </c>
      <c r="Q71" t="s">
        <v>34</v>
      </c>
      <c r="S71" t="s">
        <v>145</v>
      </c>
      <c r="U71" t="s">
        <v>32</v>
      </c>
      <c r="V71" t="s">
        <v>83</v>
      </c>
      <c r="W71" s="10" t="s">
        <v>35</v>
      </c>
      <c r="X71" t="s">
        <v>35</v>
      </c>
      <c r="Y71"/>
    </row>
    <row r="72" spans="1:26">
      <c r="A72" s="6">
        <v>44593</v>
      </c>
      <c r="B72" s="6">
        <v>44593</v>
      </c>
      <c r="C72" s="7">
        <f t="shared" si="14"/>
        <v>2</v>
      </c>
      <c r="D72" s="7">
        <f t="shared" si="15"/>
        <v>2022</v>
      </c>
      <c r="E72" s="187"/>
      <c r="L72" s="9">
        <v>1048.25</v>
      </c>
      <c r="M72" s="9">
        <f t="shared" ref="M72:M135" si="16">M71+L72</f>
        <v>12954.580000000007</v>
      </c>
      <c r="N72" s="8" t="s">
        <v>73</v>
      </c>
      <c r="P72" t="s">
        <v>14</v>
      </c>
      <c r="Q72" t="s">
        <v>147</v>
      </c>
      <c r="R72" t="s">
        <v>148</v>
      </c>
      <c r="S72" t="s">
        <v>13</v>
      </c>
      <c r="U72" t="s">
        <v>109</v>
      </c>
      <c r="V72" t="s">
        <v>159</v>
      </c>
      <c r="W72" s="10" t="s">
        <v>35</v>
      </c>
      <c r="X72" t="s">
        <v>16</v>
      </c>
      <c r="Y72"/>
    </row>
    <row r="73" spans="1:26">
      <c r="A73" s="6">
        <v>44599</v>
      </c>
      <c r="B73" s="6">
        <v>44599</v>
      </c>
      <c r="C73" s="7">
        <f t="shared" si="14"/>
        <v>2</v>
      </c>
      <c r="D73" s="7">
        <f t="shared" si="15"/>
        <v>2022</v>
      </c>
      <c r="E73" s="187"/>
      <c r="L73" s="9">
        <v>1357.29</v>
      </c>
      <c r="M73" s="9">
        <f t="shared" si="16"/>
        <v>14311.870000000006</v>
      </c>
      <c r="N73" s="8" t="s">
        <v>74</v>
      </c>
      <c r="P73" t="s">
        <v>14</v>
      </c>
      <c r="Q73" t="s">
        <v>147</v>
      </c>
      <c r="R73" t="s">
        <v>148</v>
      </c>
      <c r="S73" t="s">
        <v>13</v>
      </c>
      <c r="U73" t="s">
        <v>109</v>
      </c>
      <c r="V73" t="s">
        <v>171</v>
      </c>
      <c r="W73" s="10" t="s">
        <v>35</v>
      </c>
      <c r="X73" t="s">
        <v>77</v>
      </c>
      <c r="Y73"/>
    </row>
    <row r="74" spans="1:26">
      <c r="A74" s="6">
        <v>44621</v>
      </c>
      <c r="B74" s="6">
        <v>44621</v>
      </c>
      <c r="C74" s="7">
        <f t="shared" ref="C74:C101" si="17">IF(B74="","",MONTH(B74))</f>
        <v>3</v>
      </c>
      <c r="D74" s="7">
        <f t="shared" ref="D74:D101" si="18">IF(B74="","",YEAR(B74))</f>
        <v>2022</v>
      </c>
      <c r="E74" s="187"/>
      <c r="L74" s="9">
        <v>-19.899999999999999</v>
      </c>
      <c r="M74" s="9">
        <f t="shared" si="16"/>
        <v>14291.970000000007</v>
      </c>
      <c r="P74" t="s">
        <v>33</v>
      </c>
      <c r="Q74" t="s">
        <v>34</v>
      </c>
      <c r="S74" t="s">
        <v>145</v>
      </c>
      <c r="U74" t="s">
        <v>32</v>
      </c>
      <c r="V74" t="s">
        <v>83</v>
      </c>
      <c r="W74" s="10" t="s">
        <v>35</v>
      </c>
      <c r="X74" t="s">
        <v>35</v>
      </c>
      <c r="Y74"/>
    </row>
    <row r="75" spans="1:26">
      <c r="A75" s="6">
        <v>44621</v>
      </c>
      <c r="B75" s="6">
        <v>44621</v>
      </c>
      <c r="C75" s="7">
        <f t="shared" si="17"/>
        <v>3</v>
      </c>
      <c r="D75" s="7">
        <f t="shared" si="18"/>
        <v>2022</v>
      </c>
      <c r="E75" s="187"/>
      <c r="H75" s="7" t="s">
        <v>121</v>
      </c>
      <c r="I75" s="9">
        <v>-58.4</v>
      </c>
      <c r="J75" s="59">
        <v>0.17</v>
      </c>
      <c r="K75" s="9">
        <f>I75*J75</f>
        <v>-9.9280000000000008</v>
      </c>
      <c r="L75" s="9">
        <f>I75+K75</f>
        <v>-68.328000000000003</v>
      </c>
      <c r="M75" s="9">
        <f t="shared" si="16"/>
        <v>14223.642000000007</v>
      </c>
      <c r="P75" t="s">
        <v>33</v>
      </c>
      <c r="Q75" t="s">
        <v>34</v>
      </c>
      <c r="S75" t="s">
        <v>142</v>
      </c>
      <c r="U75" t="s">
        <v>106</v>
      </c>
      <c r="V75" t="s">
        <v>82</v>
      </c>
      <c r="W75" s="10" t="s">
        <v>35</v>
      </c>
      <c r="X75" t="s">
        <v>79</v>
      </c>
      <c r="Y75"/>
      <c r="Z75" s="10" t="s">
        <v>104</v>
      </c>
    </row>
    <row r="76" spans="1:26">
      <c r="A76" s="6">
        <v>44621</v>
      </c>
      <c r="B76" s="6">
        <v>44621</v>
      </c>
      <c r="C76" s="7">
        <f t="shared" si="17"/>
        <v>3</v>
      </c>
      <c r="D76" s="7">
        <f t="shared" si="18"/>
        <v>2022</v>
      </c>
      <c r="E76" s="187"/>
      <c r="H76" s="7" t="s">
        <v>121</v>
      </c>
      <c r="I76" s="9">
        <v>-56</v>
      </c>
      <c r="J76" s="59">
        <v>0</v>
      </c>
      <c r="K76" s="9">
        <f>I76*J76</f>
        <v>0</v>
      </c>
      <c r="L76" s="9">
        <f>I76+K76</f>
        <v>-56</v>
      </c>
      <c r="M76" s="9">
        <f t="shared" si="16"/>
        <v>14167.642000000007</v>
      </c>
      <c r="P76" t="s">
        <v>33</v>
      </c>
      <c r="Q76" t="s">
        <v>34</v>
      </c>
      <c r="S76" t="s">
        <v>142</v>
      </c>
      <c r="U76" t="s">
        <v>106</v>
      </c>
      <c r="V76" t="s">
        <v>82</v>
      </c>
      <c r="W76" s="10" t="s">
        <v>35</v>
      </c>
      <c r="X76" t="s">
        <v>79</v>
      </c>
      <c r="Y76"/>
      <c r="Z76" s="10" t="s">
        <v>104</v>
      </c>
    </row>
    <row r="77" spans="1:26">
      <c r="A77" s="6">
        <v>44627</v>
      </c>
      <c r="B77" s="6">
        <v>44627</v>
      </c>
      <c r="C77" s="7">
        <f t="shared" si="17"/>
        <v>3</v>
      </c>
      <c r="D77" s="7">
        <f t="shared" si="18"/>
        <v>2022</v>
      </c>
      <c r="E77" s="187"/>
      <c r="L77" s="71">
        <v>-2938.37</v>
      </c>
      <c r="M77" s="9">
        <f t="shared" si="16"/>
        <v>11229.272000000008</v>
      </c>
      <c r="P77" t="s">
        <v>14</v>
      </c>
      <c r="Q77" t="s">
        <v>147</v>
      </c>
      <c r="R77" t="s">
        <v>148</v>
      </c>
      <c r="S77" t="s">
        <v>170</v>
      </c>
      <c r="U77" t="s">
        <v>109</v>
      </c>
      <c r="V77" t="s">
        <v>170</v>
      </c>
      <c r="W77" s="10" t="s">
        <v>35</v>
      </c>
      <c r="X77" t="s">
        <v>17</v>
      </c>
      <c r="Y77"/>
    </row>
    <row r="78" spans="1:26">
      <c r="A78" s="6">
        <v>44627</v>
      </c>
      <c r="B78" s="6">
        <v>44627</v>
      </c>
      <c r="C78" s="7">
        <f t="shared" si="17"/>
        <v>3</v>
      </c>
      <c r="D78" s="7">
        <f t="shared" si="18"/>
        <v>2022</v>
      </c>
      <c r="E78" s="187"/>
      <c r="L78" s="71">
        <v>-319.86</v>
      </c>
      <c r="M78" s="9">
        <f t="shared" si="16"/>
        <v>10909.412000000008</v>
      </c>
      <c r="P78" t="s">
        <v>14</v>
      </c>
      <c r="Q78" t="s">
        <v>147</v>
      </c>
      <c r="R78" t="s">
        <v>148</v>
      </c>
      <c r="S78" t="s">
        <v>170</v>
      </c>
      <c r="U78" t="s">
        <v>109</v>
      </c>
      <c r="V78" t="s">
        <v>170</v>
      </c>
      <c r="W78" s="10" t="s">
        <v>35</v>
      </c>
      <c r="X78" t="s">
        <v>17</v>
      </c>
      <c r="Y78"/>
    </row>
    <row r="79" spans="1:26">
      <c r="A79" s="6">
        <v>44631</v>
      </c>
      <c r="B79" s="6">
        <v>44631</v>
      </c>
      <c r="C79" s="7">
        <f t="shared" si="17"/>
        <v>3</v>
      </c>
      <c r="D79" s="7">
        <f t="shared" si="18"/>
        <v>2022</v>
      </c>
      <c r="E79" s="187"/>
      <c r="L79" s="71">
        <v>-3506.66</v>
      </c>
      <c r="M79" s="9">
        <f t="shared" si="16"/>
        <v>7402.7520000000077</v>
      </c>
      <c r="P79" t="s">
        <v>14</v>
      </c>
      <c r="Q79" t="s">
        <v>147</v>
      </c>
      <c r="R79" t="s">
        <v>148</v>
      </c>
      <c r="S79" t="s">
        <v>170</v>
      </c>
      <c r="U79" t="s">
        <v>109</v>
      </c>
      <c r="V79" t="s">
        <v>170</v>
      </c>
      <c r="W79" s="10" t="s">
        <v>35</v>
      </c>
      <c r="X79" t="s">
        <v>17</v>
      </c>
      <c r="Y79"/>
    </row>
    <row r="80" spans="1:26">
      <c r="A80" s="6">
        <v>44631</v>
      </c>
      <c r="B80" s="6">
        <v>44631</v>
      </c>
      <c r="C80" s="7">
        <f t="shared" si="17"/>
        <v>3</v>
      </c>
      <c r="D80" s="7">
        <f t="shared" si="18"/>
        <v>2022</v>
      </c>
      <c r="E80" s="187"/>
      <c r="L80" s="9">
        <v>499.83</v>
      </c>
      <c r="M80" s="9">
        <f t="shared" si="16"/>
        <v>7902.5820000000076</v>
      </c>
      <c r="N80" s="8" t="s">
        <v>68</v>
      </c>
      <c r="P80" t="s">
        <v>14</v>
      </c>
      <c r="Q80" t="s">
        <v>147</v>
      </c>
      <c r="R80" t="s">
        <v>148</v>
      </c>
      <c r="S80" t="s">
        <v>13</v>
      </c>
      <c r="U80" t="s">
        <v>109</v>
      </c>
      <c r="V80" t="s">
        <v>162</v>
      </c>
      <c r="W80" s="10" t="s">
        <v>35</v>
      </c>
      <c r="X80" t="s">
        <v>21</v>
      </c>
      <c r="Y80"/>
    </row>
    <row r="81" spans="1:26">
      <c r="A81" s="6">
        <v>44641</v>
      </c>
      <c r="B81" s="6">
        <v>44641</v>
      </c>
      <c r="C81" s="7">
        <f t="shared" si="17"/>
        <v>3</v>
      </c>
      <c r="D81" s="7">
        <f t="shared" si="18"/>
        <v>2022</v>
      </c>
      <c r="E81" s="187"/>
      <c r="H81" s="7" t="s">
        <v>121</v>
      </c>
      <c r="I81" s="9">
        <v>2500</v>
      </c>
      <c r="J81" s="59">
        <v>0</v>
      </c>
      <c r="K81" s="9">
        <f>I81*J81</f>
        <v>0</v>
      </c>
      <c r="L81" s="9">
        <f>I81+K81</f>
        <v>2500</v>
      </c>
      <c r="M81" s="9">
        <f t="shared" si="16"/>
        <v>10402.582000000008</v>
      </c>
      <c r="P81" t="s">
        <v>33</v>
      </c>
      <c r="Q81" t="s">
        <v>34</v>
      </c>
      <c r="S81" t="s">
        <v>146</v>
      </c>
      <c r="U81" t="s">
        <v>110</v>
      </c>
      <c r="V81" t="s">
        <v>82</v>
      </c>
      <c r="W81" s="10" t="s">
        <v>35</v>
      </c>
      <c r="X81" t="s">
        <v>79</v>
      </c>
      <c r="Y81"/>
      <c r="Z81" s="10" t="s">
        <v>104</v>
      </c>
    </row>
    <row r="82" spans="1:26">
      <c r="A82" s="6">
        <v>44641</v>
      </c>
      <c r="B82" s="6">
        <v>44641</v>
      </c>
      <c r="C82" s="7">
        <f t="shared" si="17"/>
        <v>3</v>
      </c>
      <c r="D82" s="7">
        <f t="shared" si="18"/>
        <v>2022</v>
      </c>
      <c r="E82" s="187"/>
      <c r="H82" s="7" t="s">
        <v>121</v>
      </c>
      <c r="I82" s="9">
        <v>-2314.0100000000002</v>
      </c>
      <c r="J82" s="59">
        <v>0.17</v>
      </c>
      <c r="K82" s="9">
        <f>I82*J82</f>
        <v>-393.38170000000008</v>
      </c>
      <c r="L82" s="9">
        <f>I82+K82</f>
        <v>-2707.3917000000001</v>
      </c>
      <c r="M82" s="9">
        <f t="shared" si="16"/>
        <v>7695.1903000000075</v>
      </c>
      <c r="P82" t="s">
        <v>33</v>
      </c>
      <c r="Q82" t="s">
        <v>34</v>
      </c>
      <c r="S82" t="s">
        <v>146</v>
      </c>
      <c r="U82" t="s">
        <v>106</v>
      </c>
      <c r="V82" t="s">
        <v>82</v>
      </c>
      <c r="W82" s="10" t="s">
        <v>35</v>
      </c>
      <c r="X82" t="s">
        <v>79</v>
      </c>
      <c r="Y82"/>
      <c r="Z82" s="10" t="s">
        <v>104</v>
      </c>
    </row>
    <row r="83" spans="1:26">
      <c r="A83" s="6">
        <v>44641</v>
      </c>
      <c r="B83" s="6">
        <v>44641</v>
      </c>
      <c r="C83" s="7">
        <f t="shared" si="17"/>
        <v>3</v>
      </c>
      <c r="D83" s="7">
        <f t="shared" si="18"/>
        <v>2022</v>
      </c>
      <c r="E83" s="187"/>
      <c r="H83" s="7" t="s">
        <v>121</v>
      </c>
      <c r="I83" s="9">
        <v>-447</v>
      </c>
      <c r="J83" s="59">
        <v>0</v>
      </c>
      <c r="K83" s="9">
        <f>I83*J83</f>
        <v>0</v>
      </c>
      <c r="L83" s="9">
        <f>I83+K83</f>
        <v>-447</v>
      </c>
      <c r="M83" s="9">
        <f t="shared" si="16"/>
        <v>7248.1903000000075</v>
      </c>
      <c r="P83" t="s">
        <v>33</v>
      </c>
      <c r="Q83" t="s">
        <v>34</v>
      </c>
      <c r="S83" t="s">
        <v>146</v>
      </c>
      <c r="U83" t="s">
        <v>106</v>
      </c>
      <c r="V83" t="s">
        <v>82</v>
      </c>
      <c r="W83" s="10" t="s">
        <v>35</v>
      </c>
      <c r="X83" t="s">
        <v>79</v>
      </c>
      <c r="Y83"/>
      <c r="Z83" s="10" t="s">
        <v>104</v>
      </c>
    </row>
    <row r="84" spans="1:26">
      <c r="A84" s="6">
        <v>44641</v>
      </c>
      <c r="B84" s="6">
        <v>44641</v>
      </c>
      <c r="C84" s="7">
        <f t="shared" si="17"/>
        <v>3</v>
      </c>
      <c r="D84" s="7">
        <f t="shared" si="18"/>
        <v>2022</v>
      </c>
      <c r="E84" s="187"/>
      <c r="L84" s="9">
        <v>-178.33</v>
      </c>
      <c r="M84" s="9">
        <f t="shared" si="16"/>
        <v>7069.8603000000076</v>
      </c>
      <c r="P84" t="s">
        <v>33</v>
      </c>
      <c r="Q84" t="s">
        <v>34</v>
      </c>
      <c r="R84" t="s">
        <v>205</v>
      </c>
      <c r="S84" t="s">
        <v>144</v>
      </c>
      <c r="T84" t="s">
        <v>205</v>
      </c>
      <c r="U84" t="s">
        <v>151</v>
      </c>
      <c r="V84" t="s">
        <v>102</v>
      </c>
      <c r="W84" s="10" t="s">
        <v>35</v>
      </c>
      <c r="X84" t="s">
        <v>35</v>
      </c>
      <c r="Y84" s="10">
        <v>2022</v>
      </c>
    </row>
    <row r="85" spans="1:26">
      <c r="A85" s="6">
        <v>44644</v>
      </c>
      <c r="B85" s="6">
        <v>44644</v>
      </c>
      <c r="C85" s="7">
        <f t="shared" si="17"/>
        <v>3</v>
      </c>
      <c r="D85" s="7">
        <f t="shared" si="18"/>
        <v>2022</v>
      </c>
      <c r="E85" s="187"/>
      <c r="L85" s="9">
        <v>508.2</v>
      </c>
      <c r="M85" s="9">
        <f t="shared" si="16"/>
        <v>7578.0603000000074</v>
      </c>
      <c r="N85" s="8" t="s">
        <v>68</v>
      </c>
      <c r="P85" t="s">
        <v>14</v>
      </c>
      <c r="Q85" t="s">
        <v>147</v>
      </c>
      <c r="R85" t="s">
        <v>148</v>
      </c>
      <c r="S85" t="s">
        <v>13</v>
      </c>
      <c r="U85" t="s">
        <v>109</v>
      </c>
      <c r="V85" t="s">
        <v>163</v>
      </c>
      <c r="W85" s="10" t="s">
        <v>35</v>
      </c>
      <c r="X85" t="s">
        <v>30</v>
      </c>
      <c r="Y85"/>
    </row>
    <row r="86" spans="1:26">
      <c r="A86" s="6">
        <v>44645</v>
      </c>
      <c r="B86" s="6">
        <v>44645</v>
      </c>
      <c r="C86" s="7">
        <f t="shared" si="17"/>
        <v>3</v>
      </c>
      <c r="D86" s="7">
        <f t="shared" si="18"/>
        <v>2022</v>
      </c>
      <c r="E86" s="187"/>
      <c r="L86" s="71">
        <v>-3997.87</v>
      </c>
      <c r="M86" s="9">
        <f t="shared" si="16"/>
        <v>3580.1903000000075</v>
      </c>
      <c r="P86" t="s">
        <v>14</v>
      </c>
      <c r="Q86" t="s">
        <v>147</v>
      </c>
      <c r="R86" t="s">
        <v>148</v>
      </c>
      <c r="S86" t="s">
        <v>170</v>
      </c>
      <c r="U86" t="s">
        <v>109</v>
      </c>
      <c r="V86" t="s">
        <v>170</v>
      </c>
      <c r="W86" s="10" t="s">
        <v>35</v>
      </c>
      <c r="X86" t="s">
        <v>17</v>
      </c>
      <c r="Y86"/>
    </row>
    <row r="87" spans="1:26">
      <c r="A87" s="6">
        <v>44651</v>
      </c>
      <c r="B87" s="6">
        <v>44651</v>
      </c>
      <c r="C87" s="7">
        <f t="shared" si="17"/>
        <v>3</v>
      </c>
      <c r="D87" s="7">
        <f t="shared" si="18"/>
        <v>2022</v>
      </c>
      <c r="E87" s="187"/>
      <c r="L87" s="9">
        <v>-69.150000000000006</v>
      </c>
      <c r="M87" s="9">
        <f t="shared" si="16"/>
        <v>3511.0403000000074</v>
      </c>
      <c r="P87" t="s">
        <v>33</v>
      </c>
      <c r="Q87" t="s">
        <v>34</v>
      </c>
      <c r="S87" t="s">
        <v>145</v>
      </c>
      <c r="U87" t="s">
        <v>32</v>
      </c>
      <c r="V87" t="s">
        <v>83</v>
      </c>
      <c r="W87" s="10" t="s">
        <v>35</v>
      </c>
      <c r="X87" t="s">
        <v>35</v>
      </c>
      <c r="Y87"/>
    </row>
    <row r="88" spans="1:26">
      <c r="A88" s="6">
        <v>44651</v>
      </c>
      <c r="B88" s="6">
        <v>44651</v>
      </c>
      <c r="C88" s="7">
        <f t="shared" si="17"/>
        <v>3</v>
      </c>
      <c r="D88" s="7">
        <f t="shared" si="18"/>
        <v>2022</v>
      </c>
      <c r="E88" s="187"/>
      <c r="L88" s="9">
        <v>-1.4</v>
      </c>
      <c r="M88" s="9">
        <f t="shared" si="16"/>
        <v>3509.6403000000073</v>
      </c>
      <c r="P88" t="s">
        <v>33</v>
      </c>
      <c r="Q88" t="s">
        <v>34</v>
      </c>
      <c r="S88" t="s">
        <v>145</v>
      </c>
      <c r="U88" t="s">
        <v>32</v>
      </c>
      <c r="V88" t="s">
        <v>83</v>
      </c>
      <c r="W88" s="10" t="s">
        <v>35</v>
      </c>
      <c r="X88" t="s">
        <v>35</v>
      </c>
      <c r="Y88"/>
    </row>
    <row r="89" spans="1:26">
      <c r="A89" s="6">
        <v>44652</v>
      </c>
      <c r="B89" s="6">
        <v>44652</v>
      </c>
      <c r="C89" s="7">
        <f t="shared" si="17"/>
        <v>4</v>
      </c>
      <c r="D89" s="7">
        <f t="shared" si="18"/>
        <v>2022</v>
      </c>
      <c r="E89" s="187"/>
      <c r="L89" s="9">
        <v>-19.899999999999999</v>
      </c>
      <c r="M89" s="9">
        <f t="shared" si="16"/>
        <v>3489.7403000000072</v>
      </c>
      <c r="P89" t="s">
        <v>33</v>
      </c>
      <c r="Q89" t="s">
        <v>34</v>
      </c>
      <c r="S89" t="s">
        <v>145</v>
      </c>
      <c r="U89" t="s">
        <v>32</v>
      </c>
      <c r="V89" t="s">
        <v>83</v>
      </c>
      <c r="W89" s="10" t="s">
        <v>35</v>
      </c>
      <c r="X89" t="s">
        <v>35</v>
      </c>
      <c r="Y89"/>
    </row>
    <row r="90" spans="1:26">
      <c r="A90" s="6">
        <v>44670</v>
      </c>
      <c r="B90" s="6">
        <v>44670</v>
      </c>
      <c r="C90" s="7">
        <f t="shared" si="17"/>
        <v>4</v>
      </c>
      <c r="D90" s="7">
        <f t="shared" si="18"/>
        <v>2022</v>
      </c>
      <c r="E90" s="187"/>
      <c r="H90" s="7" t="s">
        <v>121</v>
      </c>
      <c r="I90" s="9">
        <v>-75</v>
      </c>
      <c r="J90" s="59">
        <v>0.17</v>
      </c>
      <c r="K90" s="9">
        <f>I90*J90</f>
        <v>-12.750000000000002</v>
      </c>
      <c r="L90" s="9">
        <f>I90+K90</f>
        <v>-87.75</v>
      </c>
      <c r="M90" s="9">
        <f t="shared" si="16"/>
        <v>3401.9903000000072</v>
      </c>
      <c r="P90" t="s">
        <v>33</v>
      </c>
      <c r="Q90" t="s">
        <v>34</v>
      </c>
      <c r="S90" t="s">
        <v>139</v>
      </c>
      <c r="U90" t="s">
        <v>112</v>
      </c>
      <c r="V90" t="s">
        <v>113</v>
      </c>
      <c r="W90" s="10" t="s">
        <v>35</v>
      </c>
      <c r="X90" t="s">
        <v>79</v>
      </c>
      <c r="Y90"/>
      <c r="Z90" s="10" t="s">
        <v>104</v>
      </c>
    </row>
    <row r="91" spans="1:26">
      <c r="A91" s="64">
        <v>44672</v>
      </c>
      <c r="B91" s="64">
        <v>44672</v>
      </c>
      <c r="C91" s="7">
        <f t="shared" si="17"/>
        <v>4</v>
      </c>
      <c r="D91" s="7">
        <f t="shared" si="18"/>
        <v>2022</v>
      </c>
      <c r="E91" s="187"/>
      <c r="F91" s="68"/>
      <c r="G91" s="69"/>
      <c r="H91" s="69"/>
      <c r="L91" s="9">
        <v>-2465.1</v>
      </c>
      <c r="M91" s="9">
        <f t="shared" si="16"/>
        <v>936.8903000000073</v>
      </c>
      <c r="P91" t="s">
        <v>33</v>
      </c>
      <c r="Q91" t="s">
        <v>34</v>
      </c>
      <c r="R91" t="s">
        <v>205</v>
      </c>
      <c r="S91" t="s">
        <v>144</v>
      </c>
      <c r="T91" t="s">
        <v>205</v>
      </c>
      <c r="U91" t="s">
        <v>114</v>
      </c>
      <c r="V91" t="s">
        <v>102</v>
      </c>
      <c r="W91" s="10" t="s">
        <v>35</v>
      </c>
      <c r="X91" t="s">
        <v>35</v>
      </c>
      <c r="Y91" s="10">
        <v>2022</v>
      </c>
    </row>
    <row r="92" spans="1:26">
      <c r="A92" s="64">
        <v>44672</v>
      </c>
      <c r="B92" s="64">
        <v>44672</v>
      </c>
      <c r="C92" s="7">
        <f t="shared" si="17"/>
        <v>4</v>
      </c>
      <c r="D92" s="7">
        <f t="shared" si="18"/>
        <v>2022</v>
      </c>
      <c r="E92" s="187"/>
      <c r="F92" s="68"/>
      <c r="G92" s="69"/>
      <c r="H92" s="69"/>
      <c r="L92" s="9">
        <v>2465.1</v>
      </c>
      <c r="M92" s="9">
        <f t="shared" si="16"/>
        <v>3401.9903000000072</v>
      </c>
      <c r="P92" t="s">
        <v>33</v>
      </c>
      <c r="Q92" t="s">
        <v>34</v>
      </c>
      <c r="R92" t="s">
        <v>205</v>
      </c>
      <c r="S92" t="s">
        <v>144</v>
      </c>
      <c r="T92" t="s">
        <v>205</v>
      </c>
      <c r="U92" t="s">
        <v>114</v>
      </c>
      <c r="V92" t="s">
        <v>102</v>
      </c>
      <c r="W92" s="10" t="s">
        <v>35</v>
      </c>
      <c r="X92" t="s">
        <v>35</v>
      </c>
      <c r="Y92" s="10">
        <v>2022</v>
      </c>
    </row>
    <row r="93" spans="1:26">
      <c r="A93" s="6">
        <v>44683</v>
      </c>
      <c r="B93" s="6">
        <v>44683</v>
      </c>
      <c r="C93" s="7">
        <f t="shared" si="17"/>
        <v>5</v>
      </c>
      <c r="D93" s="7">
        <f t="shared" si="18"/>
        <v>2022</v>
      </c>
      <c r="E93" s="187"/>
      <c r="L93" s="9">
        <v>-20.3</v>
      </c>
      <c r="M93" s="9">
        <f t="shared" si="16"/>
        <v>3381.690300000007</v>
      </c>
      <c r="P93" t="s">
        <v>33</v>
      </c>
      <c r="Q93" t="s">
        <v>34</v>
      </c>
      <c r="S93" t="s">
        <v>145</v>
      </c>
      <c r="U93" t="s">
        <v>32</v>
      </c>
      <c r="V93" t="s">
        <v>83</v>
      </c>
      <c r="W93" s="10" t="s">
        <v>35</v>
      </c>
      <c r="X93" t="s">
        <v>35</v>
      </c>
      <c r="Y93"/>
    </row>
    <row r="94" spans="1:26">
      <c r="A94" s="6">
        <v>44699</v>
      </c>
      <c r="B94" s="6">
        <v>44699</v>
      </c>
      <c r="C94" s="7">
        <f t="shared" si="17"/>
        <v>5</v>
      </c>
      <c r="D94" s="7">
        <f t="shared" si="18"/>
        <v>2022</v>
      </c>
      <c r="E94" s="187"/>
      <c r="H94" s="7" t="s">
        <v>121</v>
      </c>
      <c r="I94" s="9">
        <v>-21.37</v>
      </c>
      <c r="J94" s="59">
        <v>0.17</v>
      </c>
      <c r="K94" s="9">
        <f>I94*J94</f>
        <v>-3.6329000000000002</v>
      </c>
      <c r="L94" s="9">
        <f>I94+K94</f>
        <v>-25.0029</v>
      </c>
      <c r="M94" s="9">
        <f t="shared" si="16"/>
        <v>3356.6874000000071</v>
      </c>
      <c r="P94" t="s">
        <v>33</v>
      </c>
      <c r="Q94" t="s">
        <v>34</v>
      </c>
      <c r="S94" t="s">
        <v>137</v>
      </c>
      <c r="U94" t="s">
        <v>106</v>
      </c>
      <c r="V94" t="s">
        <v>82</v>
      </c>
      <c r="W94" s="10" t="s">
        <v>35</v>
      </c>
      <c r="X94" t="s">
        <v>79</v>
      </c>
      <c r="Y94"/>
      <c r="Z94" s="10" t="s">
        <v>104</v>
      </c>
    </row>
    <row r="95" spans="1:26">
      <c r="A95" s="6">
        <v>44701</v>
      </c>
      <c r="B95" s="6">
        <v>44701</v>
      </c>
      <c r="C95" s="7">
        <f t="shared" si="17"/>
        <v>5</v>
      </c>
      <c r="D95" s="7">
        <f t="shared" si="18"/>
        <v>2022</v>
      </c>
      <c r="E95" s="187"/>
      <c r="L95" s="9">
        <v>-20</v>
      </c>
      <c r="M95" s="9">
        <f t="shared" si="16"/>
        <v>3336.6874000000071</v>
      </c>
      <c r="P95" t="s">
        <v>33</v>
      </c>
      <c r="Q95" t="s">
        <v>34</v>
      </c>
      <c r="S95" t="s">
        <v>137</v>
      </c>
      <c r="U95" t="s">
        <v>116</v>
      </c>
      <c r="V95" t="s">
        <v>115</v>
      </c>
      <c r="W95" s="10" t="s">
        <v>35</v>
      </c>
      <c r="X95" t="s">
        <v>79</v>
      </c>
      <c r="Y95"/>
    </row>
    <row r="96" spans="1:26">
      <c r="A96" s="6">
        <v>44708</v>
      </c>
      <c r="B96" s="6">
        <v>44708</v>
      </c>
      <c r="C96" s="7">
        <f t="shared" si="17"/>
        <v>5</v>
      </c>
      <c r="D96" s="7">
        <f t="shared" si="18"/>
        <v>2022</v>
      </c>
      <c r="E96" s="187"/>
      <c r="H96" s="7" t="s">
        <v>121</v>
      </c>
      <c r="I96" s="9">
        <v>-72</v>
      </c>
      <c r="J96" s="59">
        <v>0</v>
      </c>
      <c r="K96" s="9">
        <f>I96*J96</f>
        <v>0</v>
      </c>
      <c r="L96" s="9">
        <f>I96+K96</f>
        <v>-72</v>
      </c>
      <c r="M96" s="9">
        <f t="shared" si="16"/>
        <v>3264.6874000000071</v>
      </c>
      <c r="P96" t="s">
        <v>33</v>
      </c>
      <c r="Q96" t="s">
        <v>34</v>
      </c>
      <c r="S96" t="s">
        <v>137</v>
      </c>
      <c r="U96" t="s">
        <v>106</v>
      </c>
      <c r="V96" t="s">
        <v>82</v>
      </c>
      <c r="W96" s="10" t="s">
        <v>35</v>
      </c>
      <c r="X96" t="s">
        <v>79</v>
      </c>
      <c r="Y96"/>
      <c r="Z96" s="10" t="s">
        <v>104</v>
      </c>
    </row>
    <row r="97" spans="1:26">
      <c r="A97" s="6">
        <v>44708</v>
      </c>
      <c r="B97" s="6">
        <v>44708</v>
      </c>
      <c r="C97" s="7">
        <f t="shared" si="17"/>
        <v>5</v>
      </c>
      <c r="D97" s="7">
        <f t="shared" si="18"/>
        <v>2022</v>
      </c>
      <c r="E97" s="187"/>
      <c r="H97" s="7" t="s">
        <v>121</v>
      </c>
      <c r="I97" s="9">
        <v>-70</v>
      </c>
      <c r="J97" s="59">
        <v>0.17</v>
      </c>
      <c r="K97" s="9">
        <f>I97*J97</f>
        <v>-11.9</v>
      </c>
      <c r="L97" s="9">
        <f>I97+K97</f>
        <v>-81.900000000000006</v>
      </c>
      <c r="M97" s="9">
        <f t="shared" si="16"/>
        <v>3182.787400000007</v>
      </c>
      <c r="P97" t="s">
        <v>33</v>
      </c>
      <c r="Q97" t="s">
        <v>34</v>
      </c>
      <c r="S97" t="s">
        <v>137</v>
      </c>
      <c r="U97" t="s">
        <v>106</v>
      </c>
      <c r="V97" t="s">
        <v>82</v>
      </c>
      <c r="W97" s="10" t="s">
        <v>35</v>
      </c>
      <c r="X97" t="s">
        <v>79</v>
      </c>
      <c r="Y97"/>
      <c r="Z97" s="10" t="s">
        <v>104</v>
      </c>
    </row>
    <row r="98" spans="1:26">
      <c r="A98" s="6">
        <v>44713</v>
      </c>
      <c r="B98" s="6">
        <v>44713</v>
      </c>
      <c r="C98" s="7">
        <f t="shared" si="17"/>
        <v>6</v>
      </c>
      <c r="D98" s="7">
        <f t="shared" si="18"/>
        <v>2022</v>
      </c>
      <c r="E98" s="187"/>
      <c r="L98" s="9">
        <v>-20.5</v>
      </c>
      <c r="M98" s="9">
        <f t="shared" si="16"/>
        <v>3162.287400000007</v>
      </c>
      <c r="P98" t="s">
        <v>33</v>
      </c>
      <c r="Q98" t="s">
        <v>34</v>
      </c>
      <c r="S98" t="s">
        <v>145</v>
      </c>
      <c r="U98" t="s">
        <v>32</v>
      </c>
      <c r="V98" t="s">
        <v>83</v>
      </c>
      <c r="W98" s="10" t="s">
        <v>35</v>
      </c>
      <c r="X98" t="s">
        <v>35</v>
      </c>
      <c r="Y98"/>
    </row>
    <row r="99" spans="1:26">
      <c r="A99" s="6">
        <v>44726</v>
      </c>
      <c r="B99" s="6">
        <v>44726</v>
      </c>
      <c r="C99" s="7">
        <f t="shared" si="17"/>
        <v>6</v>
      </c>
      <c r="D99" s="7">
        <f t="shared" si="18"/>
        <v>2022</v>
      </c>
      <c r="E99" s="187"/>
      <c r="L99" s="167">
        <v>0</v>
      </c>
      <c r="M99" s="9">
        <f t="shared" si="16"/>
        <v>3162.287400000007</v>
      </c>
      <c r="P99" t="s">
        <v>14</v>
      </c>
      <c r="Q99" t="s">
        <v>147</v>
      </c>
      <c r="R99" t="s">
        <v>148</v>
      </c>
      <c r="S99" t="s">
        <v>170</v>
      </c>
      <c r="U99" t="s">
        <v>109</v>
      </c>
      <c r="V99" t="s">
        <v>170</v>
      </c>
      <c r="X99" t="s">
        <v>17</v>
      </c>
      <c r="Y99"/>
    </row>
    <row r="100" spans="1:26" s="145" customFormat="1">
      <c r="A100" s="133">
        <v>44726</v>
      </c>
      <c r="B100" s="133">
        <v>44726</v>
      </c>
      <c r="C100" s="135">
        <f t="shared" si="17"/>
        <v>6</v>
      </c>
      <c r="D100" s="135">
        <f t="shared" si="18"/>
        <v>2022</v>
      </c>
      <c r="E100" s="191"/>
      <c r="F100" s="173">
        <f>'[1]OLD Advanced Expenses'!$J$99</f>
        <v>-3081.75</v>
      </c>
      <c r="G100" s="174">
        <v>1.0762</v>
      </c>
      <c r="H100" s="135" t="s">
        <v>120</v>
      </c>
      <c r="I100" s="71">
        <f>F100/G100</f>
        <v>-2863.5476677197544</v>
      </c>
      <c r="J100" s="137">
        <v>0</v>
      </c>
      <c r="K100" s="71">
        <f>I100*J100</f>
        <v>0</v>
      </c>
      <c r="L100" s="71">
        <v>0</v>
      </c>
      <c r="M100" s="71">
        <f t="shared" si="16"/>
        <v>3162.287400000007</v>
      </c>
      <c r="N100" s="175"/>
      <c r="O100" s="176"/>
      <c r="P100" s="145" t="s">
        <v>33</v>
      </c>
      <c r="Q100" s="145" t="s">
        <v>34</v>
      </c>
      <c r="S100" s="145" t="s">
        <v>146</v>
      </c>
      <c r="U100" s="145" t="s">
        <v>118</v>
      </c>
      <c r="V100" s="145" t="s">
        <v>119</v>
      </c>
      <c r="W100" s="177" t="s">
        <v>35</v>
      </c>
      <c r="X100" s="145" t="s">
        <v>79</v>
      </c>
      <c r="Z100" s="177" t="s">
        <v>104</v>
      </c>
    </row>
    <row r="101" spans="1:26">
      <c r="A101" s="6">
        <v>44729</v>
      </c>
      <c r="B101" s="6">
        <v>44729</v>
      </c>
      <c r="C101" s="7">
        <f t="shared" si="17"/>
        <v>6</v>
      </c>
      <c r="D101" s="7">
        <f t="shared" si="18"/>
        <v>2022</v>
      </c>
      <c r="E101" s="187"/>
      <c r="H101" s="7" t="s">
        <v>121</v>
      </c>
      <c r="I101" s="9">
        <v>-75</v>
      </c>
      <c r="J101" s="59">
        <v>0</v>
      </c>
      <c r="K101" s="9">
        <f>I101*J101</f>
        <v>0</v>
      </c>
      <c r="L101" s="9">
        <f>I101+K101</f>
        <v>-75</v>
      </c>
      <c r="M101" s="9">
        <f t="shared" si="16"/>
        <v>3087.287400000007</v>
      </c>
      <c r="P101" t="s">
        <v>33</v>
      </c>
      <c r="Q101" t="s">
        <v>34</v>
      </c>
      <c r="S101" t="s">
        <v>140</v>
      </c>
      <c r="U101" t="s">
        <v>122</v>
      </c>
      <c r="V101" t="s">
        <v>123</v>
      </c>
      <c r="W101" s="10" t="s">
        <v>35</v>
      </c>
      <c r="X101" t="s">
        <v>79</v>
      </c>
      <c r="Y101"/>
      <c r="Z101" s="10" t="s">
        <v>104</v>
      </c>
    </row>
    <row r="102" spans="1:26">
      <c r="A102" s="6">
        <v>44742</v>
      </c>
      <c r="B102" s="6">
        <v>44742</v>
      </c>
      <c r="C102" s="7">
        <f t="shared" ref="C102:C168" si="19">IF(B102="","",MONTH(B102))</f>
        <v>6</v>
      </c>
      <c r="D102" s="7">
        <f t="shared" ref="D102:D168" si="20">IF(B102="","",YEAR(B102))</f>
        <v>2022</v>
      </c>
      <c r="E102" s="187"/>
      <c r="L102" s="9">
        <v>-47.35</v>
      </c>
      <c r="M102" s="9">
        <f t="shared" si="16"/>
        <v>3039.9374000000071</v>
      </c>
      <c r="P102" t="s">
        <v>33</v>
      </c>
      <c r="Q102" t="s">
        <v>34</v>
      </c>
      <c r="S102" t="s">
        <v>145</v>
      </c>
      <c r="U102" t="s">
        <v>32</v>
      </c>
      <c r="V102" t="s">
        <v>83</v>
      </c>
      <c r="W102" s="10" t="s">
        <v>35</v>
      </c>
      <c r="X102" t="s">
        <v>35</v>
      </c>
      <c r="Y102"/>
    </row>
    <row r="103" spans="1:26">
      <c r="A103" s="6">
        <v>44742</v>
      </c>
      <c r="B103" s="6">
        <v>44742</v>
      </c>
      <c r="C103" s="7">
        <f t="shared" si="19"/>
        <v>6</v>
      </c>
      <c r="D103" s="7">
        <f t="shared" si="20"/>
        <v>2022</v>
      </c>
      <c r="E103" s="187"/>
      <c r="L103" s="9">
        <v>-0.2</v>
      </c>
      <c r="M103" s="9">
        <f t="shared" si="16"/>
        <v>3039.7374000000073</v>
      </c>
      <c r="P103" t="s">
        <v>33</v>
      </c>
      <c r="Q103" t="s">
        <v>34</v>
      </c>
      <c r="S103" t="s">
        <v>145</v>
      </c>
      <c r="U103" t="s">
        <v>32</v>
      </c>
      <c r="V103" t="s">
        <v>83</v>
      </c>
      <c r="W103" s="10" t="s">
        <v>35</v>
      </c>
      <c r="X103" t="s">
        <v>35</v>
      </c>
      <c r="Y103"/>
    </row>
    <row r="104" spans="1:26">
      <c r="A104" s="6">
        <v>44743</v>
      </c>
      <c r="B104" s="6">
        <v>44743</v>
      </c>
      <c r="C104" s="7">
        <f t="shared" si="19"/>
        <v>7</v>
      </c>
      <c r="D104" s="7">
        <f t="shared" si="20"/>
        <v>2022</v>
      </c>
      <c r="E104" s="187"/>
      <c r="L104" s="9">
        <v>-19.899999999999999</v>
      </c>
      <c r="M104" s="9">
        <f t="shared" si="16"/>
        <v>3019.8374000000072</v>
      </c>
      <c r="P104" t="s">
        <v>33</v>
      </c>
      <c r="Q104" t="s">
        <v>34</v>
      </c>
      <c r="S104" t="s">
        <v>145</v>
      </c>
      <c r="U104" t="s">
        <v>32</v>
      </c>
      <c r="V104" t="s">
        <v>83</v>
      </c>
      <c r="W104" s="10" t="s">
        <v>35</v>
      </c>
      <c r="X104" t="s">
        <v>35</v>
      </c>
      <c r="Y104"/>
    </row>
    <row r="105" spans="1:26">
      <c r="A105" s="6">
        <v>44756</v>
      </c>
      <c r="B105" s="6">
        <v>44756</v>
      </c>
      <c r="C105" s="7">
        <f t="shared" si="19"/>
        <v>7</v>
      </c>
      <c r="D105" s="7">
        <f t="shared" si="20"/>
        <v>2022</v>
      </c>
      <c r="E105" s="187"/>
      <c r="L105" s="9">
        <v>-178.33</v>
      </c>
      <c r="M105" s="9">
        <f t="shared" si="16"/>
        <v>2841.5074000000072</v>
      </c>
      <c r="P105" t="s">
        <v>33</v>
      </c>
      <c r="Q105" t="s">
        <v>34</v>
      </c>
      <c r="R105" t="s">
        <v>205</v>
      </c>
      <c r="S105" t="s">
        <v>144</v>
      </c>
      <c r="T105" t="s">
        <v>205</v>
      </c>
      <c r="U105" t="s">
        <v>151</v>
      </c>
      <c r="V105" t="s">
        <v>102</v>
      </c>
      <c r="W105" s="10" t="s">
        <v>35</v>
      </c>
      <c r="X105" t="s">
        <v>35</v>
      </c>
      <c r="Y105" s="10">
        <v>2022</v>
      </c>
    </row>
    <row r="106" spans="1:26">
      <c r="A106" s="6">
        <v>44756</v>
      </c>
      <c r="B106" s="6">
        <v>44756</v>
      </c>
      <c r="C106" s="7">
        <f t="shared" si="19"/>
        <v>7</v>
      </c>
      <c r="D106" s="7">
        <f t="shared" si="20"/>
        <v>2022</v>
      </c>
      <c r="E106" s="187"/>
      <c r="L106" s="9">
        <v>-350</v>
      </c>
      <c r="M106" s="9">
        <f t="shared" si="16"/>
        <v>2491.5074000000072</v>
      </c>
      <c r="P106" t="s">
        <v>33</v>
      </c>
      <c r="Q106" t="s">
        <v>34</v>
      </c>
      <c r="S106" t="s">
        <v>143</v>
      </c>
      <c r="U106" t="s">
        <v>127</v>
      </c>
      <c r="V106" t="s">
        <v>126</v>
      </c>
      <c r="W106" s="10" t="s">
        <v>35</v>
      </c>
      <c r="X106" t="s">
        <v>35</v>
      </c>
      <c r="Y106"/>
    </row>
    <row r="107" spans="1:26">
      <c r="A107" s="6">
        <v>44774</v>
      </c>
      <c r="B107" s="6">
        <v>44774</v>
      </c>
      <c r="C107" s="7">
        <f t="shared" si="19"/>
        <v>8</v>
      </c>
      <c r="D107" s="7">
        <f t="shared" si="20"/>
        <v>2022</v>
      </c>
      <c r="E107" s="187"/>
      <c r="L107" s="9">
        <v>-20.3</v>
      </c>
      <c r="M107" s="9">
        <f t="shared" si="16"/>
        <v>2471.2074000000071</v>
      </c>
      <c r="P107" t="s">
        <v>33</v>
      </c>
      <c r="Q107" t="s">
        <v>34</v>
      </c>
      <c r="S107" t="s">
        <v>145</v>
      </c>
      <c r="U107" t="s">
        <v>32</v>
      </c>
      <c r="V107" t="s">
        <v>83</v>
      </c>
      <c r="W107" s="10" t="s">
        <v>35</v>
      </c>
      <c r="X107" t="s">
        <v>35</v>
      </c>
      <c r="Y107"/>
    </row>
    <row r="108" spans="1:26">
      <c r="A108" s="6">
        <v>44805</v>
      </c>
      <c r="B108" s="6">
        <v>44805</v>
      </c>
      <c r="C108" s="7">
        <f t="shared" si="19"/>
        <v>9</v>
      </c>
      <c r="D108" s="7">
        <f t="shared" si="20"/>
        <v>2022</v>
      </c>
      <c r="E108" s="187"/>
      <c r="L108" s="9">
        <v>-19.899999999999999</v>
      </c>
      <c r="M108" s="9">
        <f t="shared" si="16"/>
        <v>2451.307400000007</v>
      </c>
      <c r="P108" t="s">
        <v>33</v>
      </c>
      <c r="Q108" t="s">
        <v>34</v>
      </c>
      <c r="S108" t="s">
        <v>145</v>
      </c>
      <c r="U108" t="s">
        <v>32</v>
      </c>
      <c r="V108" t="s">
        <v>83</v>
      </c>
      <c r="W108" s="10" t="s">
        <v>35</v>
      </c>
      <c r="X108" t="s">
        <v>35</v>
      </c>
      <c r="Y108"/>
    </row>
    <row r="109" spans="1:26">
      <c r="A109" s="6">
        <v>44834</v>
      </c>
      <c r="B109" s="6">
        <v>44834</v>
      </c>
      <c r="C109" s="7">
        <f t="shared" si="19"/>
        <v>9</v>
      </c>
      <c r="D109" s="7">
        <f t="shared" si="20"/>
        <v>2022</v>
      </c>
      <c r="E109" s="187"/>
      <c r="L109" s="9">
        <v>-42.47</v>
      </c>
      <c r="M109" s="9">
        <f t="shared" si="16"/>
        <v>2408.8374000000072</v>
      </c>
      <c r="P109" t="s">
        <v>33</v>
      </c>
      <c r="Q109" t="s">
        <v>34</v>
      </c>
      <c r="S109" t="s">
        <v>145</v>
      </c>
      <c r="U109" t="s">
        <v>32</v>
      </c>
      <c r="V109" t="s">
        <v>83</v>
      </c>
      <c r="W109" s="10" t="s">
        <v>35</v>
      </c>
      <c r="X109" t="s">
        <v>35</v>
      </c>
      <c r="Y109"/>
    </row>
    <row r="110" spans="1:26">
      <c r="A110" s="6">
        <v>44835</v>
      </c>
      <c r="B110" s="6">
        <v>44835</v>
      </c>
      <c r="C110" s="7">
        <f t="shared" si="19"/>
        <v>10</v>
      </c>
      <c r="D110" s="7">
        <f t="shared" si="20"/>
        <v>2022</v>
      </c>
      <c r="E110" s="187"/>
      <c r="L110" s="9">
        <v>-19.899999999999999</v>
      </c>
      <c r="M110" s="9">
        <f t="shared" si="16"/>
        <v>2388.9374000000071</v>
      </c>
      <c r="P110" t="s">
        <v>33</v>
      </c>
      <c r="Q110" t="s">
        <v>34</v>
      </c>
      <c r="S110" t="s">
        <v>145</v>
      </c>
      <c r="U110" t="s">
        <v>32</v>
      </c>
      <c r="V110" t="s">
        <v>83</v>
      </c>
      <c r="W110" s="10" t="s">
        <v>35</v>
      </c>
      <c r="X110" t="s">
        <v>35</v>
      </c>
      <c r="Y110"/>
    </row>
    <row r="111" spans="1:26">
      <c r="A111" s="6">
        <v>44865</v>
      </c>
      <c r="B111" s="6">
        <v>44865</v>
      </c>
      <c r="C111" s="7">
        <f t="shared" si="19"/>
        <v>10</v>
      </c>
      <c r="D111" s="7">
        <f t="shared" si="20"/>
        <v>2022</v>
      </c>
      <c r="E111" s="187"/>
      <c r="L111" s="9">
        <v>-178.33</v>
      </c>
      <c r="M111" s="9">
        <f t="shared" si="16"/>
        <v>2210.6074000000071</v>
      </c>
      <c r="P111" t="s">
        <v>33</v>
      </c>
      <c r="Q111" t="s">
        <v>34</v>
      </c>
      <c r="R111" t="s">
        <v>205</v>
      </c>
      <c r="S111" t="s">
        <v>144</v>
      </c>
      <c r="T111" t="s">
        <v>205</v>
      </c>
      <c r="U111" t="s">
        <v>151</v>
      </c>
      <c r="V111" t="s">
        <v>102</v>
      </c>
      <c r="W111" s="10" t="s">
        <v>35</v>
      </c>
      <c r="X111" t="s">
        <v>35</v>
      </c>
      <c r="Y111" s="10">
        <v>2022</v>
      </c>
    </row>
    <row r="112" spans="1:26">
      <c r="A112" s="6">
        <v>44866</v>
      </c>
      <c r="B112" s="6">
        <v>44866</v>
      </c>
      <c r="C112" s="7">
        <f t="shared" si="19"/>
        <v>11</v>
      </c>
      <c r="D112" s="7">
        <f t="shared" si="20"/>
        <v>2022</v>
      </c>
      <c r="E112" s="187"/>
      <c r="L112" s="9">
        <v>-20.100000000000001</v>
      </c>
      <c r="M112" s="9">
        <f t="shared" si="16"/>
        <v>2190.5074000000072</v>
      </c>
      <c r="P112" t="s">
        <v>33</v>
      </c>
      <c r="Q112" t="s">
        <v>34</v>
      </c>
      <c r="S112" t="s">
        <v>145</v>
      </c>
      <c r="U112" t="s">
        <v>32</v>
      </c>
      <c r="V112" t="s">
        <v>83</v>
      </c>
      <c r="W112" s="10" t="s">
        <v>35</v>
      </c>
      <c r="X112" t="s">
        <v>35</v>
      </c>
      <c r="Y112"/>
    </row>
    <row r="113" spans="1:26">
      <c r="A113" s="6">
        <v>44866</v>
      </c>
      <c r="B113" s="6">
        <v>44896</v>
      </c>
      <c r="C113" s="7">
        <f t="shared" si="19"/>
        <v>12</v>
      </c>
      <c r="D113" s="7">
        <f t="shared" si="20"/>
        <v>2022</v>
      </c>
      <c r="E113" s="187"/>
      <c r="L113" s="9">
        <v>-19.899999999999999</v>
      </c>
      <c r="M113" s="9">
        <f t="shared" si="16"/>
        <v>2170.6074000000071</v>
      </c>
      <c r="P113" t="s">
        <v>33</v>
      </c>
      <c r="Q113" t="s">
        <v>34</v>
      </c>
      <c r="S113" t="s">
        <v>145</v>
      </c>
      <c r="U113" t="s">
        <v>32</v>
      </c>
      <c r="V113" t="s">
        <v>83</v>
      </c>
      <c r="W113" s="10" t="s">
        <v>35</v>
      </c>
      <c r="X113" t="s">
        <v>35</v>
      </c>
      <c r="Y113"/>
    </row>
    <row r="114" spans="1:26">
      <c r="A114" s="6">
        <v>44926</v>
      </c>
      <c r="B114" s="6">
        <v>44926</v>
      </c>
      <c r="C114" s="7">
        <f t="shared" si="19"/>
        <v>12</v>
      </c>
      <c r="D114" s="7">
        <f t="shared" si="20"/>
        <v>2022</v>
      </c>
      <c r="E114" s="187"/>
      <c r="L114" s="9">
        <v>-40</v>
      </c>
      <c r="M114" s="9">
        <f t="shared" si="16"/>
        <v>2130.6074000000071</v>
      </c>
      <c r="P114" t="s">
        <v>33</v>
      </c>
      <c r="Q114" t="s">
        <v>34</v>
      </c>
      <c r="S114" t="s">
        <v>145</v>
      </c>
      <c r="U114" t="s">
        <v>32</v>
      </c>
      <c r="V114" t="s">
        <v>83</v>
      </c>
      <c r="W114" s="10" t="s">
        <v>35</v>
      </c>
      <c r="X114" t="s">
        <v>35</v>
      </c>
      <c r="Y114"/>
    </row>
    <row r="115" spans="1:26">
      <c r="A115" s="133">
        <v>44926</v>
      </c>
      <c r="B115" s="133">
        <v>44926</v>
      </c>
      <c r="C115" s="135">
        <f t="shared" ref="C115:C122" si="21">IF(B115="","",MONTH(B115))</f>
        <v>12</v>
      </c>
      <c r="D115" s="135">
        <f t="shared" ref="D115:D122" si="22">IF(B115="","",YEAR(B115))</f>
        <v>2022</v>
      </c>
      <c r="E115" s="191"/>
      <c r="F115" s="136"/>
      <c r="G115" s="135"/>
      <c r="H115" s="135"/>
      <c r="I115" s="71"/>
      <c r="J115" s="137"/>
      <c r="K115" s="71"/>
      <c r="L115" s="71">
        <v>-14126.71</v>
      </c>
      <c r="M115" s="9">
        <f t="shared" si="16"/>
        <v>-11996.102599999991</v>
      </c>
      <c r="P115" t="s">
        <v>14</v>
      </c>
      <c r="Q115" t="s">
        <v>188</v>
      </c>
      <c r="R115" t="s">
        <v>189</v>
      </c>
      <c r="S115" t="s">
        <v>192</v>
      </c>
      <c r="U115" t="s">
        <v>191</v>
      </c>
      <c r="V115" t="s">
        <v>190</v>
      </c>
    </row>
    <row r="116" spans="1:26">
      <c r="A116" s="133">
        <v>44926</v>
      </c>
      <c r="B116" s="133">
        <v>44926</v>
      </c>
      <c r="C116" s="135">
        <f t="shared" si="21"/>
        <v>12</v>
      </c>
      <c r="D116" s="135">
        <f t="shared" si="22"/>
        <v>2022</v>
      </c>
      <c r="E116" s="191"/>
      <c r="F116" s="136"/>
      <c r="G116" s="135"/>
      <c r="H116" s="135"/>
      <c r="I116" s="71"/>
      <c r="J116" s="137"/>
      <c r="K116" s="71"/>
      <c r="L116" s="71">
        <v>14126.71</v>
      </c>
      <c r="M116" s="9">
        <f t="shared" si="16"/>
        <v>2130.6074000000081</v>
      </c>
      <c r="P116" t="s">
        <v>14</v>
      </c>
      <c r="Q116" t="s">
        <v>188</v>
      </c>
      <c r="R116" t="s">
        <v>189</v>
      </c>
      <c r="S116" t="s">
        <v>192</v>
      </c>
      <c r="U116" t="s">
        <v>191</v>
      </c>
      <c r="V116" t="s">
        <v>79</v>
      </c>
      <c r="X116" t="s">
        <v>79</v>
      </c>
    </row>
    <row r="117" spans="1:26">
      <c r="A117" s="133">
        <v>44926</v>
      </c>
      <c r="B117" s="133">
        <v>44926</v>
      </c>
      <c r="C117" s="135">
        <f t="shared" si="21"/>
        <v>12</v>
      </c>
      <c r="D117" s="135">
        <f t="shared" si="22"/>
        <v>2022</v>
      </c>
      <c r="E117" s="191"/>
      <c r="F117" s="136"/>
      <c r="G117" s="135"/>
      <c r="H117" s="135"/>
      <c r="I117" s="71"/>
      <c r="J117" s="137"/>
      <c r="K117" s="71"/>
      <c r="L117" s="71">
        <v>-3154.39</v>
      </c>
      <c r="M117" s="9">
        <f t="shared" si="16"/>
        <v>-1023.7825999999918</v>
      </c>
      <c r="P117" t="s">
        <v>14</v>
      </c>
      <c r="Q117" t="s">
        <v>147</v>
      </c>
      <c r="R117" t="s">
        <v>148</v>
      </c>
      <c r="S117" t="s">
        <v>180</v>
      </c>
      <c r="U117" t="s">
        <v>179</v>
      </c>
      <c r="V117" t="s">
        <v>183</v>
      </c>
    </row>
    <row r="118" spans="1:26">
      <c r="A118" s="133">
        <v>44926</v>
      </c>
      <c r="B118" s="133">
        <v>44926</v>
      </c>
      <c r="C118" s="135">
        <f t="shared" si="21"/>
        <v>12</v>
      </c>
      <c r="D118" s="135">
        <f t="shared" si="22"/>
        <v>2022</v>
      </c>
      <c r="E118" s="191"/>
      <c r="F118" s="136"/>
      <c r="G118" s="135"/>
      <c r="H118" s="135"/>
      <c r="I118" s="71"/>
      <c r="J118" s="137"/>
      <c r="K118" s="71"/>
      <c r="L118" s="71">
        <v>3154.39</v>
      </c>
      <c r="M118" s="9">
        <f t="shared" si="16"/>
        <v>2130.6074000000081</v>
      </c>
      <c r="P118" t="s">
        <v>14</v>
      </c>
      <c r="Q118" t="s">
        <v>147</v>
      </c>
      <c r="R118" t="s">
        <v>148</v>
      </c>
      <c r="S118" t="s">
        <v>181</v>
      </c>
      <c r="U118" t="s">
        <v>179</v>
      </c>
      <c r="V118" t="s">
        <v>79</v>
      </c>
      <c r="X118" t="s">
        <v>79</v>
      </c>
    </row>
    <row r="119" spans="1:26">
      <c r="A119" s="133">
        <v>44926</v>
      </c>
      <c r="B119" s="133">
        <v>44926</v>
      </c>
      <c r="C119" s="135">
        <f t="shared" ref="C119:C120" si="23">IF(B119="","",MONTH(B119))</f>
        <v>12</v>
      </c>
      <c r="D119" s="135">
        <f t="shared" ref="D119:D120" si="24">IF(B119="","",YEAR(B119))</f>
        <v>2022</v>
      </c>
      <c r="E119" s="191"/>
      <c r="F119" s="136"/>
      <c r="G119" s="135"/>
      <c r="H119" s="135"/>
      <c r="I119" s="71"/>
      <c r="J119" s="137"/>
      <c r="K119" s="71"/>
      <c r="L119" s="71">
        <v>4640</v>
      </c>
      <c r="M119" s="9">
        <f t="shared" si="16"/>
        <v>6770.6074000000081</v>
      </c>
      <c r="P119" t="s">
        <v>14</v>
      </c>
      <c r="Q119" t="s">
        <v>147</v>
      </c>
      <c r="R119" t="s">
        <v>148</v>
      </c>
      <c r="S119" t="s">
        <v>182</v>
      </c>
      <c r="U119" t="s">
        <v>179</v>
      </c>
      <c r="V119" t="s">
        <v>183</v>
      </c>
    </row>
    <row r="120" spans="1:26">
      <c r="A120" s="133">
        <v>44926</v>
      </c>
      <c r="B120" s="133">
        <v>44926</v>
      </c>
      <c r="C120" s="135">
        <f t="shared" si="23"/>
        <v>12</v>
      </c>
      <c r="D120" s="135">
        <f t="shared" si="24"/>
        <v>2022</v>
      </c>
      <c r="E120" s="191"/>
      <c r="F120" s="136"/>
      <c r="G120" s="135"/>
      <c r="H120" s="135"/>
      <c r="I120" s="71"/>
      <c r="J120" s="137"/>
      <c r="K120" s="71"/>
      <c r="L120" s="71">
        <v>-4640</v>
      </c>
      <c r="M120" s="9">
        <f t="shared" si="16"/>
        <v>2130.6074000000081</v>
      </c>
      <c r="P120" t="s">
        <v>14</v>
      </c>
      <c r="Q120" t="s">
        <v>147</v>
      </c>
      <c r="R120" t="s">
        <v>148</v>
      </c>
      <c r="S120" t="s">
        <v>181</v>
      </c>
      <c r="U120" t="s">
        <v>179</v>
      </c>
      <c r="V120" t="s">
        <v>79</v>
      </c>
      <c r="X120" t="s">
        <v>79</v>
      </c>
    </row>
    <row r="121" spans="1:26">
      <c r="A121" s="133">
        <v>44926</v>
      </c>
      <c r="B121" s="133">
        <v>44926</v>
      </c>
      <c r="C121" s="135">
        <f t="shared" si="21"/>
        <v>12</v>
      </c>
      <c r="D121" s="135">
        <f t="shared" si="22"/>
        <v>2022</v>
      </c>
      <c r="E121" s="191"/>
      <c r="F121" s="136"/>
      <c r="G121" s="135"/>
      <c r="H121" s="135"/>
      <c r="I121" s="71"/>
      <c r="J121" s="137"/>
      <c r="K121" s="71"/>
      <c r="L121" s="71">
        <v>4280.01</v>
      </c>
      <c r="M121" s="9">
        <f t="shared" si="16"/>
        <v>6410.6174000000083</v>
      </c>
      <c r="P121" t="s">
        <v>14</v>
      </c>
      <c r="Q121" t="s">
        <v>147</v>
      </c>
      <c r="R121" t="s">
        <v>206</v>
      </c>
      <c r="S121" t="s">
        <v>198</v>
      </c>
      <c r="U121" t="s">
        <v>179</v>
      </c>
      <c r="V121" t="s">
        <v>102</v>
      </c>
    </row>
    <row r="122" spans="1:26">
      <c r="A122" s="133">
        <v>44926</v>
      </c>
      <c r="B122" s="133">
        <v>44926</v>
      </c>
      <c r="C122" s="135">
        <f t="shared" si="21"/>
        <v>12</v>
      </c>
      <c r="D122" s="135">
        <f t="shared" si="22"/>
        <v>2022</v>
      </c>
      <c r="E122" s="191"/>
      <c r="F122" s="136"/>
      <c r="G122" s="135"/>
      <c r="H122" s="135"/>
      <c r="I122" s="71"/>
      <c r="J122" s="137"/>
      <c r="K122" s="71"/>
      <c r="L122" s="71">
        <v>-4280.01</v>
      </c>
      <c r="M122" s="9">
        <f t="shared" si="16"/>
        <v>2130.6074000000081</v>
      </c>
      <c r="P122" t="s">
        <v>14</v>
      </c>
      <c r="Q122" t="s">
        <v>147</v>
      </c>
      <c r="R122" t="s">
        <v>148</v>
      </c>
      <c r="S122" t="s">
        <v>181</v>
      </c>
      <c r="U122" t="s">
        <v>179</v>
      </c>
      <c r="V122" t="s">
        <v>79</v>
      </c>
      <c r="X122" t="s">
        <v>79</v>
      </c>
    </row>
    <row r="123" spans="1:26">
      <c r="A123" s="133">
        <v>44926</v>
      </c>
      <c r="B123" s="133">
        <v>44926</v>
      </c>
      <c r="C123" s="135">
        <f t="shared" ref="C123:C124" si="25">IF(B123="","",MONTH(B123))</f>
        <v>12</v>
      </c>
      <c r="D123" s="135">
        <f t="shared" ref="D123:D124" si="26">IF(B123="","",YEAR(B123))</f>
        <v>2022</v>
      </c>
      <c r="E123" s="191"/>
      <c r="F123" s="136"/>
      <c r="G123" s="135"/>
      <c r="H123" s="135"/>
      <c r="I123" s="71"/>
      <c r="J123" s="137"/>
      <c r="K123" s="71"/>
      <c r="L123" s="71">
        <v>5652.07</v>
      </c>
      <c r="M123" s="9">
        <f t="shared" si="16"/>
        <v>7782.6774000000078</v>
      </c>
      <c r="P123" t="s">
        <v>14</v>
      </c>
      <c r="Q123" t="s">
        <v>147</v>
      </c>
      <c r="R123" t="s">
        <v>149</v>
      </c>
      <c r="S123" t="s">
        <v>194</v>
      </c>
      <c r="U123" t="s">
        <v>177</v>
      </c>
      <c r="V123" t="s">
        <v>178</v>
      </c>
    </row>
    <row r="124" spans="1:26">
      <c r="A124" s="133">
        <v>44926</v>
      </c>
      <c r="B124" s="133">
        <v>44926</v>
      </c>
      <c r="C124" s="135">
        <f t="shared" si="25"/>
        <v>12</v>
      </c>
      <c r="D124" s="135">
        <f t="shared" si="26"/>
        <v>2022</v>
      </c>
      <c r="E124" s="191"/>
      <c r="F124" s="136"/>
      <c r="G124" s="135"/>
      <c r="H124" s="135"/>
      <c r="I124" s="71"/>
      <c r="J124" s="137"/>
      <c r="K124" s="71"/>
      <c r="L124" s="71">
        <v>-5652.07</v>
      </c>
      <c r="M124" s="9">
        <f t="shared" si="16"/>
        <v>2130.6074000000081</v>
      </c>
      <c r="P124" t="s">
        <v>14</v>
      </c>
      <c r="Q124" t="s">
        <v>147</v>
      </c>
      <c r="R124" t="s">
        <v>149</v>
      </c>
      <c r="S124" t="s">
        <v>194</v>
      </c>
      <c r="U124" t="s">
        <v>177</v>
      </c>
      <c r="V124" t="s">
        <v>79</v>
      </c>
      <c r="X124" t="s">
        <v>79</v>
      </c>
    </row>
    <row r="125" spans="1:26">
      <c r="A125" s="133">
        <v>44926</v>
      </c>
      <c r="B125" s="133">
        <v>44926</v>
      </c>
      <c r="C125" s="135">
        <f t="shared" ref="C125:C126" si="27">IF(B125="","",MONTH(B125))</f>
        <v>12</v>
      </c>
      <c r="D125" s="135">
        <f t="shared" ref="D125:D126" si="28">IF(B125="","",YEAR(B125))</f>
        <v>2022</v>
      </c>
      <c r="E125" s="191"/>
      <c r="F125" s="136"/>
      <c r="G125" s="135"/>
      <c r="H125" s="135"/>
      <c r="I125" s="71"/>
      <c r="J125" s="137"/>
      <c r="K125" s="71"/>
      <c r="L125" s="71">
        <v>-5652.07</v>
      </c>
      <c r="M125" s="9">
        <f t="shared" si="16"/>
        <v>-3521.4625999999917</v>
      </c>
      <c r="P125" t="s">
        <v>14</v>
      </c>
      <c r="Q125" t="s">
        <v>147</v>
      </c>
      <c r="R125" t="s">
        <v>149</v>
      </c>
      <c r="S125" t="s">
        <v>193</v>
      </c>
      <c r="U125" t="s">
        <v>175</v>
      </c>
      <c r="V125" t="s">
        <v>176</v>
      </c>
    </row>
    <row r="126" spans="1:26">
      <c r="A126" s="133">
        <v>44926</v>
      </c>
      <c r="B126" s="133">
        <v>44926</v>
      </c>
      <c r="C126" s="135">
        <f t="shared" si="27"/>
        <v>12</v>
      </c>
      <c r="D126" s="135">
        <f t="shared" si="28"/>
        <v>2022</v>
      </c>
      <c r="E126" s="191"/>
      <c r="F126" s="136"/>
      <c r="G126" s="135"/>
      <c r="H126" s="135"/>
      <c r="I126" s="71"/>
      <c r="J126" s="137"/>
      <c r="K126" s="71"/>
      <c r="L126" s="71">
        <v>5652.07</v>
      </c>
      <c r="M126" s="9">
        <f t="shared" si="16"/>
        <v>2130.6074000000081</v>
      </c>
      <c r="P126" t="s">
        <v>14</v>
      </c>
      <c r="Q126" t="s">
        <v>147</v>
      </c>
      <c r="R126" t="s">
        <v>149</v>
      </c>
      <c r="S126" t="s">
        <v>193</v>
      </c>
      <c r="U126" t="s">
        <v>175</v>
      </c>
      <c r="V126" t="s">
        <v>79</v>
      </c>
      <c r="X126" t="s">
        <v>79</v>
      </c>
    </row>
    <row r="127" spans="1:26">
      <c r="A127" s="133">
        <v>44926</v>
      </c>
      <c r="B127" s="133">
        <v>44926</v>
      </c>
      <c r="C127" s="135">
        <f t="shared" ref="C127:C128" si="29">IF(B127="","",MONTH(B127))</f>
        <v>12</v>
      </c>
      <c r="D127" s="135">
        <f t="shared" ref="D127:D128" si="30">IF(B127="","",YEAR(B127))</f>
        <v>2022</v>
      </c>
      <c r="E127" s="191"/>
      <c r="F127" s="136"/>
      <c r="G127" s="135"/>
      <c r="H127" s="135"/>
      <c r="I127" s="71"/>
      <c r="J127" s="137"/>
      <c r="K127" s="71"/>
      <c r="L127" s="71">
        <v>-13596.1</v>
      </c>
      <c r="M127" s="9">
        <f t="shared" si="16"/>
        <v>-11465.492599999992</v>
      </c>
      <c r="P127" t="s">
        <v>14</v>
      </c>
      <c r="Q127" t="s">
        <v>147</v>
      </c>
      <c r="R127" t="s">
        <v>149</v>
      </c>
      <c r="S127" t="s">
        <v>194</v>
      </c>
      <c r="U127" t="s">
        <v>177</v>
      </c>
      <c r="V127" t="s">
        <v>178</v>
      </c>
    </row>
    <row r="128" spans="1:26">
      <c r="A128" s="138">
        <v>44926</v>
      </c>
      <c r="B128" s="138">
        <v>44926</v>
      </c>
      <c r="C128" s="139">
        <f t="shared" si="29"/>
        <v>12</v>
      </c>
      <c r="D128" s="139">
        <f t="shared" si="30"/>
        <v>2022</v>
      </c>
      <c r="E128" s="192"/>
      <c r="F128" s="140"/>
      <c r="G128" s="139"/>
      <c r="H128" s="139"/>
      <c r="I128" s="141"/>
      <c r="J128" s="142"/>
      <c r="K128" s="141"/>
      <c r="L128" s="141">
        <v>13596.1</v>
      </c>
      <c r="M128" s="25">
        <f t="shared" si="16"/>
        <v>2130.6074000000081</v>
      </c>
      <c r="N128" s="23"/>
      <c r="O128" s="28"/>
      <c r="P128" s="24" t="s">
        <v>14</v>
      </c>
      <c r="Q128" s="24" t="s">
        <v>147</v>
      </c>
      <c r="R128" s="24" t="s">
        <v>149</v>
      </c>
      <c r="S128" s="24" t="s">
        <v>194</v>
      </c>
      <c r="T128" s="24"/>
      <c r="U128" s="24" t="s">
        <v>177</v>
      </c>
      <c r="V128" s="24" t="s">
        <v>79</v>
      </c>
      <c r="W128" s="63"/>
      <c r="X128" s="24" t="s">
        <v>79</v>
      </c>
      <c r="Y128" s="63"/>
      <c r="Z128" s="63"/>
    </row>
    <row r="129" spans="1:25">
      <c r="A129" s="6">
        <v>44927</v>
      </c>
      <c r="B129" s="6">
        <v>44927</v>
      </c>
      <c r="C129" s="7">
        <f t="shared" ref="C129:C134" si="31">IF(B129="","",MONTH(B129))</f>
        <v>1</v>
      </c>
      <c r="D129" s="7">
        <f t="shared" ref="D129:D134" si="32">IF(B129="","",YEAR(B129))</f>
        <v>2023</v>
      </c>
      <c r="E129" s="187"/>
      <c r="L129" s="9">
        <v>0.32</v>
      </c>
      <c r="M129" s="9">
        <f t="shared" si="16"/>
        <v>2130.9274000000082</v>
      </c>
      <c r="N129" s="8" t="s">
        <v>72</v>
      </c>
      <c r="P129" t="s">
        <v>14</v>
      </c>
      <c r="Q129" t="s">
        <v>147</v>
      </c>
      <c r="R129" t="s">
        <v>149</v>
      </c>
      <c r="S129" t="s">
        <v>196</v>
      </c>
      <c r="U129" t="s">
        <v>197</v>
      </c>
      <c r="V129" t="s">
        <v>218</v>
      </c>
      <c r="X129" t="s">
        <v>25</v>
      </c>
      <c r="Y129"/>
    </row>
    <row r="130" spans="1:25">
      <c r="A130" s="6">
        <v>44927</v>
      </c>
      <c r="B130" s="6">
        <v>44927</v>
      </c>
      <c r="C130" s="7">
        <f t="shared" si="31"/>
        <v>1</v>
      </c>
      <c r="D130" s="7">
        <f t="shared" si="32"/>
        <v>2023</v>
      </c>
      <c r="E130" s="187"/>
      <c r="L130" s="9">
        <v>-0.32</v>
      </c>
      <c r="M130" s="9">
        <f t="shared" si="16"/>
        <v>2130.6074000000081</v>
      </c>
      <c r="N130" s="8" t="s">
        <v>72</v>
      </c>
      <c r="P130" t="s">
        <v>14</v>
      </c>
      <c r="Q130" t="s">
        <v>147</v>
      </c>
      <c r="R130" t="s">
        <v>148</v>
      </c>
      <c r="S130" t="s">
        <v>13</v>
      </c>
      <c r="U130" t="s">
        <v>109</v>
      </c>
      <c r="V130" t="s">
        <v>157</v>
      </c>
      <c r="X130" t="s">
        <v>25</v>
      </c>
      <c r="Y130"/>
    </row>
    <row r="131" spans="1:25">
      <c r="A131" s="6">
        <v>44927</v>
      </c>
      <c r="B131" s="6">
        <v>44927</v>
      </c>
      <c r="C131" s="7">
        <f t="shared" si="31"/>
        <v>1</v>
      </c>
      <c r="D131" s="7">
        <f t="shared" si="32"/>
        <v>2023</v>
      </c>
      <c r="E131" s="187"/>
      <c r="L131" s="9">
        <v>0.32</v>
      </c>
      <c r="M131" s="9">
        <f t="shared" si="16"/>
        <v>2130.9274000000082</v>
      </c>
      <c r="N131" s="8" t="s">
        <v>72</v>
      </c>
      <c r="P131" t="s">
        <v>14</v>
      </c>
      <c r="Q131" t="s">
        <v>147</v>
      </c>
      <c r="R131" t="s">
        <v>149</v>
      </c>
      <c r="S131" t="s">
        <v>196</v>
      </c>
      <c r="U131" t="s">
        <v>197</v>
      </c>
      <c r="V131" t="s">
        <v>219</v>
      </c>
      <c r="X131" t="s">
        <v>26</v>
      </c>
      <c r="Y131"/>
    </row>
    <row r="132" spans="1:25">
      <c r="A132" s="6">
        <v>44927</v>
      </c>
      <c r="B132" s="6">
        <v>44927</v>
      </c>
      <c r="C132" s="7">
        <f t="shared" si="31"/>
        <v>1</v>
      </c>
      <c r="D132" s="7">
        <f t="shared" si="32"/>
        <v>2023</v>
      </c>
      <c r="E132" s="187"/>
      <c r="L132" s="9">
        <v>-0.32</v>
      </c>
      <c r="M132" s="9">
        <f t="shared" si="16"/>
        <v>2130.6074000000081</v>
      </c>
      <c r="N132" s="8" t="s">
        <v>72</v>
      </c>
      <c r="P132" t="s">
        <v>14</v>
      </c>
      <c r="Q132" t="s">
        <v>147</v>
      </c>
      <c r="R132" t="s">
        <v>148</v>
      </c>
      <c r="S132" t="s">
        <v>13</v>
      </c>
      <c r="U132" t="s">
        <v>109</v>
      </c>
      <c r="V132" t="s">
        <v>158</v>
      </c>
      <c r="X132" t="s">
        <v>26</v>
      </c>
      <c r="Y132"/>
    </row>
    <row r="133" spans="1:25">
      <c r="A133" s="6">
        <v>44927</v>
      </c>
      <c r="B133" s="6">
        <v>44927</v>
      </c>
      <c r="C133" s="7">
        <f t="shared" si="31"/>
        <v>1</v>
      </c>
      <c r="D133" s="7">
        <f t="shared" si="32"/>
        <v>2023</v>
      </c>
      <c r="E133" s="187"/>
      <c r="L133" s="9">
        <v>0.25</v>
      </c>
      <c r="M133" s="9">
        <f t="shared" si="16"/>
        <v>2130.8574000000081</v>
      </c>
      <c r="N133" s="8" t="s">
        <v>73</v>
      </c>
      <c r="P133" t="s">
        <v>14</v>
      </c>
      <c r="Q133" t="s">
        <v>147</v>
      </c>
      <c r="R133" t="s">
        <v>149</v>
      </c>
      <c r="S133" t="s">
        <v>196</v>
      </c>
      <c r="U133" t="s">
        <v>197</v>
      </c>
      <c r="V133" t="s">
        <v>222</v>
      </c>
      <c r="X133" t="s">
        <v>16</v>
      </c>
      <c r="Y133"/>
    </row>
    <row r="134" spans="1:25">
      <c r="A134" s="6">
        <v>44927</v>
      </c>
      <c r="B134" s="6">
        <v>44927</v>
      </c>
      <c r="C134" s="7">
        <f t="shared" si="31"/>
        <v>1</v>
      </c>
      <c r="D134" s="7">
        <f t="shared" si="32"/>
        <v>2023</v>
      </c>
      <c r="E134" s="187"/>
      <c r="L134" s="9">
        <v>-0.25</v>
      </c>
      <c r="M134" s="9">
        <f t="shared" si="16"/>
        <v>2130.6074000000081</v>
      </c>
      <c r="N134" s="8" t="s">
        <v>73</v>
      </c>
      <c r="P134" t="s">
        <v>14</v>
      </c>
      <c r="Q134" t="s">
        <v>147</v>
      </c>
      <c r="R134" t="s">
        <v>148</v>
      </c>
      <c r="S134" t="s">
        <v>13</v>
      </c>
      <c r="U134" t="s">
        <v>109</v>
      </c>
      <c r="V134" t="s">
        <v>159</v>
      </c>
      <c r="X134" t="s">
        <v>16</v>
      </c>
      <c r="Y134"/>
    </row>
    <row r="135" spans="1:25">
      <c r="A135" s="6">
        <v>44927</v>
      </c>
      <c r="B135" s="6">
        <v>44927</v>
      </c>
      <c r="C135" s="7">
        <f t="shared" ref="C135:C138" si="33">IF(B135="","",MONTH(B135))</f>
        <v>1</v>
      </c>
      <c r="D135" s="7">
        <f t="shared" ref="D135:D136" si="34">IF(B135="","",YEAR(B135))</f>
        <v>2023</v>
      </c>
      <c r="E135" s="187"/>
      <c r="L135" s="9">
        <v>0.5</v>
      </c>
      <c r="M135" s="9">
        <f t="shared" si="16"/>
        <v>2131.1074000000081</v>
      </c>
      <c r="N135" s="8" t="s">
        <v>68</v>
      </c>
      <c r="P135" t="s">
        <v>14</v>
      </c>
      <c r="Q135" t="s">
        <v>147</v>
      </c>
      <c r="R135" t="s">
        <v>149</v>
      </c>
      <c r="S135" t="s">
        <v>196</v>
      </c>
      <c r="U135" t="s">
        <v>197</v>
      </c>
      <c r="V135" t="s">
        <v>224</v>
      </c>
      <c r="X135" t="s">
        <v>21</v>
      </c>
      <c r="Y135"/>
    </row>
    <row r="136" spans="1:25">
      <c r="A136" s="6">
        <v>44927</v>
      </c>
      <c r="B136" s="6">
        <v>44927</v>
      </c>
      <c r="C136" s="7">
        <f t="shared" si="33"/>
        <v>1</v>
      </c>
      <c r="D136" s="7">
        <f t="shared" si="34"/>
        <v>2023</v>
      </c>
      <c r="E136" s="187"/>
      <c r="L136" s="9">
        <v>-0.5</v>
      </c>
      <c r="M136" s="9">
        <f t="shared" ref="M136:M200" si="35">M135+L136</f>
        <v>2130.6074000000081</v>
      </c>
      <c r="N136" s="8" t="s">
        <v>68</v>
      </c>
      <c r="P136" t="s">
        <v>14</v>
      </c>
      <c r="Q136" t="s">
        <v>147</v>
      </c>
      <c r="R136" t="s">
        <v>148</v>
      </c>
      <c r="S136" t="s">
        <v>13</v>
      </c>
      <c r="U136" t="s">
        <v>109</v>
      </c>
      <c r="V136" t="s">
        <v>162</v>
      </c>
      <c r="X136" t="s">
        <v>21</v>
      </c>
      <c r="Y136"/>
    </row>
    <row r="137" spans="1:25">
      <c r="A137" s="6">
        <v>44927</v>
      </c>
      <c r="B137" s="6">
        <v>44927</v>
      </c>
      <c r="C137" s="7">
        <f t="shared" si="33"/>
        <v>1</v>
      </c>
      <c r="D137" s="7">
        <f t="shared" ref="D137:D138" si="36">IF(B137="","",YEAR(B137))</f>
        <v>2023</v>
      </c>
      <c r="E137" s="187"/>
      <c r="L137" s="9">
        <v>-0.47</v>
      </c>
      <c r="M137" s="9">
        <f t="shared" si="35"/>
        <v>2130.1374000000083</v>
      </c>
      <c r="N137" s="8" t="s">
        <v>68</v>
      </c>
      <c r="P137" t="s">
        <v>14</v>
      </c>
      <c r="Q137" t="s">
        <v>147</v>
      </c>
      <c r="R137" t="s">
        <v>149</v>
      </c>
      <c r="S137" t="s">
        <v>196</v>
      </c>
      <c r="U137" t="s">
        <v>197</v>
      </c>
      <c r="V137" t="s">
        <v>225</v>
      </c>
      <c r="X137" t="s">
        <v>30</v>
      </c>
      <c r="Y137"/>
    </row>
    <row r="138" spans="1:25">
      <c r="A138" s="6">
        <v>44927</v>
      </c>
      <c r="B138" s="6">
        <v>44927</v>
      </c>
      <c r="C138" s="7">
        <f t="shared" si="33"/>
        <v>1</v>
      </c>
      <c r="D138" s="7">
        <f t="shared" si="36"/>
        <v>2023</v>
      </c>
      <c r="E138" s="187"/>
      <c r="L138" s="9">
        <v>0.47</v>
      </c>
      <c r="M138" s="9">
        <f t="shared" si="35"/>
        <v>2130.6074000000081</v>
      </c>
      <c r="N138" s="8" t="s">
        <v>68</v>
      </c>
      <c r="P138" t="s">
        <v>14</v>
      </c>
      <c r="Q138" t="s">
        <v>147</v>
      </c>
      <c r="R138" t="s">
        <v>148</v>
      </c>
      <c r="S138" t="s">
        <v>13</v>
      </c>
      <c r="U138" t="s">
        <v>109</v>
      </c>
      <c r="V138" t="s">
        <v>163</v>
      </c>
      <c r="X138" t="s">
        <v>30</v>
      </c>
      <c r="Y138"/>
    </row>
    <row r="139" spans="1:25">
      <c r="A139" s="6">
        <v>44927</v>
      </c>
      <c r="B139" s="6">
        <v>44927</v>
      </c>
      <c r="C139" s="7">
        <f t="shared" ref="C139:C152" si="37">IF(B139="","",MONTH(B139))</f>
        <v>1</v>
      </c>
      <c r="D139" s="7">
        <f t="shared" ref="D139:D152" si="38">IF(B139="","",YEAR(B139))</f>
        <v>2023</v>
      </c>
      <c r="E139" s="187"/>
      <c r="L139" s="9">
        <v>-0.1</v>
      </c>
      <c r="M139" s="9">
        <f t="shared" si="35"/>
        <v>2130.5074000000081</v>
      </c>
      <c r="N139" s="8" t="s">
        <v>71</v>
      </c>
      <c r="P139" t="s">
        <v>14</v>
      </c>
      <c r="Q139" t="s">
        <v>147</v>
      </c>
      <c r="R139" t="s">
        <v>149</v>
      </c>
      <c r="S139" t="s">
        <v>196</v>
      </c>
      <c r="U139" t="s">
        <v>197</v>
      </c>
      <c r="V139" t="s">
        <v>226</v>
      </c>
      <c r="X139" t="s">
        <v>24</v>
      </c>
      <c r="Y139"/>
    </row>
    <row r="140" spans="1:25">
      <c r="A140" s="6">
        <v>44927</v>
      </c>
      <c r="B140" s="6">
        <v>44927</v>
      </c>
      <c r="C140" s="7">
        <f t="shared" si="37"/>
        <v>1</v>
      </c>
      <c r="D140" s="7">
        <f t="shared" si="38"/>
        <v>2023</v>
      </c>
      <c r="E140" s="187"/>
      <c r="L140" s="9">
        <v>0.1</v>
      </c>
      <c r="M140" s="9">
        <f t="shared" si="35"/>
        <v>2130.6074000000081</v>
      </c>
      <c r="N140" s="8" t="s">
        <v>71</v>
      </c>
      <c r="P140" t="s">
        <v>14</v>
      </c>
      <c r="Q140" t="s">
        <v>147</v>
      </c>
      <c r="R140" t="s">
        <v>148</v>
      </c>
      <c r="S140" t="s">
        <v>13</v>
      </c>
      <c r="U140" t="s">
        <v>109</v>
      </c>
      <c r="V140" t="s">
        <v>164</v>
      </c>
      <c r="X140" t="s">
        <v>24</v>
      </c>
      <c r="Y140"/>
    </row>
    <row r="141" spans="1:25">
      <c r="A141" s="6">
        <v>44927</v>
      </c>
      <c r="B141" s="6">
        <v>44927</v>
      </c>
      <c r="C141" s="7">
        <f t="shared" si="37"/>
        <v>1</v>
      </c>
      <c r="D141" s="7">
        <f t="shared" si="38"/>
        <v>2023</v>
      </c>
      <c r="E141" s="187"/>
      <c r="L141" s="9">
        <v>0.27</v>
      </c>
      <c r="M141" s="9">
        <f t="shared" si="35"/>
        <v>2130.877400000008</v>
      </c>
      <c r="N141" s="8" t="s">
        <v>67</v>
      </c>
      <c r="P141" t="s">
        <v>14</v>
      </c>
      <c r="Q141" t="s">
        <v>147</v>
      </c>
      <c r="R141" t="s">
        <v>149</v>
      </c>
      <c r="S141" t="s">
        <v>196</v>
      </c>
      <c r="U141" t="s">
        <v>197</v>
      </c>
      <c r="V141" t="s">
        <v>228</v>
      </c>
      <c r="X141" t="s">
        <v>17</v>
      </c>
      <c r="Y141"/>
    </row>
    <row r="142" spans="1:25">
      <c r="A142" s="6">
        <v>44927</v>
      </c>
      <c r="B142" s="6">
        <v>44927</v>
      </c>
      <c r="C142" s="7">
        <f t="shared" si="37"/>
        <v>1</v>
      </c>
      <c r="D142" s="7">
        <f t="shared" si="38"/>
        <v>2023</v>
      </c>
      <c r="E142" s="187"/>
      <c r="L142" s="9">
        <v>-0.27</v>
      </c>
      <c r="M142" s="9">
        <f t="shared" si="35"/>
        <v>2130.6074000000081</v>
      </c>
      <c r="N142" s="8" t="s">
        <v>67</v>
      </c>
      <c r="P142" t="s">
        <v>14</v>
      </c>
      <c r="Q142" t="s">
        <v>147</v>
      </c>
      <c r="R142" t="s">
        <v>148</v>
      </c>
      <c r="S142" t="s">
        <v>13</v>
      </c>
      <c r="U142" t="s">
        <v>109</v>
      </c>
      <c r="V142" t="s">
        <v>165</v>
      </c>
      <c r="X142" t="s">
        <v>17</v>
      </c>
      <c r="Y142"/>
    </row>
    <row r="143" spans="1:25">
      <c r="A143" s="6">
        <v>44927</v>
      </c>
      <c r="B143" s="6">
        <v>44927</v>
      </c>
      <c r="C143" s="7">
        <f t="shared" si="37"/>
        <v>1</v>
      </c>
      <c r="D143" s="7">
        <f t="shared" si="38"/>
        <v>2023</v>
      </c>
      <c r="E143" s="187"/>
      <c r="L143" s="9">
        <v>-0.1</v>
      </c>
      <c r="M143" s="9">
        <f t="shared" si="35"/>
        <v>2130.5074000000081</v>
      </c>
      <c r="N143" s="8" t="s">
        <v>67</v>
      </c>
      <c r="P143" t="s">
        <v>14</v>
      </c>
      <c r="Q143" t="s">
        <v>147</v>
      </c>
      <c r="R143" t="s">
        <v>149</v>
      </c>
      <c r="S143" t="s">
        <v>196</v>
      </c>
      <c r="U143" t="s">
        <v>197</v>
      </c>
      <c r="V143" t="s">
        <v>227</v>
      </c>
      <c r="X143" t="s">
        <v>20</v>
      </c>
      <c r="Y143"/>
    </row>
    <row r="144" spans="1:25">
      <c r="A144" s="6">
        <v>44927</v>
      </c>
      <c r="B144" s="6">
        <v>44927</v>
      </c>
      <c r="C144" s="7">
        <f t="shared" si="37"/>
        <v>1</v>
      </c>
      <c r="D144" s="7">
        <f t="shared" si="38"/>
        <v>2023</v>
      </c>
      <c r="E144" s="187"/>
      <c r="L144" s="9">
        <v>0.1</v>
      </c>
      <c r="M144" s="9">
        <f t="shared" si="35"/>
        <v>2130.6074000000081</v>
      </c>
      <c r="N144" s="8" t="s">
        <v>67</v>
      </c>
      <c r="P144" t="s">
        <v>14</v>
      </c>
      <c r="Q144" t="s">
        <v>147</v>
      </c>
      <c r="R144" t="s">
        <v>148</v>
      </c>
      <c r="S144" t="s">
        <v>13</v>
      </c>
      <c r="U144" t="s">
        <v>109</v>
      </c>
      <c r="V144" t="s">
        <v>166</v>
      </c>
      <c r="X144" t="s">
        <v>20</v>
      </c>
      <c r="Y144"/>
    </row>
    <row r="145" spans="1:25">
      <c r="A145" s="6">
        <v>44927</v>
      </c>
      <c r="B145" s="6">
        <v>44927</v>
      </c>
      <c r="C145" s="7">
        <f t="shared" si="37"/>
        <v>1</v>
      </c>
      <c r="D145" s="7">
        <f t="shared" si="38"/>
        <v>2023</v>
      </c>
      <c r="E145" s="187"/>
      <c r="L145" s="9">
        <v>-0.41</v>
      </c>
      <c r="M145" s="9">
        <f t="shared" si="35"/>
        <v>2130.1974000000082</v>
      </c>
      <c r="N145" s="8" t="s">
        <v>70</v>
      </c>
      <c r="P145" t="s">
        <v>14</v>
      </c>
      <c r="Q145" t="s">
        <v>147</v>
      </c>
      <c r="R145" t="s">
        <v>149</v>
      </c>
      <c r="S145" t="s">
        <v>196</v>
      </c>
      <c r="U145" t="s">
        <v>197</v>
      </c>
      <c r="V145" t="s">
        <v>229</v>
      </c>
      <c r="X145" t="s">
        <v>23</v>
      </c>
      <c r="Y145"/>
    </row>
    <row r="146" spans="1:25">
      <c r="A146" s="6">
        <v>44927</v>
      </c>
      <c r="B146" s="6">
        <v>44927</v>
      </c>
      <c r="C146" s="7">
        <f t="shared" si="37"/>
        <v>1</v>
      </c>
      <c r="D146" s="7">
        <f t="shared" si="38"/>
        <v>2023</v>
      </c>
      <c r="E146" s="187"/>
      <c r="L146" s="9">
        <v>0.41</v>
      </c>
      <c r="M146" s="9">
        <f t="shared" si="35"/>
        <v>2130.6074000000081</v>
      </c>
      <c r="N146" s="8" t="s">
        <v>70</v>
      </c>
      <c r="P146" t="s">
        <v>14</v>
      </c>
      <c r="Q146" t="s">
        <v>147</v>
      </c>
      <c r="R146" t="s">
        <v>148</v>
      </c>
      <c r="S146" t="s">
        <v>13</v>
      </c>
      <c r="U146" t="s">
        <v>109</v>
      </c>
      <c r="V146" t="s">
        <v>167</v>
      </c>
      <c r="X146" t="s">
        <v>23</v>
      </c>
      <c r="Y146"/>
    </row>
    <row r="147" spans="1:25">
      <c r="A147" s="6">
        <v>44927</v>
      </c>
      <c r="B147" s="6">
        <v>44927</v>
      </c>
      <c r="C147" s="7">
        <f t="shared" si="37"/>
        <v>1</v>
      </c>
      <c r="D147" s="7">
        <f t="shared" si="38"/>
        <v>2023</v>
      </c>
      <c r="E147" s="187"/>
      <c r="L147" s="9">
        <v>-0.51</v>
      </c>
      <c r="M147" s="9">
        <f t="shared" si="35"/>
        <v>2130.0974000000078</v>
      </c>
      <c r="N147" s="8" t="s">
        <v>69</v>
      </c>
      <c r="P147" t="s">
        <v>14</v>
      </c>
      <c r="Q147" t="s">
        <v>147</v>
      </c>
      <c r="R147" t="s">
        <v>149</v>
      </c>
      <c r="S147" t="s">
        <v>196</v>
      </c>
      <c r="U147" t="s">
        <v>197</v>
      </c>
      <c r="V147" t="s">
        <v>230</v>
      </c>
      <c r="X147" t="s">
        <v>22</v>
      </c>
      <c r="Y147"/>
    </row>
    <row r="148" spans="1:25">
      <c r="A148" s="6">
        <v>44927</v>
      </c>
      <c r="B148" s="6">
        <v>44927</v>
      </c>
      <c r="C148" s="7">
        <f t="shared" si="37"/>
        <v>1</v>
      </c>
      <c r="D148" s="7">
        <f t="shared" si="38"/>
        <v>2023</v>
      </c>
      <c r="E148" s="187"/>
      <c r="L148" s="9">
        <v>0.51</v>
      </c>
      <c r="M148" s="9">
        <f t="shared" si="35"/>
        <v>2130.6074000000081</v>
      </c>
      <c r="N148" s="8" t="s">
        <v>69</v>
      </c>
      <c r="P148" t="s">
        <v>14</v>
      </c>
      <c r="Q148" t="s">
        <v>147</v>
      </c>
      <c r="R148" t="s">
        <v>148</v>
      </c>
      <c r="S148" t="s">
        <v>13</v>
      </c>
      <c r="U148" t="s">
        <v>109</v>
      </c>
      <c r="V148" t="s">
        <v>168</v>
      </c>
      <c r="X148" t="s">
        <v>22</v>
      </c>
      <c r="Y148"/>
    </row>
    <row r="149" spans="1:25">
      <c r="A149" s="6">
        <v>44927</v>
      </c>
      <c r="B149" s="6">
        <v>44927</v>
      </c>
      <c r="C149" s="7">
        <f t="shared" si="37"/>
        <v>1</v>
      </c>
      <c r="D149" s="7">
        <f t="shared" si="38"/>
        <v>2023</v>
      </c>
      <c r="E149" s="187"/>
      <c r="L149" s="9">
        <v>-0.04</v>
      </c>
      <c r="M149" s="9">
        <f t="shared" si="35"/>
        <v>2130.5674000000081</v>
      </c>
      <c r="N149" s="8" t="s">
        <v>75</v>
      </c>
      <c r="P149" t="s">
        <v>14</v>
      </c>
      <c r="Q149" t="s">
        <v>147</v>
      </c>
      <c r="R149" t="s">
        <v>149</v>
      </c>
      <c r="S149" t="s">
        <v>196</v>
      </c>
      <c r="U149" t="s">
        <v>197</v>
      </c>
      <c r="V149" t="s">
        <v>231</v>
      </c>
      <c r="X149" t="s">
        <v>29</v>
      </c>
      <c r="Y149"/>
    </row>
    <row r="150" spans="1:25">
      <c r="A150" s="6">
        <v>44927</v>
      </c>
      <c r="B150" s="6">
        <v>44927</v>
      </c>
      <c r="C150" s="7">
        <f t="shared" si="37"/>
        <v>1</v>
      </c>
      <c r="D150" s="7">
        <f t="shared" si="38"/>
        <v>2023</v>
      </c>
      <c r="E150" s="187"/>
      <c r="L150" s="9">
        <v>0.04</v>
      </c>
      <c r="M150" s="9">
        <f t="shared" si="35"/>
        <v>2130.6074000000081</v>
      </c>
      <c r="N150" s="8" t="s">
        <v>75</v>
      </c>
      <c r="P150" t="s">
        <v>14</v>
      </c>
      <c r="Q150" t="s">
        <v>147</v>
      </c>
      <c r="R150" t="s">
        <v>148</v>
      </c>
      <c r="S150" t="s">
        <v>13</v>
      </c>
      <c r="U150" t="s">
        <v>109</v>
      </c>
      <c r="V150" t="s">
        <v>169</v>
      </c>
      <c r="X150" t="s">
        <v>29</v>
      </c>
      <c r="Y150"/>
    </row>
    <row r="151" spans="1:25">
      <c r="A151" s="6">
        <v>44927</v>
      </c>
      <c r="B151" s="6">
        <v>44927</v>
      </c>
      <c r="C151" s="7">
        <f t="shared" si="37"/>
        <v>1</v>
      </c>
      <c r="D151" s="7">
        <f t="shared" si="38"/>
        <v>2023</v>
      </c>
      <c r="E151" s="187"/>
      <c r="L151" s="9">
        <v>-0.04</v>
      </c>
      <c r="M151" s="9">
        <f t="shared" si="35"/>
        <v>2130.5674000000081</v>
      </c>
      <c r="N151" s="8" t="s">
        <v>74</v>
      </c>
      <c r="P151" t="s">
        <v>14</v>
      </c>
      <c r="Q151" t="s">
        <v>147</v>
      </c>
      <c r="R151" t="s">
        <v>149</v>
      </c>
      <c r="S151" t="s">
        <v>196</v>
      </c>
      <c r="U151" t="s">
        <v>197</v>
      </c>
      <c r="V151" t="s">
        <v>223</v>
      </c>
      <c r="X151" t="s">
        <v>77</v>
      </c>
      <c r="Y151"/>
    </row>
    <row r="152" spans="1:25">
      <c r="A152" s="6">
        <v>44927</v>
      </c>
      <c r="B152" s="6">
        <v>44927</v>
      </c>
      <c r="C152" s="7">
        <f t="shared" si="37"/>
        <v>1</v>
      </c>
      <c r="D152" s="7">
        <f t="shared" si="38"/>
        <v>2023</v>
      </c>
      <c r="E152" s="187"/>
      <c r="L152" s="9">
        <v>0.04</v>
      </c>
      <c r="M152" s="9">
        <f t="shared" si="35"/>
        <v>2130.6074000000081</v>
      </c>
      <c r="N152" s="8" t="s">
        <v>74</v>
      </c>
      <c r="P152" t="s">
        <v>14</v>
      </c>
      <c r="Q152" t="s">
        <v>147</v>
      </c>
      <c r="R152" t="s">
        <v>148</v>
      </c>
      <c r="S152" t="s">
        <v>13</v>
      </c>
      <c r="U152" t="s">
        <v>109</v>
      </c>
      <c r="V152" t="s">
        <v>171</v>
      </c>
      <c r="X152" t="s">
        <v>77</v>
      </c>
      <c r="Y152"/>
    </row>
    <row r="153" spans="1:25">
      <c r="A153" s="6">
        <v>44928</v>
      </c>
      <c r="B153" s="6">
        <v>44928</v>
      </c>
      <c r="C153" s="7">
        <f t="shared" si="19"/>
        <v>1</v>
      </c>
      <c r="D153" s="7">
        <f t="shared" si="20"/>
        <v>2023</v>
      </c>
      <c r="E153" s="187"/>
      <c r="L153" s="9">
        <v>-19.899999999999999</v>
      </c>
      <c r="M153" s="9">
        <f t="shared" si="35"/>
        <v>2110.707400000008</v>
      </c>
      <c r="P153" t="s">
        <v>33</v>
      </c>
      <c r="Q153" t="s">
        <v>34</v>
      </c>
      <c r="S153" t="s">
        <v>145</v>
      </c>
      <c r="U153" t="s">
        <v>32</v>
      </c>
      <c r="V153" t="s">
        <v>83</v>
      </c>
      <c r="W153" s="10" t="s">
        <v>35</v>
      </c>
      <c r="X153" t="s">
        <v>35</v>
      </c>
      <c r="Y153"/>
    </row>
    <row r="154" spans="1:25">
      <c r="A154" s="6">
        <v>44958</v>
      </c>
      <c r="B154" s="6">
        <v>44958</v>
      </c>
      <c r="C154" s="7">
        <f t="shared" si="19"/>
        <v>2</v>
      </c>
      <c r="D154" s="7">
        <f t="shared" si="20"/>
        <v>2023</v>
      </c>
      <c r="E154" s="187"/>
      <c r="L154" s="9">
        <v>-19.899999999999999</v>
      </c>
      <c r="M154" s="9">
        <f t="shared" si="35"/>
        <v>2090.8074000000079</v>
      </c>
      <c r="P154" t="s">
        <v>33</v>
      </c>
      <c r="Q154" t="s">
        <v>34</v>
      </c>
      <c r="S154" t="s">
        <v>145</v>
      </c>
      <c r="U154" t="s">
        <v>32</v>
      </c>
      <c r="V154" t="s">
        <v>83</v>
      </c>
      <c r="W154" s="10" t="s">
        <v>35</v>
      </c>
      <c r="X154" t="s">
        <v>35</v>
      </c>
      <c r="Y154"/>
    </row>
    <row r="155" spans="1:25">
      <c r="A155" s="6">
        <v>44986</v>
      </c>
      <c r="B155" s="6">
        <v>44986</v>
      </c>
      <c r="C155" s="7">
        <f t="shared" si="19"/>
        <v>3</v>
      </c>
      <c r="D155" s="7">
        <f t="shared" si="20"/>
        <v>2023</v>
      </c>
      <c r="E155" s="187"/>
      <c r="L155" s="9">
        <v>-19.899999999999999</v>
      </c>
      <c r="M155" s="9">
        <f t="shared" si="35"/>
        <v>2070.9074000000078</v>
      </c>
      <c r="P155" t="s">
        <v>33</v>
      </c>
      <c r="Q155" t="s">
        <v>34</v>
      </c>
      <c r="S155" t="s">
        <v>145</v>
      </c>
      <c r="U155" t="s">
        <v>32</v>
      </c>
      <c r="V155" t="s">
        <v>83</v>
      </c>
      <c r="W155" s="10" t="s">
        <v>35</v>
      </c>
      <c r="X155" t="s">
        <v>35</v>
      </c>
      <c r="Y155"/>
    </row>
    <row r="156" spans="1:25">
      <c r="A156" s="6">
        <v>45016</v>
      </c>
      <c r="B156" s="6">
        <v>45016</v>
      </c>
      <c r="C156" s="7">
        <f t="shared" si="19"/>
        <v>3</v>
      </c>
      <c r="D156" s="7">
        <f t="shared" si="20"/>
        <v>2023</v>
      </c>
      <c r="E156" s="187"/>
      <c r="L156" s="9">
        <v>-40</v>
      </c>
      <c r="M156" s="9">
        <f t="shared" si="35"/>
        <v>2030.9074000000078</v>
      </c>
      <c r="P156" t="s">
        <v>33</v>
      </c>
      <c r="Q156" t="s">
        <v>34</v>
      </c>
      <c r="S156" t="s">
        <v>145</v>
      </c>
      <c r="U156" t="s">
        <v>32</v>
      </c>
      <c r="V156" t="s">
        <v>83</v>
      </c>
      <c r="W156" s="10" t="s">
        <v>35</v>
      </c>
      <c r="X156" t="s">
        <v>35</v>
      </c>
      <c r="Y156"/>
    </row>
    <row r="157" spans="1:25">
      <c r="A157" s="6">
        <v>45017</v>
      </c>
      <c r="B157" s="6">
        <v>45017</v>
      </c>
      <c r="C157" s="7">
        <f t="shared" si="19"/>
        <v>4</v>
      </c>
      <c r="D157" s="7">
        <f t="shared" si="20"/>
        <v>2023</v>
      </c>
      <c r="E157" s="187"/>
      <c r="L157" s="9">
        <v>-19.899999999999999</v>
      </c>
      <c r="M157" s="9">
        <f t="shared" si="35"/>
        <v>2011.0074000000077</v>
      </c>
      <c r="P157" t="s">
        <v>33</v>
      </c>
      <c r="Q157" t="s">
        <v>34</v>
      </c>
      <c r="S157" t="s">
        <v>145</v>
      </c>
      <c r="U157" t="s">
        <v>32</v>
      </c>
      <c r="V157" t="s">
        <v>83</v>
      </c>
      <c r="W157" s="10" t="s">
        <v>35</v>
      </c>
      <c r="X157" t="s">
        <v>35</v>
      </c>
      <c r="Y157"/>
    </row>
    <row r="158" spans="1:25">
      <c r="A158" s="6">
        <v>45047</v>
      </c>
      <c r="B158" s="6">
        <v>45047</v>
      </c>
      <c r="C158" s="7">
        <f t="shared" si="19"/>
        <v>5</v>
      </c>
      <c r="D158" s="7">
        <f t="shared" si="20"/>
        <v>2023</v>
      </c>
      <c r="E158" s="187"/>
      <c r="L158" s="9">
        <v>-19.899999999999999</v>
      </c>
      <c r="M158" s="9">
        <f t="shared" si="35"/>
        <v>1991.1074000000076</v>
      </c>
      <c r="P158" t="s">
        <v>33</v>
      </c>
      <c r="Q158" t="s">
        <v>34</v>
      </c>
      <c r="S158" t="s">
        <v>145</v>
      </c>
      <c r="U158" t="s">
        <v>32</v>
      </c>
      <c r="V158" t="s">
        <v>83</v>
      </c>
      <c r="W158" s="10" t="s">
        <v>35</v>
      </c>
      <c r="X158" t="s">
        <v>35</v>
      </c>
      <c r="Y158"/>
    </row>
    <row r="159" spans="1:25">
      <c r="A159" s="6">
        <v>45078</v>
      </c>
      <c r="B159" s="6">
        <v>45078</v>
      </c>
      <c r="C159" s="7">
        <f t="shared" si="19"/>
        <v>6</v>
      </c>
      <c r="D159" s="7">
        <f t="shared" si="20"/>
        <v>2023</v>
      </c>
      <c r="E159" s="187"/>
      <c r="L159" s="9">
        <v>-19.899999999999999</v>
      </c>
      <c r="M159" s="9">
        <f t="shared" si="35"/>
        <v>1971.2074000000075</v>
      </c>
      <c r="P159" t="s">
        <v>33</v>
      </c>
      <c r="Q159" t="s">
        <v>34</v>
      </c>
      <c r="S159" t="s">
        <v>145</v>
      </c>
      <c r="U159" t="s">
        <v>32</v>
      </c>
      <c r="V159" t="s">
        <v>83</v>
      </c>
      <c r="W159" s="10" t="s">
        <v>35</v>
      </c>
      <c r="X159" t="s">
        <v>35</v>
      </c>
      <c r="Y159"/>
    </row>
    <row r="160" spans="1:25">
      <c r="A160" s="6">
        <v>45086</v>
      </c>
      <c r="B160" s="6">
        <v>45086</v>
      </c>
      <c r="C160" s="7">
        <f t="shared" si="19"/>
        <v>6</v>
      </c>
      <c r="D160" s="7">
        <f t="shared" si="20"/>
        <v>2023</v>
      </c>
      <c r="E160" s="187"/>
      <c r="L160" s="71">
        <v>12000</v>
      </c>
      <c r="M160" s="9">
        <f t="shared" si="35"/>
        <v>13971.207400000007</v>
      </c>
      <c r="P160" t="s">
        <v>14</v>
      </c>
      <c r="Q160" t="s">
        <v>147</v>
      </c>
      <c r="R160" t="s">
        <v>148</v>
      </c>
      <c r="S160" t="s">
        <v>170</v>
      </c>
      <c r="U160" t="s">
        <v>109</v>
      </c>
      <c r="V160" t="s">
        <v>170</v>
      </c>
      <c r="W160" s="10" t="s">
        <v>35</v>
      </c>
      <c r="X160" t="s">
        <v>17</v>
      </c>
      <c r="Y160"/>
    </row>
    <row r="161" spans="1:26">
      <c r="A161" s="6">
        <v>45086</v>
      </c>
      <c r="B161" s="6">
        <v>45086</v>
      </c>
      <c r="C161" s="7">
        <f t="shared" si="19"/>
        <v>6</v>
      </c>
      <c r="D161" s="7">
        <f t="shared" si="20"/>
        <v>2023</v>
      </c>
      <c r="E161" s="187"/>
      <c r="L161" s="9">
        <v>-133.75</v>
      </c>
      <c r="M161" s="9">
        <f t="shared" si="35"/>
        <v>13837.457400000007</v>
      </c>
      <c r="P161" t="s">
        <v>33</v>
      </c>
      <c r="Q161" t="s">
        <v>34</v>
      </c>
      <c r="R161" t="s">
        <v>205</v>
      </c>
      <c r="S161" t="s">
        <v>144</v>
      </c>
      <c r="T161" t="s">
        <v>205</v>
      </c>
      <c r="U161" t="s">
        <v>152</v>
      </c>
      <c r="V161" t="s">
        <v>102</v>
      </c>
      <c r="W161" s="10" t="s">
        <v>35</v>
      </c>
      <c r="X161" t="s">
        <v>35</v>
      </c>
      <c r="Y161" s="10">
        <v>2023</v>
      </c>
    </row>
    <row r="162" spans="1:26">
      <c r="A162" s="6">
        <v>45086</v>
      </c>
      <c r="B162" s="6">
        <v>45086</v>
      </c>
      <c r="C162" s="7">
        <f t="shared" si="19"/>
        <v>6</v>
      </c>
      <c r="D162" s="7">
        <f t="shared" si="20"/>
        <v>2023</v>
      </c>
      <c r="E162" s="187"/>
      <c r="L162" s="9">
        <v>-133.75</v>
      </c>
      <c r="M162" s="9">
        <f t="shared" si="35"/>
        <v>13703.707400000007</v>
      </c>
      <c r="P162" t="s">
        <v>33</v>
      </c>
      <c r="Q162" t="s">
        <v>34</v>
      </c>
      <c r="R162" t="s">
        <v>205</v>
      </c>
      <c r="S162" t="s">
        <v>144</v>
      </c>
      <c r="T162" t="s">
        <v>205</v>
      </c>
      <c r="U162" t="s">
        <v>152</v>
      </c>
      <c r="V162" t="s">
        <v>102</v>
      </c>
      <c r="W162" s="10" t="s">
        <v>35</v>
      </c>
      <c r="X162" t="s">
        <v>35</v>
      </c>
      <c r="Y162" s="10">
        <v>2023</v>
      </c>
    </row>
    <row r="163" spans="1:26">
      <c r="A163" s="6">
        <v>45089</v>
      </c>
      <c r="B163" s="6">
        <v>45089</v>
      </c>
      <c r="C163" s="7">
        <f t="shared" si="19"/>
        <v>6</v>
      </c>
      <c r="D163" s="7">
        <f t="shared" si="20"/>
        <v>2023</v>
      </c>
      <c r="E163" s="187"/>
      <c r="L163" s="9">
        <v>-4280.01</v>
      </c>
      <c r="M163" s="9">
        <f t="shared" si="35"/>
        <v>9423.6974000000064</v>
      </c>
      <c r="P163" t="s">
        <v>33</v>
      </c>
      <c r="Q163" t="s">
        <v>34</v>
      </c>
      <c r="R163" t="s">
        <v>205</v>
      </c>
      <c r="S163" t="s">
        <v>144</v>
      </c>
      <c r="T163" t="s">
        <v>205</v>
      </c>
      <c r="U163" t="s">
        <v>151</v>
      </c>
      <c r="V163" t="s">
        <v>102</v>
      </c>
      <c r="W163" s="10" t="s">
        <v>35</v>
      </c>
      <c r="X163" t="s">
        <v>35</v>
      </c>
      <c r="Y163" s="10">
        <v>2022</v>
      </c>
    </row>
    <row r="164" spans="1:26">
      <c r="A164" s="6">
        <v>45089</v>
      </c>
      <c r="B164" s="6">
        <v>45089</v>
      </c>
      <c r="C164" s="7">
        <f t="shared" si="19"/>
        <v>6</v>
      </c>
      <c r="D164" s="7">
        <f t="shared" si="20"/>
        <v>2023</v>
      </c>
      <c r="E164" s="187"/>
      <c r="H164" s="7" t="s">
        <v>121</v>
      </c>
      <c r="I164" s="9">
        <v>-1500</v>
      </c>
      <c r="J164" s="59">
        <v>0.16</v>
      </c>
      <c r="K164" s="9">
        <f>I164*J164</f>
        <v>-240</v>
      </c>
      <c r="L164" s="9">
        <f>I164+K164</f>
        <v>-1740</v>
      </c>
      <c r="M164" s="9">
        <f t="shared" si="35"/>
        <v>7683.6974000000064</v>
      </c>
      <c r="P164" t="s">
        <v>33</v>
      </c>
      <c r="Q164" t="s">
        <v>34</v>
      </c>
      <c r="S164" t="s">
        <v>138</v>
      </c>
      <c r="U164" t="s">
        <v>132</v>
      </c>
      <c r="V164" t="s">
        <v>154</v>
      </c>
      <c r="W164" s="10" t="s">
        <v>35</v>
      </c>
      <c r="X164" t="s">
        <v>35</v>
      </c>
      <c r="Y164"/>
      <c r="Z164" s="10" t="s">
        <v>104</v>
      </c>
    </row>
    <row r="165" spans="1:26">
      <c r="A165" s="6">
        <v>45089</v>
      </c>
      <c r="B165" s="6">
        <v>45089</v>
      </c>
      <c r="C165" s="7">
        <f t="shared" si="19"/>
        <v>6</v>
      </c>
      <c r="D165" s="7">
        <f t="shared" si="20"/>
        <v>2023</v>
      </c>
      <c r="E165" s="187"/>
      <c r="H165" s="7" t="s">
        <v>121</v>
      </c>
      <c r="I165" s="9">
        <v>-4000</v>
      </c>
      <c r="J165" s="59">
        <v>0.16</v>
      </c>
      <c r="K165" s="9">
        <f>I165*J165</f>
        <v>-640</v>
      </c>
      <c r="L165" s="9">
        <f>I165+K165</f>
        <v>-4640</v>
      </c>
      <c r="M165" s="9">
        <f t="shared" si="35"/>
        <v>3043.6974000000064</v>
      </c>
      <c r="P165" t="s">
        <v>33</v>
      </c>
      <c r="Q165" t="s">
        <v>34</v>
      </c>
      <c r="S165" t="s">
        <v>138</v>
      </c>
      <c r="U165" t="s">
        <v>133</v>
      </c>
      <c r="V165" t="s">
        <v>154</v>
      </c>
      <c r="W165" s="10" t="s">
        <v>35</v>
      </c>
      <c r="X165" t="s">
        <v>35</v>
      </c>
      <c r="Y165"/>
      <c r="Z165" s="10" t="s">
        <v>104</v>
      </c>
    </row>
    <row r="166" spans="1:26">
      <c r="A166" s="6">
        <v>45090</v>
      </c>
      <c r="B166" s="6">
        <v>45090</v>
      </c>
      <c r="C166" s="7">
        <f t="shared" si="19"/>
        <v>6</v>
      </c>
      <c r="D166" s="7">
        <f t="shared" si="20"/>
        <v>2023</v>
      </c>
      <c r="E166" s="187"/>
      <c r="L166" s="71">
        <v>5000</v>
      </c>
      <c r="M166" s="9">
        <f t="shared" si="35"/>
        <v>8043.6974000000064</v>
      </c>
      <c r="P166" t="s">
        <v>14</v>
      </c>
      <c r="Q166" t="s">
        <v>147</v>
      </c>
      <c r="R166" t="s">
        <v>148</v>
      </c>
      <c r="S166" t="s">
        <v>170</v>
      </c>
      <c r="U166" t="s">
        <v>109</v>
      </c>
      <c r="V166" t="s">
        <v>170</v>
      </c>
      <c r="W166" s="10" t="s">
        <v>35</v>
      </c>
      <c r="X166" t="s">
        <v>17</v>
      </c>
      <c r="Y166"/>
    </row>
    <row r="167" spans="1:26">
      <c r="A167" s="6">
        <v>45091</v>
      </c>
      <c r="B167" s="6">
        <v>45091</v>
      </c>
      <c r="C167" s="7">
        <f t="shared" si="19"/>
        <v>6</v>
      </c>
      <c r="D167" s="7">
        <f t="shared" si="20"/>
        <v>2023</v>
      </c>
      <c r="E167" s="187"/>
      <c r="L167" s="71">
        <v>-2863.55</v>
      </c>
      <c r="M167" s="9">
        <f t="shared" si="35"/>
        <v>5180.1474000000062</v>
      </c>
      <c r="P167" t="s">
        <v>14</v>
      </c>
      <c r="Q167" t="s">
        <v>147</v>
      </c>
      <c r="R167" t="s">
        <v>148</v>
      </c>
      <c r="S167" t="s">
        <v>170</v>
      </c>
      <c r="U167" t="s">
        <v>109</v>
      </c>
      <c r="V167" t="s">
        <v>170</v>
      </c>
      <c r="W167" s="10" t="s">
        <v>35</v>
      </c>
      <c r="X167" t="s">
        <v>17</v>
      </c>
      <c r="Y167"/>
    </row>
    <row r="168" spans="1:26">
      <c r="A168" s="6">
        <v>45091</v>
      </c>
      <c r="B168" s="6">
        <v>45091</v>
      </c>
      <c r="C168" s="7">
        <f t="shared" si="19"/>
        <v>6</v>
      </c>
      <c r="D168" s="7">
        <f t="shared" si="20"/>
        <v>2023</v>
      </c>
      <c r="E168" s="187"/>
      <c r="L168" s="71">
        <v>-2009.03</v>
      </c>
      <c r="M168" s="9">
        <f t="shared" si="35"/>
        <v>3171.1174000000065</v>
      </c>
      <c r="P168" t="s">
        <v>14</v>
      </c>
      <c r="Q168" t="s">
        <v>147</v>
      </c>
      <c r="R168" t="s">
        <v>148</v>
      </c>
      <c r="S168" t="s">
        <v>170</v>
      </c>
      <c r="U168" t="s">
        <v>109</v>
      </c>
      <c r="V168" t="s">
        <v>170</v>
      </c>
      <c r="W168" s="10" t="s">
        <v>35</v>
      </c>
      <c r="X168" t="s">
        <v>17</v>
      </c>
      <c r="Y168"/>
    </row>
    <row r="169" spans="1:26">
      <c r="A169" s="6">
        <v>45091</v>
      </c>
      <c r="B169" s="6">
        <v>45091</v>
      </c>
      <c r="C169" s="7">
        <f t="shared" ref="C169:C170" si="39">IF(B169="","",MONTH(B169))</f>
        <v>6</v>
      </c>
      <c r="D169" s="7">
        <f t="shared" ref="D169:D170" si="40">IF(B169="","",YEAR(B169))</f>
        <v>2023</v>
      </c>
      <c r="E169" s="187"/>
      <c r="L169" s="71">
        <v>2863.55</v>
      </c>
      <c r="M169" s="9">
        <f t="shared" si="35"/>
        <v>6034.6674000000066</v>
      </c>
      <c r="P169" t="s">
        <v>14</v>
      </c>
      <c r="Q169" t="s">
        <v>147</v>
      </c>
      <c r="R169" t="s">
        <v>148</v>
      </c>
      <c r="S169" t="s">
        <v>170</v>
      </c>
      <c r="U169" t="s">
        <v>109</v>
      </c>
      <c r="V169" t="s">
        <v>170</v>
      </c>
      <c r="X169" t="s">
        <v>17</v>
      </c>
    </row>
    <row r="170" spans="1:26">
      <c r="A170" s="6">
        <v>45091</v>
      </c>
      <c r="B170" s="6">
        <v>45091</v>
      </c>
      <c r="C170" s="7">
        <f t="shared" si="39"/>
        <v>6</v>
      </c>
      <c r="D170" s="7">
        <f t="shared" si="40"/>
        <v>2023</v>
      </c>
      <c r="E170" s="187"/>
      <c r="L170" s="9">
        <f>-L169</f>
        <v>-2863.55</v>
      </c>
      <c r="M170" s="9">
        <f t="shared" si="35"/>
        <v>3171.1174000000065</v>
      </c>
      <c r="P170" t="s">
        <v>14</v>
      </c>
      <c r="Q170" t="s">
        <v>147</v>
      </c>
      <c r="R170" t="s">
        <v>148</v>
      </c>
      <c r="S170" t="s">
        <v>54</v>
      </c>
      <c r="U170" t="s">
        <v>179</v>
      </c>
      <c r="V170" t="s">
        <v>79</v>
      </c>
      <c r="X170" t="s">
        <v>79</v>
      </c>
    </row>
    <row r="171" spans="1:26">
      <c r="A171" s="6">
        <v>45107</v>
      </c>
      <c r="B171" s="6">
        <v>45107</v>
      </c>
      <c r="C171" s="7">
        <f t="shared" ref="C171" si="41">IF(B171="","",MONTH(B171))</f>
        <v>6</v>
      </c>
      <c r="D171" s="7">
        <f t="shared" ref="D171" si="42">IF(B171="","",YEAR(B171))</f>
        <v>2023</v>
      </c>
      <c r="E171" s="187"/>
      <c r="L171" s="9">
        <v>-1.2</v>
      </c>
      <c r="M171" s="9">
        <f t="shared" si="35"/>
        <v>3169.9174000000066</v>
      </c>
      <c r="P171" t="s">
        <v>33</v>
      </c>
      <c r="Q171" t="s">
        <v>34</v>
      </c>
      <c r="S171" t="s">
        <v>145</v>
      </c>
      <c r="U171" t="s">
        <v>32</v>
      </c>
      <c r="V171" t="s">
        <v>83</v>
      </c>
      <c r="W171" s="10" t="s">
        <v>35</v>
      </c>
      <c r="X171" t="s">
        <v>35</v>
      </c>
      <c r="Y171"/>
    </row>
    <row r="172" spans="1:26">
      <c r="A172" s="6">
        <v>45107</v>
      </c>
      <c r="B172" s="6">
        <v>45107</v>
      </c>
      <c r="C172" s="7">
        <f t="shared" ref="C172" si="43">IF(B172="","",MONTH(B172))</f>
        <v>6</v>
      </c>
      <c r="D172" s="7">
        <f t="shared" ref="D172" si="44">IF(B172="","",YEAR(B172))</f>
        <v>2023</v>
      </c>
      <c r="E172" s="187"/>
      <c r="L172" s="9">
        <v>-51.56</v>
      </c>
      <c r="M172" s="9">
        <f t="shared" si="35"/>
        <v>3118.3574000000067</v>
      </c>
      <c r="P172" t="s">
        <v>33</v>
      </c>
      <c r="Q172" t="s">
        <v>34</v>
      </c>
      <c r="S172" t="s">
        <v>145</v>
      </c>
      <c r="U172" t="s">
        <v>32</v>
      </c>
      <c r="V172" t="s">
        <v>83</v>
      </c>
      <c r="W172" s="10" t="s">
        <v>35</v>
      </c>
      <c r="X172" t="s">
        <v>35</v>
      </c>
      <c r="Y172"/>
    </row>
    <row r="173" spans="1:26">
      <c r="A173" s="6">
        <v>45108</v>
      </c>
      <c r="B173" s="6">
        <v>45108</v>
      </c>
      <c r="C173" s="7">
        <f t="shared" ref="C173" si="45">IF(B173="","",MONTH(B173))</f>
        <v>7</v>
      </c>
      <c r="D173" s="7">
        <f t="shared" ref="D173" si="46">IF(B173="","",YEAR(B173))</f>
        <v>2023</v>
      </c>
      <c r="E173" s="187"/>
      <c r="L173" s="9">
        <v>-19.899999999999999</v>
      </c>
      <c r="M173" s="9">
        <f t="shared" si="35"/>
        <v>3098.4574000000066</v>
      </c>
      <c r="P173" t="s">
        <v>33</v>
      </c>
      <c r="Q173" t="s">
        <v>34</v>
      </c>
      <c r="S173" t="s">
        <v>145</v>
      </c>
      <c r="U173" t="s">
        <v>32</v>
      </c>
      <c r="V173" t="s">
        <v>83</v>
      </c>
      <c r="W173" s="10" t="s">
        <v>35</v>
      </c>
      <c r="X173" t="s">
        <v>35</v>
      </c>
      <c r="Y173"/>
    </row>
    <row r="174" spans="1:26">
      <c r="A174" s="6">
        <v>45139</v>
      </c>
      <c r="B174" s="6">
        <v>45139</v>
      </c>
      <c r="C174" s="7">
        <f t="shared" ref="C174:C175" si="47">IF(B174="","",MONTH(B174))</f>
        <v>8</v>
      </c>
      <c r="D174" s="7">
        <f t="shared" ref="D174:D175" si="48">IF(B174="","",YEAR(B174))</f>
        <v>2023</v>
      </c>
      <c r="E174" s="187"/>
      <c r="L174" s="9">
        <v>-19.899999999999999</v>
      </c>
      <c r="M174" s="9">
        <f t="shared" si="35"/>
        <v>3078.5574000000065</v>
      </c>
      <c r="P174" t="s">
        <v>33</v>
      </c>
      <c r="Q174" t="s">
        <v>34</v>
      </c>
      <c r="S174" t="s">
        <v>145</v>
      </c>
      <c r="U174" t="s">
        <v>32</v>
      </c>
      <c r="V174" t="s">
        <v>83</v>
      </c>
      <c r="W174" s="10" t="s">
        <v>35</v>
      </c>
      <c r="X174" t="s">
        <v>35</v>
      </c>
      <c r="Y174"/>
    </row>
    <row r="175" spans="1:26">
      <c r="A175" s="6">
        <v>45142</v>
      </c>
      <c r="B175" s="6">
        <v>45142</v>
      </c>
      <c r="C175" s="7">
        <f t="shared" si="47"/>
        <v>8</v>
      </c>
      <c r="D175" s="7">
        <f t="shared" si="48"/>
        <v>2023</v>
      </c>
      <c r="E175" s="187"/>
      <c r="L175" s="9">
        <v>-350</v>
      </c>
      <c r="M175" s="9">
        <f t="shared" si="35"/>
        <v>2728.5574000000065</v>
      </c>
      <c r="P175" t="s">
        <v>33</v>
      </c>
      <c r="Q175" t="s">
        <v>34</v>
      </c>
      <c r="S175" t="s">
        <v>143</v>
      </c>
      <c r="U175" t="s">
        <v>127</v>
      </c>
      <c r="V175" t="s">
        <v>126</v>
      </c>
      <c r="W175" s="10" t="s">
        <v>35</v>
      </c>
      <c r="X175" t="s">
        <v>35</v>
      </c>
      <c r="Y175"/>
    </row>
    <row r="176" spans="1:26">
      <c r="A176" s="6">
        <v>45170</v>
      </c>
      <c r="B176" s="6">
        <v>45170</v>
      </c>
      <c r="C176" s="7">
        <f t="shared" ref="C176" si="49">IF(B176="","",MONTH(B176))</f>
        <v>9</v>
      </c>
      <c r="D176" s="7">
        <f t="shared" ref="D176" si="50">IF(B176="","",YEAR(B176))</f>
        <v>2023</v>
      </c>
      <c r="E176" s="187"/>
      <c r="L176" s="9">
        <v>-20.100000000000001</v>
      </c>
      <c r="M176" s="9">
        <f t="shared" si="35"/>
        <v>2708.4574000000066</v>
      </c>
      <c r="P176" t="s">
        <v>33</v>
      </c>
      <c r="Q176" t="s">
        <v>34</v>
      </c>
      <c r="S176" t="s">
        <v>145</v>
      </c>
      <c r="U176" t="s">
        <v>32</v>
      </c>
      <c r="V176" t="s">
        <v>83</v>
      </c>
      <c r="W176" s="10" t="s">
        <v>35</v>
      </c>
      <c r="X176" t="s">
        <v>35</v>
      </c>
      <c r="Y176"/>
    </row>
    <row r="177" spans="1:25">
      <c r="A177" s="6">
        <v>45201</v>
      </c>
      <c r="B177" s="6">
        <v>45201</v>
      </c>
      <c r="C177" s="7">
        <f t="shared" ref="C177" si="51">IF(B177="","",MONTH(B177))</f>
        <v>10</v>
      </c>
      <c r="D177" s="7">
        <f t="shared" ref="D177" si="52">IF(B177="","",YEAR(B177))</f>
        <v>2023</v>
      </c>
      <c r="E177" s="187"/>
      <c r="L177" s="9">
        <v>-19.899999999999999</v>
      </c>
      <c r="M177" s="9">
        <f t="shared" si="35"/>
        <v>2688.5574000000065</v>
      </c>
      <c r="P177" t="s">
        <v>33</v>
      </c>
      <c r="Q177" t="s">
        <v>34</v>
      </c>
      <c r="S177" t="s">
        <v>145</v>
      </c>
      <c r="U177" t="s">
        <v>32</v>
      </c>
      <c r="V177" t="s">
        <v>83</v>
      </c>
      <c r="W177" s="10" t="s">
        <v>35</v>
      </c>
      <c r="X177" t="s">
        <v>35</v>
      </c>
      <c r="Y177"/>
    </row>
    <row r="178" spans="1:25">
      <c r="A178" s="6">
        <v>45202</v>
      </c>
      <c r="B178" s="6">
        <v>45202</v>
      </c>
      <c r="C178" s="7">
        <f t="shared" ref="C178:C181" si="53">IF(B178="","",MONTH(B178))</f>
        <v>10</v>
      </c>
      <c r="D178" s="7">
        <f t="shared" ref="D178:D181" si="54">IF(B178="","",YEAR(B178))</f>
        <v>2023</v>
      </c>
      <c r="E178" s="187"/>
      <c r="L178" s="9">
        <v>-40</v>
      </c>
      <c r="M178" s="9">
        <f t="shared" si="35"/>
        <v>2648.5574000000065</v>
      </c>
      <c r="P178" t="s">
        <v>33</v>
      </c>
      <c r="Q178" t="s">
        <v>34</v>
      </c>
      <c r="S178" t="s">
        <v>145</v>
      </c>
      <c r="U178" t="s">
        <v>32</v>
      </c>
      <c r="V178" t="s">
        <v>83</v>
      </c>
      <c r="W178" s="10" t="s">
        <v>35</v>
      </c>
      <c r="X178" t="s">
        <v>35</v>
      </c>
      <c r="Y178"/>
    </row>
    <row r="179" spans="1:25">
      <c r="A179" s="6">
        <v>45223</v>
      </c>
      <c r="B179" s="6">
        <v>45223</v>
      </c>
      <c r="C179" s="7">
        <f t="shared" si="53"/>
        <v>10</v>
      </c>
      <c r="D179" s="7">
        <f t="shared" si="54"/>
        <v>2023</v>
      </c>
      <c r="E179" s="187"/>
      <c r="L179" s="71">
        <v>5000</v>
      </c>
      <c r="M179" s="9">
        <f t="shared" si="35"/>
        <v>7648.557400000007</v>
      </c>
      <c r="P179" t="s">
        <v>14</v>
      </c>
      <c r="Q179" t="s">
        <v>147</v>
      </c>
      <c r="R179" t="s">
        <v>148</v>
      </c>
      <c r="S179" t="s">
        <v>170</v>
      </c>
      <c r="U179" t="s">
        <v>109</v>
      </c>
      <c r="V179" t="s">
        <v>170</v>
      </c>
      <c r="W179" s="10" t="s">
        <v>35</v>
      </c>
      <c r="X179" t="s">
        <v>17</v>
      </c>
      <c r="Y179"/>
    </row>
    <row r="180" spans="1:25">
      <c r="A180" s="6">
        <v>45224</v>
      </c>
      <c r="B180" s="6">
        <v>45224</v>
      </c>
      <c r="C180" s="7">
        <f t="shared" si="53"/>
        <v>10</v>
      </c>
      <c r="D180" s="7">
        <f t="shared" si="54"/>
        <v>2023</v>
      </c>
      <c r="E180" s="187"/>
      <c r="L180" s="9">
        <v>-2273.75</v>
      </c>
      <c r="M180" s="9">
        <f t="shared" si="35"/>
        <v>5374.807400000007</v>
      </c>
      <c r="P180" t="s">
        <v>33</v>
      </c>
      <c r="Q180" t="s">
        <v>34</v>
      </c>
      <c r="R180" t="s">
        <v>205</v>
      </c>
      <c r="S180" t="s">
        <v>144</v>
      </c>
      <c r="T180" t="s">
        <v>205</v>
      </c>
      <c r="U180" t="s">
        <v>152</v>
      </c>
      <c r="V180" t="s">
        <v>102</v>
      </c>
      <c r="W180" s="10" t="s">
        <v>35</v>
      </c>
      <c r="X180" t="s">
        <v>35</v>
      </c>
      <c r="Y180" s="10">
        <v>2023</v>
      </c>
    </row>
    <row r="181" spans="1:25">
      <c r="A181" s="6">
        <v>45224</v>
      </c>
      <c r="B181" s="6">
        <v>45224</v>
      </c>
      <c r="C181" s="7">
        <f t="shared" si="53"/>
        <v>10</v>
      </c>
      <c r="D181" s="7">
        <f t="shared" si="54"/>
        <v>2023</v>
      </c>
      <c r="E181" s="187"/>
      <c r="L181" s="9">
        <v>-2273.75</v>
      </c>
      <c r="M181" s="9">
        <f t="shared" si="35"/>
        <v>3101.057400000007</v>
      </c>
      <c r="P181" t="s">
        <v>33</v>
      </c>
      <c r="Q181" t="s">
        <v>34</v>
      </c>
      <c r="R181" t="s">
        <v>205</v>
      </c>
      <c r="S181" t="s">
        <v>144</v>
      </c>
      <c r="T181" t="s">
        <v>205</v>
      </c>
      <c r="U181" t="s">
        <v>152</v>
      </c>
      <c r="V181" t="s">
        <v>102</v>
      </c>
      <c r="W181" s="10" t="s">
        <v>35</v>
      </c>
      <c r="X181" t="s">
        <v>35</v>
      </c>
      <c r="Y181" s="10">
        <v>2023</v>
      </c>
    </row>
    <row r="182" spans="1:25">
      <c r="A182" s="6">
        <v>45231</v>
      </c>
      <c r="B182" s="6">
        <v>45231</v>
      </c>
      <c r="C182" s="7">
        <f t="shared" ref="C182" si="55">IF(B182="","",MONTH(B182))</f>
        <v>11</v>
      </c>
      <c r="D182" s="7">
        <f t="shared" ref="D182" si="56">IF(B182="","",YEAR(B182))</f>
        <v>2023</v>
      </c>
      <c r="E182" s="187"/>
      <c r="L182" s="9">
        <v>-20.3</v>
      </c>
      <c r="M182" s="9">
        <f t="shared" si="35"/>
        <v>3080.7574000000068</v>
      </c>
      <c r="P182" t="s">
        <v>33</v>
      </c>
      <c r="Q182" t="s">
        <v>34</v>
      </c>
      <c r="S182" t="s">
        <v>145</v>
      </c>
      <c r="U182" t="s">
        <v>32</v>
      </c>
      <c r="V182" t="s">
        <v>83</v>
      </c>
      <c r="W182" s="10" t="s">
        <v>35</v>
      </c>
      <c r="X182" t="s">
        <v>35</v>
      </c>
      <c r="Y182"/>
    </row>
    <row r="183" spans="1:25">
      <c r="A183" s="6">
        <v>45240</v>
      </c>
      <c r="B183" s="6">
        <v>45240</v>
      </c>
      <c r="C183" s="7">
        <f t="shared" ref="C183:C185" si="57">IF(B183="","",MONTH(B183))</f>
        <v>11</v>
      </c>
      <c r="D183" s="7">
        <f t="shared" ref="D183:D185" si="58">IF(B183="","",YEAR(B183))</f>
        <v>2023</v>
      </c>
      <c r="E183" s="187"/>
      <c r="L183" s="9">
        <v>-14963.96</v>
      </c>
      <c r="M183" s="9">
        <f t="shared" si="35"/>
        <v>-11883.202599999993</v>
      </c>
      <c r="N183" s="8" t="s">
        <v>73</v>
      </c>
      <c r="P183" t="s">
        <v>14</v>
      </c>
      <c r="Q183" t="s">
        <v>147</v>
      </c>
      <c r="R183" t="s">
        <v>148</v>
      </c>
      <c r="S183" t="s">
        <v>13</v>
      </c>
      <c r="U183" t="s">
        <v>109</v>
      </c>
      <c r="V183" t="s">
        <v>159</v>
      </c>
      <c r="X183" t="s">
        <v>16</v>
      </c>
    </row>
    <row r="184" spans="1:25">
      <c r="A184" s="6">
        <v>45240</v>
      </c>
      <c r="B184" s="6">
        <v>45240</v>
      </c>
      <c r="C184" s="7">
        <f t="shared" si="57"/>
        <v>11</v>
      </c>
      <c r="D184" s="7">
        <f t="shared" si="58"/>
        <v>2023</v>
      </c>
      <c r="E184" s="187"/>
      <c r="L184" s="9">
        <v>-57915.15</v>
      </c>
      <c r="M184" s="9">
        <f t="shared" si="35"/>
        <v>-69798.352599999998</v>
      </c>
      <c r="N184" s="8" t="s">
        <v>73</v>
      </c>
      <c r="P184" t="s">
        <v>14</v>
      </c>
      <c r="Q184" t="s">
        <v>147</v>
      </c>
      <c r="R184" t="s">
        <v>148</v>
      </c>
      <c r="S184" t="s">
        <v>13</v>
      </c>
      <c r="U184" t="s">
        <v>109</v>
      </c>
      <c r="V184" t="s">
        <v>160</v>
      </c>
      <c r="X184" t="s">
        <v>28</v>
      </c>
    </row>
    <row r="185" spans="1:25">
      <c r="A185" s="6">
        <v>45240</v>
      </c>
      <c r="B185" s="6">
        <v>45240</v>
      </c>
      <c r="C185" s="7">
        <f t="shared" si="57"/>
        <v>11</v>
      </c>
      <c r="D185" s="7">
        <f t="shared" si="58"/>
        <v>2023</v>
      </c>
      <c r="E185" s="187"/>
      <c r="L185" s="9">
        <v>-57912.15</v>
      </c>
      <c r="M185" s="9">
        <f t="shared" si="35"/>
        <v>-127710.50260000001</v>
      </c>
      <c r="N185" s="8" t="s">
        <v>73</v>
      </c>
      <c r="P185" t="s">
        <v>14</v>
      </c>
      <c r="Q185" t="s">
        <v>147</v>
      </c>
      <c r="R185" t="s">
        <v>148</v>
      </c>
      <c r="S185" t="s">
        <v>13</v>
      </c>
      <c r="U185" t="s">
        <v>109</v>
      </c>
      <c r="V185" t="s">
        <v>161</v>
      </c>
      <c r="X185" t="s">
        <v>27</v>
      </c>
    </row>
    <row r="186" spans="1:25">
      <c r="A186" s="6">
        <v>45240</v>
      </c>
      <c r="B186" s="6">
        <v>45240</v>
      </c>
      <c r="C186" s="7">
        <f t="shared" ref="C186:C188" si="59">IF(B186="","",MONTH(B186))</f>
        <v>11</v>
      </c>
      <c r="D186" s="7">
        <f t="shared" ref="D186:D188" si="60">IF(B186="","",YEAR(B186))</f>
        <v>2023</v>
      </c>
      <c r="E186" s="187"/>
      <c r="L186" s="9">
        <v>14963.96</v>
      </c>
      <c r="M186" s="9">
        <f t="shared" si="35"/>
        <v>-112746.54260000002</v>
      </c>
      <c r="N186" s="8" t="s">
        <v>74</v>
      </c>
      <c r="P186" t="s">
        <v>14</v>
      </c>
      <c r="Q186" t="s">
        <v>147</v>
      </c>
      <c r="R186" t="s">
        <v>148</v>
      </c>
      <c r="S186" t="s">
        <v>13</v>
      </c>
      <c r="U186" t="s">
        <v>109</v>
      </c>
      <c r="V186" t="s">
        <v>172</v>
      </c>
      <c r="X186" t="s">
        <v>16</v>
      </c>
    </row>
    <row r="187" spans="1:25">
      <c r="A187" s="6">
        <v>45240</v>
      </c>
      <c r="B187" s="6">
        <v>45240</v>
      </c>
      <c r="C187" s="7">
        <f t="shared" si="59"/>
        <v>11</v>
      </c>
      <c r="D187" s="7">
        <f t="shared" si="60"/>
        <v>2023</v>
      </c>
      <c r="E187" s="187"/>
      <c r="L187" s="9">
        <v>57915.15</v>
      </c>
      <c r="M187" s="9">
        <f t="shared" si="35"/>
        <v>-54831.392600000014</v>
      </c>
      <c r="N187" s="8" t="s">
        <v>74</v>
      </c>
      <c r="P187" t="s">
        <v>14</v>
      </c>
      <c r="Q187" t="s">
        <v>147</v>
      </c>
      <c r="R187" t="s">
        <v>148</v>
      </c>
      <c r="S187" t="s">
        <v>13</v>
      </c>
      <c r="U187" t="s">
        <v>109</v>
      </c>
      <c r="V187" t="s">
        <v>172</v>
      </c>
      <c r="X187" t="s">
        <v>28</v>
      </c>
    </row>
    <row r="188" spans="1:25">
      <c r="A188" s="6">
        <v>45240</v>
      </c>
      <c r="B188" s="6">
        <v>45240</v>
      </c>
      <c r="C188" s="7">
        <f t="shared" si="59"/>
        <v>11</v>
      </c>
      <c r="D188" s="7">
        <f t="shared" si="60"/>
        <v>2023</v>
      </c>
      <c r="E188" s="187"/>
      <c r="L188" s="9">
        <v>57912.15</v>
      </c>
      <c r="M188" s="9">
        <f t="shared" si="35"/>
        <v>3080.7573999999877</v>
      </c>
      <c r="N188" s="8" t="s">
        <v>74</v>
      </c>
      <c r="P188" t="s">
        <v>14</v>
      </c>
      <c r="Q188" t="s">
        <v>147</v>
      </c>
      <c r="R188" t="s">
        <v>148</v>
      </c>
      <c r="S188" t="s">
        <v>13</v>
      </c>
      <c r="U188" t="s">
        <v>109</v>
      </c>
      <c r="V188" t="s">
        <v>172</v>
      </c>
      <c r="X188" t="s">
        <v>27</v>
      </c>
    </row>
    <row r="189" spans="1:25">
      <c r="A189" s="6">
        <v>45240</v>
      </c>
      <c r="B189" s="6">
        <v>45240</v>
      </c>
      <c r="C189" s="7">
        <f t="shared" ref="C189:C194" si="61">IF(B189="","",MONTH(B189))</f>
        <v>11</v>
      </c>
      <c r="D189" s="7">
        <f t="shared" ref="D189:D194" si="62">IF(B189="","",YEAR(B189))</f>
        <v>2023</v>
      </c>
      <c r="E189" s="187"/>
      <c r="L189" s="9">
        <v>-14963.96</v>
      </c>
      <c r="M189" s="9">
        <f t="shared" si="35"/>
        <v>-11883.202600000011</v>
      </c>
      <c r="N189" s="8" t="s">
        <v>74</v>
      </c>
      <c r="P189" t="s">
        <v>14</v>
      </c>
      <c r="Q189" t="s">
        <v>147</v>
      </c>
      <c r="R189" t="s">
        <v>148</v>
      </c>
      <c r="S189" t="s">
        <v>13</v>
      </c>
      <c r="U189" t="s">
        <v>109</v>
      </c>
      <c r="V189" t="s">
        <v>172</v>
      </c>
      <c r="X189" t="s">
        <v>172</v>
      </c>
    </row>
    <row r="190" spans="1:25">
      <c r="A190" s="6">
        <v>45240</v>
      </c>
      <c r="B190" s="6">
        <v>45240</v>
      </c>
      <c r="C190" s="7">
        <f t="shared" si="61"/>
        <v>11</v>
      </c>
      <c r="D190" s="7">
        <f t="shared" si="62"/>
        <v>2023</v>
      </c>
      <c r="E190" s="187"/>
      <c r="L190" s="9">
        <v>-57914.15</v>
      </c>
      <c r="M190" s="9">
        <f t="shared" si="35"/>
        <v>-69797.352600000013</v>
      </c>
      <c r="N190" s="8" t="s">
        <v>74</v>
      </c>
      <c r="P190" t="s">
        <v>14</v>
      </c>
      <c r="Q190" t="s">
        <v>147</v>
      </c>
      <c r="R190" t="s">
        <v>148</v>
      </c>
      <c r="S190" t="s">
        <v>13</v>
      </c>
      <c r="U190" t="s">
        <v>109</v>
      </c>
      <c r="V190" t="s">
        <v>172</v>
      </c>
      <c r="X190" t="s">
        <v>172</v>
      </c>
    </row>
    <row r="191" spans="1:25">
      <c r="A191" s="6">
        <v>45240</v>
      </c>
      <c r="B191" s="6">
        <v>45240</v>
      </c>
      <c r="C191" s="7">
        <f t="shared" si="61"/>
        <v>11</v>
      </c>
      <c r="D191" s="7">
        <f t="shared" si="62"/>
        <v>2023</v>
      </c>
      <c r="E191" s="187"/>
      <c r="L191" s="9">
        <v>-57914.15</v>
      </c>
      <c r="M191" s="9">
        <f t="shared" si="35"/>
        <v>-127711.50260000001</v>
      </c>
      <c r="N191" s="8" t="s">
        <v>74</v>
      </c>
      <c r="P191" t="s">
        <v>14</v>
      </c>
      <c r="Q191" t="s">
        <v>147</v>
      </c>
      <c r="R191" t="s">
        <v>148</v>
      </c>
      <c r="S191" t="s">
        <v>13</v>
      </c>
      <c r="U191" t="s">
        <v>109</v>
      </c>
      <c r="V191" t="s">
        <v>172</v>
      </c>
      <c r="X191" t="s">
        <v>172</v>
      </c>
    </row>
    <row r="192" spans="1:25">
      <c r="A192" s="6">
        <v>45240</v>
      </c>
      <c r="B192" s="6">
        <v>45240</v>
      </c>
      <c r="C192" s="7">
        <f t="shared" si="61"/>
        <v>11</v>
      </c>
      <c r="D192" s="7">
        <f t="shared" si="62"/>
        <v>2023</v>
      </c>
      <c r="E192" s="187"/>
      <c r="L192" s="9">
        <v>14963.96</v>
      </c>
      <c r="M192" s="9">
        <f t="shared" si="35"/>
        <v>-112747.54260000002</v>
      </c>
      <c r="N192" s="8" t="s">
        <v>74</v>
      </c>
      <c r="P192" t="s">
        <v>14</v>
      </c>
      <c r="Q192" t="s">
        <v>147</v>
      </c>
      <c r="R192" t="s">
        <v>148</v>
      </c>
      <c r="S192" t="s">
        <v>13</v>
      </c>
      <c r="U192" t="s">
        <v>109</v>
      </c>
      <c r="V192" t="s">
        <v>171</v>
      </c>
      <c r="X192" t="s">
        <v>172</v>
      </c>
    </row>
    <row r="193" spans="1:25">
      <c r="A193" s="6">
        <v>45240</v>
      </c>
      <c r="B193" s="6">
        <v>45240</v>
      </c>
      <c r="C193" s="7">
        <f t="shared" si="61"/>
        <v>11</v>
      </c>
      <c r="D193" s="7">
        <f t="shared" si="62"/>
        <v>2023</v>
      </c>
      <c r="E193" s="187"/>
      <c r="L193" s="9">
        <v>57914.15</v>
      </c>
      <c r="M193" s="9">
        <f t="shared" si="35"/>
        <v>-54833.392600000014</v>
      </c>
      <c r="N193" s="8" t="s">
        <v>74</v>
      </c>
      <c r="P193" t="s">
        <v>14</v>
      </c>
      <c r="Q193" t="s">
        <v>147</v>
      </c>
      <c r="R193" t="s">
        <v>148</v>
      </c>
      <c r="S193" t="s">
        <v>13</v>
      </c>
      <c r="U193" t="s">
        <v>109</v>
      </c>
      <c r="V193" t="s">
        <v>171</v>
      </c>
      <c r="X193" t="s">
        <v>172</v>
      </c>
    </row>
    <row r="194" spans="1:25">
      <c r="A194" s="6">
        <v>45240</v>
      </c>
      <c r="B194" s="6">
        <v>45240</v>
      </c>
      <c r="C194" s="7">
        <f t="shared" si="61"/>
        <v>11</v>
      </c>
      <c r="D194" s="7">
        <f t="shared" si="62"/>
        <v>2023</v>
      </c>
      <c r="E194" s="187"/>
      <c r="L194" s="9">
        <v>57914.15</v>
      </c>
      <c r="M194" s="9">
        <f t="shared" si="35"/>
        <v>3080.7573999999877</v>
      </c>
      <c r="N194" s="8" t="s">
        <v>74</v>
      </c>
      <c r="P194" t="s">
        <v>14</v>
      </c>
      <c r="Q194" t="s">
        <v>147</v>
      </c>
      <c r="R194" t="s">
        <v>148</v>
      </c>
      <c r="S194" t="s">
        <v>13</v>
      </c>
      <c r="U194" t="s">
        <v>109</v>
      </c>
      <c r="V194" t="s">
        <v>171</v>
      </c>
      <c r="X194" t="s">
        <v>172</v>
      </c>
    </row>
    <row r="195" spans="1:25">
      <c r="A195" s="6">
        <v>45261</v>
      </c>
      <c r="B195" s="6">
        <v>45261</v>
      </c>
      <c r="C195" s="7">
        <f t="shared" ref="C195:C197" si="63">IF(B195="","",MONTH(B195))</f>
        <v>12</v>
      </c>
      <c r="D195" s="7">
        <f t="shared" ref="D195:D197" si="64">IF(B195="","",YEAR(B195))</f>
        <v>2023</v>
      </c>
      <c r="E195" s="187"/>
      <c r="L195" s="9">
        <v>-19.899999999999999</v>
      </c>
      <c r="M195" s="9">
        <f t="shared" si="35"/>
        <v>3060.8573999999876</v>
      </c>
      <c r="P195" t="s">
        <v>33</v>
      </c>
      <c r="Q195" t="s">
        <v>34</v>
      </c>
      <c r="S195" t="s">
        <v>145</v>
      </c>
      <c r="U195" t="s">
        <v>32</v>
      </c>
      <c r="V195" t="s">
        <v>83</v>
      </c>
      <c r="W195" s="10" t="s">
        <v>35</v>
      </c>
      <c r="X195" t="s">
        <v>35</v>
      </c>
      <c r="Y195"/>
    </row>
    <row r="196" spans="1:25">
      <c r="A196" s="133">
        <v>45291</v>
      </c>
      <c r="B196" s="133">
        <v>45291</v>
      </c>
      <c r="C196" s="135">
        <f t="shared" si="63"/>
        <v>12</v>
      </c>
      <c r="D196" s="135">
        <f t="shared" si="64"/>
        <v>2023</v>
      </c>
      <c r="E196" s="191"/>
      <c r="F196" s="136"/>
      <c r="G196" s="135"/>
      <c r="H196" s="135"/>
      <c r="I196" s="71"/>
      <c r="J196" s="137"/>
      <c r="K196" s="71"/>
      <c r="L196" s="71">
        <v>3210</v>
      </c>
      <c r="M196" s="9">
        <f t="shared" si="35"/>
        <v>6270.857399999988</v>
      </c>
      <c r="P196" t="s">
        <v>14</v>
      </c>
      <c r="Q196" t="s">
        <v>188</v>
      </c>
      <c r="R196" t="s">
        <v>189</v>
      </c>
      <c r="S196" t="s">
        <v>208</v>
      </c>
      <c r="U196" t="s">
        <v>191</v>
      </c>
      <c r="V196" t="s">
        <v>209</v>
      </c>
    </row>
    <row r="197" spans="1:25">
      <c r="A197" s="133">
        <v>45291</v>
      </c>
      <c r="B197" s="133">
        <v>45291</v>
      </c>
      <c r="C197" s="135">
        <f t="shared" si="63"/>
        <v>12</v>
      </c>
      <c r="D197" s="135">
        <f t="shared" si="64"/>
        <v>2023</v>
      </c>
      <c r="E197" s="191"/>
      <c r="F197" s="136"/>
      <c r="G197" s="135"/>
      <c r="H197" s="135"/>
      <c r="I197" s="71"/>
      <c r="J197" s="137"/>
      <c r="K197" s="71"/>
      <c r="L197" s="71">
        <v>-3210</v>
      </c>
      <c r="M197" s="9">
        <f t="shared" si="35"/>
        <v>3060.857399999988</v>
      </c>
      <c r="P197" t="s">
        <v>14</v>
      </c>
      <c r="Q197" t="s">
        <v>188</v>
      </c>
      <c r="R197" t="s">
        <v>189</v>
      </c>
      <c r="S197" t="s">
        <v>208</v>
      </c>
      <c r="U197" t="s">
        <v>191</v>
      </c>
      <c r="V197" t="s">
        <v>79</v>
      </c>
      <c r="X197" t="s">
        <v>79</v>
      </c>
    </row>
    <row r="198" spans="1:25">
      <c r="A198" s="133">
        <v>45291</v>
      </c>
      <c r="B198" s="133">
        <v>45291</v>
      </c>
      <c r="C198" s="135">
        <f t="shared" ref="C198:C209" si="65">IF(B198="","",MONTH(B198))</f>
        <v>12</v>
      </c>
      <c r="D198" s="135">
        <f t="shared" ref="D198:D209" si="66">IF(B198="","",YEAR(B198))</f>
        <v>2023</v>
      </c>
      <c r="E198" s="191"/>
      <c r="F198" s="136"/>
      <c r="G198" s="135"/>
      <c r="H198" s="135"/>
      <c r="I198" s="71"/>
      <c r="J198" s="137"/>
      <c r="K198" s="71"/>
      <c r="L198" s="71">
        <v>930.25</v>
      </c>
      <c r="M198" s="9">
        <f t="shared" si="35"/>
        <v>3991.107399999988</v>
      </c>
      <c r="P198" t="s">
        <v>14</v>
      </c>
      <c r="Q198" t="s">
        <v>188</v>
      </c>
      <c r="R198" t="s">
        <v>189</v>
      </c>
      <c r="S198" t="s">
        <v>192</v>
      </c>
      <c r="U198" t="s">
        <v>191</v>
      </c>
      <c r="V198" t="s">
        <v>190</v>
      </c>
    </row>
    <row r="199" spans="1:25">
      <c r="A199" s="133">
        <v>45291</v>
      </c>
      <c r="B199" s="133">
        <v>45291</v>
      </c>
      <c r="C199" s="135">
        <f t="shared" si="65"/>
        <v>12</v>
      </c>
      <c r="D199" s="135">
        <f t="shared" si="66"/>
        <v>2023</v>
      </c>
      <c r="E199" s="191"/>
      <c r="F199" s="136"/>
      <c r="G199" s="135"/>
      <c r="H199" s="135"/>
      <c r="I199" s="71"/>
      <c r="J199" s="137"/>
      <c r="K199" s="71"/>
      <c r="L199" s="71">
        <v>-930.25</v>
      </c>
      <c r="M199" s="9">
        <f t="shared" si="35"/>
        <v>3060.857399999988</v>
      </c>
      <c r="P199" t="s">
        <v>14</v>
      </c>
      <c r="Q199" t="s">
        <v>188</v>
      </c>
      <c r="R199" t="s">
        <v>189</v>
      </c>
      <c r="S199" t="s">
        <v>192</v>
      </c>
      <c r="U199" t="s">
        <v>191</v>
      </c>
      <c r="V199" t="s">
        <v>79</v>
      </c>
      <c r="X199" t="s">
        <v>79</v>
      </c>
    </row>
    <row r="200" spans="1:25">
      <c r="A200" s="133">
        <v>45291</v>
      </c>
      <c r="B200" s="133">
        <v>45291</v>
      </c>
      <c r="C200" s="135">
        <f t="shared" si="65"/>
        <v>12</v>
      </c>
      <c r="D200" s="135">
        <f t="shared" si="66"/>
        <v>2023</v>
      </c>
      <c r="E200" s="191"/>
      <c r="F200" s="136"/>
      <c r="G200" s="135"/>
      <c r="H200" s="135"/>
      <c r="I200" s="71"/>
      <c r="J200" s="137"/>
      <c r="K200" s="71"/>
      <c r="L200" s="71">
        <v>-4655</v>
      </c>
      <c r="M200" s="9">
        <f t="shared" si="35"/>
        <v>-1594.142600000012</v>
      </c>
      <c r="P200" t="s">
        <v>14</v>
      </c>
      <c r="Q200" t="s">
        <v>147</v>
      </c>
      <c r="R200" t="s">
        <v>148</v>
      </c>
      <c r="S200" t="s">
        <v>182</v>
      </c>
      <c r="U200" t="s">
        <v>179</v>
      </c>
      <c r="V200" t="s">
        <v>183</v>
      </c>
    </row>
    <row r="201" spans="1:25">
      <c r="A201" s="133">
        <v>45291</v>
      </c>
      <c r="B201" s="133">
        <v>45291</v>
      </c>
      <c r="C201" s="135">
        <f t="shared" si="65"/>
        <v>12</v>
      </c>
      <c r="D201" s="135">
        <f t="shared" si="66"/>
        <v>2023</v>
      </c>
      <c r="E201" s="191"/>
      <c r="F201" s="136"/>
      <c r="G201" s="135"/>
      <c r="H201" s="135"/>
      <c r="I201" s="71"/>
      <c r="J201" s="137"/>
      <c r="K201" s="71"/>
      <c r="L201" s="71">
        <f>-L200</f>
        <v>4655</v>
      </c>
      <c r="M201" s="9">
        <f t="shared" ref="M201:M202" si="67">M200+L201</f>
        <v>3060.857399999988</v>
      </c>
      <c r="P201" t="s">
        <v>14</v>
      </c>
      <c r="Q201" t="s">
        <v>147</v>
      </c>
      <c r="R201" t="s">
        <v>148</v>
      </c>
      <c r="S201" t="s">
        <v>181</v>
      </c>
      <c r="U201" t="s">
        <v>179</v>
      </c>
      <c r="V201" t="s">
        <v>79</v>
      </c>
      <c r="X201" t="s">
        <v>79</v>
      </c>
    </row>
    <row r="202" spans="1:25">
      <c r="A202" s="133">
        <v>45291</v>
      </c>
      <c r="B202" s="133">
        <v>45291</v>
      </c>
      <c r="C202" s="135">
        <f t="shared" si="65"/>
        <v>12</v>
      </c>
      <c r="D202" s="135">
        <f t="shared" si="66"/>
        <v>2023</v>
      </c>
      <c r="E202" s="191"/>
      <c r="F202" s="136"/>
      <c r="G202" s="135"/>
      <c r="H202" s="135"/>
      <c r="I202" s="71"/>
      <c r="J202" s="137"/>
      <c r="K202" s="71"/>
      <c r="L202" s="71">
        <v>-4280.01</v>
      </c>
      <c r="M202" s="9">
        <f t="shared" si="67"/>
        <v>-1219.1526000000122</v>
      </c>
      <c r="P202" t="s">
        <v>14</v>
      </c>
      <c r="Q202" t="s">
        <v>147</v>
      </c>
      <c r="R202" t="s">
        <v>206</v>
      </c>
      <c r="S202" t="s">
        <v>198</v>
      </c>
      <c r="U202" t="s">
        <v>179</v>
      </c>
      <c r="V202" t="s">
        <v>102</v>
      </c>
    </row>
    <row r="203" spans="1:25">
      <c r="A203" s="133">
        <v>45291</v>
      </c>
      <c r="B203" s="133">
        <v>45291</v>
      </c>
      <c r="C203" s="135">
        <f t="shared" si="65"/>
        <v>12</v>
      </c>
      <c r="D203" s="135">
        <f t="shared" si="66"/>
        <v>2023</v>
      </c>
      <c r="E203" s="191"/>
      <c r="F203" s="136"/>
      <c r="G203" s="135"/>
      <c r="H203" s="135"/>
      <c r="I203" s="71"/>
      <c r="J203" s="137"/>
      <c r="K203" s="71"/>
      <c r="L203" s="71">
        <v>4280.01</v>
      </c>
      <c r="M203" s="9">
        <f t="shared" ref="M203:M259" si="68">M202+L203</f>
        <v>3060.857399999988</v>
      </c>
      <c r="P203" t="s">
        <v>14</v>
      </c>
      <c r="Q203" t="s">
        <v>147</v>
      </c>
      <c r="R203" t="s">
        <v>148</v>
      </c>
      <c r="S203" t="s">
        <v>181</v>
      </c>
      <c r="U203" t="s">
        <v>179</v>
      </c>
      <c r="V203" t="s">
        <v>79</v>
      </c>
      <c r="X203" t="s">
        <v>79</v>
      </c>
    </row>
    <row r="204" spans="1:25">
      <c r="A204" s="133">
        <v>45291</v>
      </c>
      <c r="B204" s="133">
        <v>45291</v>
      </c>
      <c r="C204" s="135">
        <f t="shared" si="65"/>
        <v>12</v>
      </c>
      <c r="D204" s="135">
        <f t="shared" si="66"/>
        <v>2023</v>
      </c>
      <c r="E204" s="191"/>
      <c r="F204" s="136"/>
      <c r="G204" s="135"/>
      <c r="H204" s="135"/>
      <c r="I204" s="71"/>
      <c r="J204" s="137"/>
      <c r="K204" s="71"/>
      <c r="L204" s="71">
        <f>13596.1-7041.2+412.27</f>
        <v>6967.17</v>
      </c>
      <c r="M204" s="9">
        <f t="shared" si="68"/>
        <v>10028.027399999988</v>
      </c>
      <c r="P204" t="s">
        <v>14</v>
      </c>
      <c r="Q204" t="s">
        <v>147</v>
      </c>
      <c r="R204" t="s">
        <v>149</v>
      </c>
      <c r="S204" t="s">
        <v>194</v>
      </c>
      <c r="U204" t="s">
        <v>177</v>
      </c>
      <c r="V204" t="s">
        <v>178</v>
      </c>
    </row>
    <row r="205" spans="1:25">
      <c r="A205" s="133">
        <v>45291</v>
      </c>
      <c r="B205" s="133">
        <v>45291</v>
      </c>
      <c r="C205" s="135">
        <f t="shared" si="65"/>
        <v>12</v>
      </c>
      <c r="D205" s="135">
        <f t="shared" si="66"/>
        <v>2023</v>
      </c>
      <c r="E205" s="191"/>
      <c r="F205" s="136"/>
      <c r="G205" s="135"/>
      <c r="H205" s="135"/>
      <c r="I205" s="71"/>
      <c r="J205" s="137"/>
      <c r="K205" s="71"/>
      <c r="L205" s="71">
        <f>-L204</f>
        <v>-6967.17</v>
      </c>
      <c r="M205" s="9">
        <f t="shared" si="68"/>
        <v>3060.857399999988</v>
      </c>
      <c r="P205" t="s">
        <v>14</v>
      </c>
      <c r="Q205" t="s">
        <v>147</v>
      </c>
      <c r="R205" t="s">
        <v>149</v>
      </c>
      <c r="S205" t="s">
        <v>194</v>
      </c>
      <c r="U205" t="s">
        <v>177</v>
      </c>
      <c r="V205" t="s">
        <v>79</v>
      </c>
      <c r="X205" t="s">
        <v>79</v>
      </c>
    </row>
    <row r="206" spans="1:25">
      <c r="A206" s="133">
        <v>45291</v>
      </c>
      <c r="B206" s="133">
        <v>45291</v>
      </c>
      <c r="C206" s="135">
        <f t="shared" si="65"/>
        <v>12</v>
      </c>
      <c r="D206" s="135">
        <f t="shared" si="66"/>
        <v>2023</v>
      </c>
      <c r="E206" s="191"/>
      <c r="F206" s="136"/>
      <c r="G206" s="135"/>
      <c r="H206" s="135"/>
      <c r="I206" s="71"/>
      <c r="J206" s="137"/>
      <c r="K206" s="71"/>
      <c r="L206" s="71">
        <f>L205</f>
        <v>-6967.17</v>
      </c>
      <c r="M206" s="9">
        <f t="shared" si="68"/>
        <v>-3906.312600000012</v>
      </c>
      <c r="P206" t="s">
        <v>14</v>
      </c>
      <c r="Q206" t="s">
        <v>147</v>
      </c>
      <c r="R206" t="s">
        <v>149</v>
      </c>
      <c r="S206" t="s">
        <v>193</v>
      </c>
      <c r="U206" t="s">
        <v>175</v>
      </c>
      <c r="V206" t="s">
        <v>176</v>
      </c>
    </row>
    <row r="207" spans="1:25">
      <c r="A207" s="133">
        <v>45291</v>
      </c>
      <c r="B207" s="133">
        <v>45291</v>
      </c>
      <c r="C207" s="135">
        <f t="shared" si="65"/>
        <v>12</v>
      </c>
      <c r="D207" s="135">
        <f t="shared" si="66"/>
        <v>2023</v>
      </c>
      <c r="E207" s="191"/>
      <c r="F207" s="136"/>
      <c r="G207" s="135"/>
      <c r="H207" s="135"/>
      <c r="I207" s="71"/>
      <c r="J207" s="137"/>
      <c r="K207" s="71"/>
      <c r="L207" s="71">
        <f>-L206</f>
        <v>6967.17</v>
      </c>
      <c r="M207" s="9">
        <f t="shared" si="68"/>
        <v>3060.857399999988</v>
      </c>
      <c r="P207" t="s">
        <v>14</v>
      </c>
      <c r="Q207" t="s">
        <v>147</v>
      </c>
      <c r="R207" t="s">
        <v>149</v>
      </c>
      <c r="S207" t="s">
        <v>193</v>
      </c>
      <c r="U207" t="s">
        <v>175</v>
      </c>
      <c r="V207" t="s">
        <v>79</v>
      </c>
      <c r="X207" t="s">
        <v>79</v>
      </c>
    </row>
    <row r="208" spans="1:25">
      <c r="A208" s="133">
        <v>45291</v>
      </c>
      <c r="B208" s="133">
        <v>45291</v>
      </c>
      <c r="C208" s="135">
        <f t="shared" si="65"/>
        <v>12</v>
      </c>
      <c r="D208" s="135">
        <f t="shared" si="66"/>
        <v>2023</v>
      </c>
      <c r="E208" s="191"/>
      <c r="F208" s="136"/>
      <c r="G208" s="135"/>
      <c r="H208" s="135"/>
      <c r="I208" s="71"/>
      <c r="J208" s="137"/>
      <c r="K208" s="71"/>
      <c r="L208" s="71">
        <v>-7041.2</v>
      </c>
      <c r="M208" s="9">
        <f t="shared" si="68"/>
        <v>-3980.3426000000118</v>
      </c>
      <c r="P208" t="s">
        <v>14</v>
      </c>
      <c r="Q208" t="s">
        <v>147</v>
      </c>
      <c r="R208" t="s">
        <v>149</v>
      </c>
      <c r="S208" t="s">
        <v>194</v>
      </c>
      <c r="U208" t="s">
        <v>177</v>
      </c>
      <c r="V208" t="s">
        <v>178</v>
      </c>
    </row>
    <row r="209" spans="1:26">
      <c r="A209" s="138">
        <v>45291</v>
      </c>
      <c r="B209" s="138">
        <v>45291</v>
      </c>
      <c r="C209" s="139">
        <f t="shared" si="65"/>
        <v>12</v>
      </c>
      <c r="D209" s="139">
        <f t="shared" si="66"/>
        <v>2023</v>
      </c>
      <c r="E209" s="192"/>
      <c r="F209" s="140"/>
      <c r="G209" s="139"/>
      <c r="H209" s="139"/>
      <c r="I209" s="141"/>
      <c r="J209" s="142"/>
      <c r="K209" s="141"/>
      <c r="L209" s="141">
        <f>-L208</f>
        <v>7041.2</v>
      </c>
      <c r="M209" s="25">
        <f t="shared" si="68"/>
        <v>3060.857399999988</v>
      </c>
      <c r="N209" s="23"/>
      <c r="O209" s="28"/>
      <c r="P209" s="24" t="s">
        <v>14</v>
      </c>
      <c r="Q209" s="24" t="s">
        <v>147</v>
      </c>
      <c r="R209" s="24" t="s">
        <v>149</v>
      </c>
      <c r="S209" s="24" t="s">
        <v>194</v>
      </c>
      <c r="T209" s="24"/>
      <c r="U209" s="24" t="s">
        <v>177</v>
      </c>
      <c r="V209" s="24" t="s">
        <v>79</v>
      </c>
      <c r="W209" s="63"/>
      <c r="X209" s="24" t="s">
        <v>79</v>
      </c>
      <c r="Y209" s="63"/>
      <c r="Z209" s="63"/>
    </row>
    <row r="210" spans="1:26">
      <c r="A210" s="6">
        <v>45293</v>
      </c>
      <c r="B210" s="6">
        <v>45293</v>
      </c>
      <c r="C210" s="7">
        <f t="shared" ref="C210" si="69">IF(B210="","",MONTH(B210))</f>
        <v>1</v>
      </c>
      <c r="D210" s="7">
        <f t="shared" ref="D210" si="70">IF(B210="","",YEAR(B210))</f>
        <v>2024</v>
      </c>
      <c r="E210" s="187"/>
      <c r="L210" s="9">
        <v>-19.899999999999999</v>
      </c>
      <c r="M210" s="9">
        <f t="shared" si="68"/>
        <v>3040.957399999988</v>
      </c>
      <c r="P210" t="s">
        <v>33</v>
      </c>
      <c r="Q210" t="s">
        <v>34</v>
      </c>
      <c r="S210" t="s">
        <v>145</v>
      </c>
      <c r="U210" t="s">
        <v>32</v>
      </c>
      <c r="V210" t="s">
        <v>83</v>
      </c>
      <c r="W210" s="10" t="s">
        <v>35</v>
      </c>
      <c r="X210" t="s">
        <v>35</v>
      </c>
      <c r="Y210"/>
    </row>
    <row r="211" spans="1:26">
      <c r="A211" s="6">
        <v>45293</v>
      </c>
      <c r="B211" s="6">
        <v>45293</v>
      </c>
      <c r="C211" s="7">
        <f t="shared" ref="C211:C213" si="71">IF(B211="","",MONTH(B211))</f>
        <v>1</v>
      </c>
      <c r="D211" s="7">
        <f t="shared" ref="D211:D213" si="72">IF(B211="","",YEAR(B211))</f>
        <v>2024</v>
      </c>
      <c r="E211" s="187"/>
      <c r="L211" s="9">
        <v>-43.4</v>
      </c>
      <c r="M211" s="9">
        <f t="shared" si="68"/>
        <v>2997.5573999999879</v>
      </c>
      <c r="P211" t="s">
        <v>33</v>
      </c>
      <c r="Q211" t="s">
        <v>34</v>
      </c>
      <c r="S211" t="s">
        <v>145</v>
      </c>
      <c r="U211" t="s">
        <v>32</v>
      </c>
      <c r="V211" t="s">
        <v>83</v>
      </c>
      <c r="W211" s="10" t="s">
        <v>35</v>
      </c>
      <c r="X211" t="s">
        <v>35</v>
      </c>
      <c r="Y211"/>
    </row>
    <row r="212" spans="1:26">
      <c r="A212" s="6">
        <v>45323</v>
      </c>
      <c r="B212" s="6">
        <v>45323</v>
      </c>
      <c r="C212" s="7">
        <f t="shared" si="71"/>
        <v>2</v>
      </c>
      <c r="D212" s="7">
        <f t="shared" si="72"/>
        <v>2024</v>
      </c>
      <c r="E212" s="187"/>
      <c r="L212" s="9">
        <v>-1203.75</v>
      </c>
      <c r="M212" s="9">
        <f t="shared" si="68"/>
        <v>1793.8073999999879</v>
      </c>
      <c r="P212" t="s">
        <v>33</v>
      </c>
      <c r="Q212" t="s">
        <v>34</v>
      </c>
      <c r="R212" t="s">
        <v>205</v>
      </c>
      <c r="S212" t="s">
        <v>144</v>
      </c>
      <c r="T212" t="s">
        <v>205</v>
      </c>
      <c r="U212" t="s">
        <v>199</v>
      </c>
      <c r="V212" t="s">
        <v>102</v>
      </c>
      <c r="W212" s="10" t="s">
        <v>35</v>
      </c>
      <c r="X212" t="s">
        <v>35</v>
      </c>
      <c r="Y212" s="10">
        <v>2024</v>
      </c>
    </row>
    <row r="213" spans="1:26">
      <c r="A213" s="6">
        <v>45323</v>
      </c>
      <c r="B213" s="6">
        <v>45323</v>
      </c>
      <c r="C213" s="7">
        <f t="shared" si="71"/>
        <v>2</v>
      </c>
      <c r="D213" s="7">
        <f t="shared" si="72"/>
        <v>2024</v>
      </c>
      <c r="E213" s="187"/>
      <c r="L213" s="9">
        <v>-19.899999999999999</v>
      </c>
      <c r="M213" s="9">
        <f t="shared" si="68"/>
        <v>1773.9073999999878</v>
      </c>
      <c r="P213" t="s">
        <v>33</v>
      </c>
      <c r="Q213" t="s">
        <v>34</v>
      </c>
      <c r="S213" t="s">
        <v>145</v>
      </c>
      <c r="U213" t="s">
        <v>32</v>
      </c>
      <c r="V213" t="s">
        <v>83</v>
      </c>
      <c r="W213" s="10" t="s">
        <v>35</v>
      </c>
      <c r="X213" t="s">
        <v>35</v>
      </c>
      <c r="Y213"/>
    </row>
    <row r="214" spans="1:26">
      <c r="A214" s="6">
        <v>45352</v>
      </c>
      <c r="B214" s="6">
        <v>45352</v>
      </c>
      <c r="C214" s="7">
        <f t="shared" ref="C214" si="73">IF(B214="","",MONTH(B214))</f>
        <v>3</v>
      </c>
      <c r="D214" s="7">
        <f t="shared" ref="D214" si="74">IF(B214="","",YEAR(B214))</f>
        <v>2024</v>
      </c>
      <c r="E214" s="187"/>
      <c r="L214" s="9">
        <v>-20.100000000000001</v>
      </c>
      <c r="M214" s="9">
        <f t="shared" si="68"/>
        <v>1753.8073999999879</v>
      </c>
      <c r="P214" t="s">
        <v>33</v>
      </c>
      <c r="Q214" t="s">
        <v>34</v>
      </c>
      <c r="S214" t="s">
        <v>145</v>
      </c>
      <c r="U214" t="s">
        <v>32</v>
      </c>
      <c r="V214" t="s">
        <v>83</v>
      </c>
      <c r="W214" s="10" t="s">
        <v>35</v>
      </c>
      <c r="X214" t="s">
        <v>35</v>
      </c>
      <c r="Y214"/>
    </row>
    <row r="215" spans="1:26">
      <c r="A215" s="6">
        <v>45383</v>
      </c>
      <c r="B215" s="6">
        <v>45383</v>
      </c>
      <c r="C215" s="7">
        <f t="shared" ref="C215:C216" si="75">IF(B215="","",MONTH(B215))</f>
        <v>4</v>
      </c>
      <c r="D215" s="7">
        <f t="shared" ref="D215:D216" si="76">IF(B215="","",YEAR(B215))</f>
        <v>2024</v>
      </c>
      <c r="E215" s="187"/>
      <c r="L215" s="9">
        <v>-19.899999999999999</v>
      </c>
      <c r="M215" s="9">
        <f t="shared" si="68"/>
        <v>1733.9073999999878</v>
      </c>
      <c r="P215" t="s">
        <v>33</v>
      </c>
      <c r="Q215" t="s">
        <v>34</v>
      </c>
      <c r="S215" t="s">
        <v>145</v>
      </c>
      <c r="U215" t="s">
        <v>32</v>
      </c>
      <c r="V215" t="s">
        <v>83</v>
      </c>
      <c r="W215" s="10" t="s">
        <v>35</v>
      </c>
      <c r="X215" t="s">
        <v>35</v>
      </c>
      <c r="Y215"/>
    </row>
    <row r="216" spans="1:26">
      <c r="A216" s="6">
        <v>45383</v>
      </c>
      <c r="B216" s="6">
        <v>45383</v>
      </c>
      <c r="C216" s="7">
        <f t="shared" si="75"/>
        <v>4</v>
      </c>
      <c r="D216" s="7">
        <f t="shared" si="76"/>
        <v>2024</v>
      </c>
      <c r="E216" s="187"/>
      <c r="L216" s="9">
        <v>-44.24</v>
      </c>
      <c r="M216" s="9">
        <f t="shared" si="68"/>
        <v>1689.6673999999878</v>
      </c>
      <c r="P216" t="s">
        <v>33</v>
      </c>
      <c r="Q216" t="s">
        <v>34</v>
      </c>
      <c r="S216" t="s">
        <v>145</v>
      </c>
      <c r="U216" t="s">
        <v>32</v>
      </c>
      <c r="V216" t="s">
        <v>83</v>
      </c>
      <c r="W216" s="10" t="s">
        <v>35</v>
      </c>
      <c r="X216" t="s">
        <v>35</v>
      </c>
      <c r="Y216"/>
    </row>
    <row r="217" spans="1:26">
      <c r="A217" s="6">
        <v>45384</v>
      </c>
      <c r="B217" s="6">
        <v>45384</v>
      </c>
      <c r="C217" s="7">
        <f t="shared" ref="C217:C219" si="77">IF(B217="","",MONTH(B217))</f>
        <v>4</v>
      </c>
      <c r="D217" s="7">
        <f t="shared" ref="D217:D219" si="78">IF(B217="","",YEAR(B217))</f>
        <v>2024</v>
      </c>
      <c r="E217" s="187"/>
      <c r="L217" s="9">
        <v>4.24</v>
      </c>
      <c r="M217" s="9">
        <f t="shared" si="68"/>
        <v>1693.9073999999878</v>
      </c>
      <c r="P217" t="s">
        <v>33</v>
      </c>
      <c r="Q217" t="s">
        <v>34</v>
      </c>
      <c r="S217" t="s">
        <v>145</v>
      </c>
      <c r="U217" t="s">
        <v>32</v>
      </c>
      <c r="V217" t="s">
        <v>83</v>
      </c>
      <c r="W217" s="10" t="s">
        <v>35</v>
      </c>
      <c r="X217" t="s">
        <v>35</v>
      </c>
      <c r="Y217"/>
    </row>
    <row r="218" spans="1:26">
      <c r="A218" s="6">
        <v>45413</v>
      </c>
      <c r="B218" s="6">
        <v>45413</v>
      </c>
      <c r="C218" s="7">
        <f t="shared" si="77"/>
        <v>5</v>
      </c>
      <c r="D218" s="7">
        <f t="shared" si="78"/>
        <v>2024</v>
      </c>
      <c r="E218" s="187"/>
      <c r="L218" s="9">
        <v>-1203.75</v>
      </c>
      <c r="M218" s="9">
        <f t="shared" si="68"/>
        <v>490.15739999998777</v>
      </c>
      <c r="P218" t="s">
        <v>33</v>
      </c>
      <c r="Q218" t="s">
        <v>34</v>
      </c>
      <c r="R218" t="s">
        <v>205</v>
      </c>
      <c r="S218" t="s">
        <v>144</v>
      </c>
      <c r="T218" t="s">
        <v>205</v>
      </c>
      <c r="U218" t="s">
        <v>199</v>
      </c>
      <c r="V218" t="s">
        <v>102</v>
      </c>
      <c r="W218" s="10" t="s">
        <v>35</v>
      </c>
      <c r="X218" t="s">
        <v>35</v>
      </c>
      <c r="Y218" s="10">
        <v>2024</v>
      </c>
    </row>
    <row r="219" spans="1:26">
      <c r="A219" s="6">
        <v>45413</v>
      </c>
      <c r="B219" s="6">
        <v>45413</v>
      </c>
      <c r="C219" s="7">
        <f t="shared" si="77"/>
        <v>5</v>
      </c>
      <c r="D219" s="7">
        <f t="shared" si="78"/>
        <v>2024</v>
      </c>
      <c r="E219" s="187"/>
      <c r="L219" s="9">
        <v>-19.899999999999999</v>
      </c>
      <c r="M219" s="9">
        <f t="shared" si="68"/>
        <v>470.2573999999878</v>
      </c>
      <c r="P219" t="s">
        <v>33</v>
      </c>
      <c r="Q219" t="s">
        <v>34</v>
      </c>
      <c r="S219" t="s">
        <v>145</v>
      </c>
      <c r="U219" t="s">
        <v>32</v>
      </c>
      <c r="V219" t="s">
        <v>83</v>
      </c>
      <c r="W219" s="10" t="s">
        <v>35</v>
      </c>
      <c r="X219" t="s">
        <v>35</v>
      </c>
      <c r="Y219"/>
    </row>
    <row r="220" spans="1:26">
      <c r="A220" s="6">
        <v>45427</v>
      </c>
      <c r="B220" s="6">
        <v>45427</v>
      </c>
      <c r="C220" s="7">
        <f t="shared" ref="C220:C221" si="79">IF(B220="","",MONTH(B220))</f>
        <v>5</v>
      </c>
      <c r="D220" s="7">
        <f t="shared" ref="D220:D221" si="80">IF(B220="","",YEAR(B220))</f>
        <v>2024</v>
      </c>
      <c r="E220" s="187"/>
      <c r="L220" s="9">
        <v>3210</v>
      </c>
      <c r="M220" s="9">
        <f t="shared" si="68"/>
        <v>3680.2573999999877</v>
      </c>
      <c r="P220" t="s">
        <v>33</v>
      </c>
      <c r="Q220" t="s">
        <v>34</v>
      </c>
      <c r="R220" t="s">
        <v>205</v>
      </c>
      <c r="S220" t="s">
        <v>144</v>
      </c>
      <c r="T220" t="s">
        <v>205</v>
      </c>
      <c r="U220" t="s">
        <v>203</v>
      </c>
      <c r="V220" t="s">
        <v>102</v>
      </c>
      <c r="W220" s="10" t="s">
        <v>35</v>
      </c>
      <c r="X220" t="s">
        <v>35</v>
      </c>
      <c r="Y220" s="10">
        <v>2023</v>
      </c>
    </row>
    <row r="221" spans="1:26">
      <c r="A221" s="6">
        <v>45444</v>
      </c>
      <c r="B221" s="6">
        <v>45444</v>
      </c>
      <c r="C221" s="7">
        <f t="shared" si="79"/>
        <v>6</v>
      </c>
      <c r="D221" s="7">
        <f t="shared" si="80"/>
        <v>2024</v>
      </c>
      <c r="E221" s="187"/>
      <c r="L221" s="9">
        <v>-20.100000000000001</v>
      </c>
      <c r="M221" s="9">
        <f t="shared" si="68"/>
        <v>3660.1573999999878</v>
      </c>
      <c r="P221" t="s">
        <v>33</v>
      </c>
      <c r="Q221" t="s">
        <v>34</v>
      </c>
      <c r="S221" t="s">
        <v>145</v>
      </c>
      <c r="U221" t="s">
        <v>32</v>
      </c>
      <c r="V221" t="s">
        <v>83</v>
      </c>
      <c r="W221" s="10" t="s">
        <v>35</v>
      </c>
      <c r="X221" t="s">
        <v>35</v>
      </c>
      <c r="Y221"/>
    </row>
    <row r="222" spans="1:26">
      <c r="A222" s="6">
        <v>45474</v>
      </c>
      <c r="B222" s="6">
        <v>45474</v>
      </c>
      <c r="C222" s="7">
        <f t="shared" ref="C222" si="81">IF(B222="","",MONTH(B222))</f>
        <v>7</v>
      </c>
      <c r="D222" s="7">
        <f t="shared" ref="D222" si="82">IF(B222="","",YEAR(B222))</f>
        <v>2024</v>
      </c>
      <c r="E222" s="187"/>
      <c r="L222" s="9">
        <v>-19.899999999999999</v>
      </c>
      <c r="M222" s="9">
        <f t="shared" si="68"/>
        <v>3640.2573999999877</v>
      </c>
      <c r="P222" t="s">
        <v>33</v>
      </c>
      <c r="Q222" t="s">
        <v>34</v>
      </c>
      <c r="S222" t="s">
        <v>145</v>
      </c>
      <c r="U222" t="s">
        <v>32</v>
      </c>
      <c r="V222" t="s">
        <v>83</v>
      </c>
      <c r="W222" s="10" t="s">
        <v>35</v>
      </c>
      <c r="X222" t="s">
        <v>35</v>
      </c>
      <c r="Y222"/>
    </row>
    <row r="223" spans="1:26">
      <c r="A223" s="6">
        <v>45474</v>
      </c>
      <c r="B223" s="6">
        <v>45474</v>
      </c>
      <c r="C223" s="7">
        <f t="shared" ref="C223:C225" si="83">IF(B223="","",MONTH(B223))</f>
        <v>7</v>
      </c>
      <c r="D223" s="7">
        <f t="shared" ref="D223:D225" si="84">IF(B223="","",YEAR(B223))</f>
        <v>2024</v>
      </c>
      <c r="E223" s="187"/>
      <c r="L223" s="9">
        <v>-40</v>
      </c>
      <c r="M223" s="9">
        <f t="shared" si="68"/>
        <v>3600.2573999999877</v>
      </c>
      <c r="P223" t="s">
        <v>33</v>
      </c>
      <c r="Q223" t="s">
        <v>34</v>
      </c>
      <c r="S223" t="s">
        <v>145</v>
      </c>
      <c r="U223" t="s">
        <v>32</v>
      </c>
      <c r="V223" t="s">
        <v>83</v>
      </c>
      <c r="W223" s="10" t="s">
        <v>35</v>
      </c>
      <c r="X223" t="s">
        <v>35</v>
      </c>
      <c r="Y223"/>
    </row>
    <row r="224" spans="1:26">
      <c r="A224" s="6">
        <v>45490</v>
      </c>
      <c r="B224" s="6">
        <v>45490</v>
      </c>
      <c r="C224" s="7">
        <f t="shared" si="83"/>
        <v>7</v>
      </c>
      <c r="D224" s="7">
        <f t="shared" si="84"/>
        <v>2024</v>
      </c>
      <c r="E224" s="187"/>
      <c r="L224" s="9">
        <v>-350</v>
      </c>
      <c r="M224" s="9">
        <f t="shared" si="68"/>
        <v>3250.2573999999877</v>
      </c>
      <c r="P224" t="s">
        <v>33</v>
      </c>
      <c r="Q224" t="s">
        <v>34</v>
      </c>
      <c r="S224" t="s">
        <v>143</v>
      </c>
      <c r="U224" t="s">
        <v>127</v>
      </c>
      <c r="V224" t="s">
        <v>126</v>
      </c>
      <c r="W224" s="10" t="s">
        <v>35</v>
      </c>
      <c r="X224" t="s">
        <v>35</v>
      </c>
      <c r="Y224"/>
    </row>
    <row r="225" spans="1:26">
      <c r="A225" s="6">
        <v>45505</v>
      </c>
      <c r="B225" s="6">
        <v>45505</v>
      </c>
      <c r="C225" s="7">
        <f t="shared" si="83"/>
        <v>8</v>
      </c>
      <c r="D225" s="7">
        <f t="shared" si="84"/>
        <v>2024</v>
      </c>
      <c r="E225" s="187"/>
      <c r="L225" s="9">
        <v>-20.100000000000001</v>
      </c>
      <c r="M225" s="9">
        <f t="shared" si="68"/>
        <v>3230.1573999999878</v>
      </c>
      <c r="P225" t="s">
        <v>33</v>
      </c>
      <c r="Q225" t="s">
        <v>34</v>
      </c>
      <c r="S225" t="s">
        <v>145</v>
      </c>
      <c r="U225" t="s">
        <v>32</v>
      </c>
      <c r="V225" t="s">
        <v>83</v>
      </c>
      <c r="W225" s="10" t="s">
        <v>35</v>
      </c>
      <c r="X225" t="s">
        <v>35</v>
      </c>
      <c r="Y225"/>
    </row>
    <row r="226" spans="1:26">
      <c r="A226" s="6">
        <v>45537</v>
      </c>
      <c r="B226" s="6">
        <v>45537</v>
      </c>
      <c r="C226" s="7">
        <f t="shared" ref="C226" si="85">IF(B226="","",MONTH(B226))</f>
        <v>9</v>
      </c>
      <c r="D226" s="7">
        <f t="shared" ref="D226" si="86">IF(B226="","",YEAR(B226))</f>
        <v>2024</v>
      </c>
      <c r="E226" s="187"/>
      <c r="L226" s="9">
        <v>-19.899999999999999</v>
      </c>
      <c r="M226" s="9">
        <f t="shared" si="68"/>
        <v>3210.2573999999877</v>
      </c>
      <c r="P226" t="s">
        <v>33</v>
      </c>
      <c r="Q226" t="s">
        <v>34</v>
      </c>
      <c r="S226" t="s">
        <v>145</v>
      </c>
      <c r="U226" t="s">
        <v>32</v>
      </c>
      <c r="V226" t="s">
        <v>83</v>
      </c>
      <c r="W226" s="10" t="s">
        <v>35</v>
      </c>
      <c r="X226" t="s">
        <v>35</v>
      </c>
      <c r="Y226"/>
    </row>
    <row r="227" spans="1:26">
      <c r="A227" s="6">
        <v>45566</v>
      </c>
      <c r="B227" s="6">
        <v>45566</v>
      </c>
      <c r="C227" s="7">
        <f t="shared" ref="C227" si="87">IF(B227="","",MONTH(B227))</f>
        <v>10</v>
      </c>
      <c r="D227" s="7">
        <f t="shared" ref="D227" si="88">IF(B227="","",YEAR(B227))</f>
        <v>2024</v>
      </c>
      <c r="E227" s="187"/>
      <c r="L227" s="9">
        <v>-19.899999999999999</v>
      </c>
      <c r="M227" s="9">
        <f t="shared" si="68"/>
        <v>3190.3573999999876</v>
      </c>
      <c r="P227" t="s">
        <v>33</v>
      </c>
      <c r="Q227" t="s">
        <v>34</v>
      </c>
      <c r="S227" t="s">
        <v>145</v>
      </c>
      <c r="U227" t="s">
        <v>32</v>
      </c>
      <c r="V227" t="s">
        <v>83</v>
      </c>
      <c r="W227" s="10" t="s">
        <v>35</v>
      </c>
      <c r="X227" t="s">
        <v>35</v>
      </c>
      <c r="Y227"/>
    </row>
    <row r="228" spans="1:26">
      <c r="A228" s="6">
        <v>45566</v>
      </c>
      <c r="B228" s="6">
        <v>45566</v>
      </c>
      <c r="C228" s="7">
        <f t="shared" ref="C228:C229" si="89">IF(B228="","",MONTH(B228))</f>
        <v>10</v>
      </c>
      <c r="D228" s="7">
        <f t="shared" ref="D228:D229" si="90">IF(B228="","",YEAR(B228))</f>
        <v>2024</v>
      </c>
      <c r="E228" s="187"/>
      <c r="L228" s="9">
        <v>-40</v>
      </c>
      <c r="M228" s="9">
        <f t="shared" si="68"/>
        <v>3150.3573999999876</v>
      </c>
      <c r="P228" t="s">
        <v>33</v>
      </c>
      <c r="Q228" t="s">
        <v>34</v>
      </c>
      <c r="S228" t="s">
        <v>145</v>
      </c>
      <c r="U228" t="s">
        <v>32</v>
      </c>
      <c r="V228" t="s">
        <v>83</v>
      </c>
      <c r="W228" s="10" t="s">
        <v>35</v>
      </c>
      <c r="X228" t="s">
        <v>35</v>
      </c>
      <c r="Y228"/>
    </row>
    <row r="229" spans="1:26">
      <c r="A229" s="6">
        <v>45597</v>
      </c>
      <c r="B229" s="6">
        <v>45597</v>
      </c>
      <c r="C229" s="7">
        <f t="shared" si="89"/>
        <v>11</v>
      </c>
      <c r="D229" s="7">
        <f t="shared" si="90"/>
        <v>2024</v>
      </c>
      <c r="E229" s="187"/>
      <c r="L229" s="9">
        <v>-19.899999999999999</v>
      </c>
      <c r="M229" s="9">
        <f t="shared" si="68"/>
        <v>3130.4573999999875</v>
      </c>
      <c r="P229" t="s">
        <v>33</v>
      </c>
      <c r="Q229" t="s">
        <v>34</v>
      </c>
      <c r="S229" t="s">
        <v>145</v>
      </c>
      <c r="U229" t="s">
        <v>32</v>
      </c>
      <c r="V229" t="s">
        <v>83</v>
      </c>
      <c r="W229" s="10" t="s">
        <v>35</v>
      </c>
      <c r="X229" t="s">
        <v>35</v>
      </c>
      <c r="Y229"/>
    </row>
    <row r="230" spans="1:26">
      <c r="A230" s="6">
        <v>45624</v>
      </c>
      <c r="B230" s="6">
        <v>45624</v>
      </c>
      <c r="C230" s="7">
        <f t="shared" ref="C230" si="91">IF(B230="","",MONTH(B230))</f>
        <v>11</v>
      </c>
      <c r="D230" s="7">
        <f t="shared" ref="D230" si="92">IF(B230="","",YEAR(B230))</f>
        <v>2024</v>
      </c>
      <c r="E230" s="187"/>
      <c r="L230" s="9">
        <v>-520</v>
      </c>
      <c r="M230" s="9">
        <f t="shared" si="68"/>
        <v>2610.4573999999875</v>
      </c>
      <c r="N230" s="8" t="s">
        <v>69</v>
      </c>
      <c r="O230" s="27">
        <v>-520</v>
      </c>
      <c r="P230" t="s">
        <v>14</v>
      </c>
      <c r="Q230" t="s">
        <v>147</v>
      </c>
      <c r="R230" t="s">
        <v>149</v>
      </c>
      <c r="S230" t="s">
        <v>196</v>
      </c>
      <c r="U230" t="s">
        <v>197</v>
      </c>
      <c r="V230" t="s">
        <v>230</v>
      </c>
      <c r="X230" t="s">
        <v>22</v>
      </c>
      <c r="Y230"/>
    </row>
    <row r="231" spans="1:26">
      <c r="A231" s="6">
        <v>45624</v>
      </c>
      <c r="B231" s="6">
        <v>45624</v>
      </c>
      <c r="C231" s="7">
        <f t="shared" ref="C231" si="93">IF(B231="","",MONTH(B231))</f>
        <v>11</v>
      </c>
      <c r="D231" s="7">
        <f t="shared" ref="D231" si="94">IF(B231="","",YEAR(B231))</f>
        <v>2024</v>
      </c>
      <c r="E231" s="187"/>
      <c r="L231" s="9">
        <v>520</v>
      </c>
      <c r="M231" s="9">
        <f t="shared" si="68"/>
        <v>3130.4573999999875</v>
      </c>
      <c r="N231" s="8" t="s">
        <v>69</v>
      </c>
      <c r="O231" s="27">
        <v>520</v>
      </c>
      <c r="P231" t="s">
        <v>14</v>
      </c>
      <c r="Q231" t="s">
        <v>147</v>
      </c>
      <c r="R231" t="s">
        <v>149</v>
      </c>
      <c r="S231" t="s">
        <v>196</v>
      </c>
      <c r="U231" t="s">
        <v>197</v>
      </c>
      <c r="V231" t="s">
        <v>228</v>
      </c>
      <c r="X231" t="s">
        <v>54</v>
      </c>
      <c r="Y231"/>
    </row>
    <row r="232" spans="1:26">
      <c r="A232" s="6">
        <v>45624</v>
      </c>
      <c r="B232" s="6">
        <v>45624</v>
      </c>
      <c r="C232" s="7">
        <f t="shared" ref="C232" si="95">IF(B232="","",MONTH(B232))</f>
        <v>11</v>
      </c>
      <c r="D232" s="7">
        <f t="shared" ref="D232" si="96">IF(B232="","",YEAR(B232))</f>
        <v>2024</v>
      </c>
      <c r="E232" s="187"/>
      <c r="L232" s="9">
        <v>-34497.86</v>
      </c>
      <c r="M232" s="9">
        <f t="shared" si="68"/>
        <v>-31367.402600000012</v>
      </c>
      <c r="N232" s="8" t="s">
        <v>69</v>
      </c>
      <c r="P232" t="s">
        <v>14</v>
      </c>
      <c r="Q232" t="s">
        <v>147</v>
      </c>
      <c r="R232" t="s">
        <v>148</v>
      </c>
      <c r="S232" t="s">
        <v>13</v>
      </c>
      <c r="U232" t="s">
        <v>109</v>
      </c>
      <c r="V232" t="s">
        <v>168</v>
      </c>
      <c r="X232" t="s">
        <v>22</v>
      </c>
    </row>
    <row r="233" spans="1:26">
      <c r="A233" s="6">
        <v>45624</v>
      </c>
      <c r="B233" s="6">
        <v>45624</v>
      </c>
      <c r="C233" s="7">
        <f t="shared" ref="C233" si="97">IF(B233="","",MONTH(B233))</f>
        <v>11</v>
      </c>
      <c r="D233" s="7">
        <f t="shared" ref="D233" si="98">IF(B233="","",YEAR(B233))</f>
        <v>2024</v>
      </c>
      <c r="E233" s="187"/>
      <c r="L233" s="9">
        <f>-L232</f>
        <v>34497.86</v>
      </c>
      <c r="M233" s="9">
        <f t="shared" si="68"/>
        <v>3130.4573999999884</v>
      </c>
      <c r="N233" s="8" t="s">
        <v>69</v>
      </c>
      <c r="P233" t="s">
        <v>14</v>
      </c>
      <c r="Q233" t="s">
        <v>147</v>
      </c>
      <c r="R233" t="s">
        <v>148</v>
      </c>
      <c r="S233" t="s">
        <v>13</v>
      </c>
      <c r="U233" t="s">
        <v>109</v>
      </c>
      <c r="V233" t="s">
        <v>165</v>
      </c>
      <c r="X233" t="s">
        <v>17</v>
      </c>
    </row>
    <row r="234" spans="1:26">
      <c r="A234" s="6">
        <v>45628</v>
      </c>
      <c r="B234" s="6">
        <v>45628</v>
      </c>
      <c r="C234" s="7">
        <f t="shared" ref="C234:C235" si="99">IF(B234="","",MONTH(B234))</f>
        <v>12</v>
      </c>
      <c r="D234" s="7">
        <f t="shared" ref="D234:D235" si="100">IF(B234="","",YEAR(B234))</f>
        <v>2024</v>
      </c>
      <c r="E234" s="187"/>
      <c r="L234" s="9">
        <v>-19.899999999999999</v>
      </c>
      <c r="M234" s="9">
        <f t="shared" si="68"/>
        <v>3110.5573999999883</v>
      </c>
      <c r="P234" t="s">
        <v>33</v>
      </c>
      <c r="Q234" t="s">
        <v>34</v>
      </c>
      <c r="S234" t="s">
        <v>145</v>
      </c>
      <c r="U234" t="s">
        <v>32</v>
      </c>
      <c r="V234" t="s">
        <v>83</v>
      </c>
      <c r="W234" s="10" t="s">
        <v>35</v>
      </c>
      <c r="X234" t="s">
        <v>35</v>
      </c>
      <c r="Y234"/>
    </row>
    <row r="235" spans="1:26">
      <c r="A235" s="6">
        <v>45638</v>
      </c>
      <c r="B235" s="6">
        <v>45638</v>
      </c>
      <c r="C235" s="7">
        <f t="shared" si="99"/>
        <v>12</v>
      </c>
      <c r="D235" s="7">
        <f t="shared" si="100"/>
        <v>2024</v>
      </c>
      <c r="E235" s="187"/>
      <c r="L235" s="71">
        <v>5000</v>
      </c>
      <c r="M235" s="9">
        <f t="shared" si="68"/>
        <v>8110.5573999999888</v>
      </c>
      <c r="P235" t="s">
        <v>14</v>
      </c>
      <c r="Q235" t="s">
        <v>147</v>
      </c>
      <c r="R235" t="s">
        <v>148</v>
      </c>
      <c r="S235" t="s">
        <v>170</v>
      </c>
      <c r="U235" t="s">
        <v>109</v>
      </c>
      <c r="V235" t="s">
        <v>170</v>
      </c>
      <c r="W235" s="10" t="s">
        <v>35</v>
      </c>
      <c r="X235" t="s">
        <v>17</v>
      </c>
      <c r="Y235"/>
    </row>
    <row r="236" spans="1:26">
      <c r="A236" s="6">
        <v>45638</v>
      </c>
      <c r="B236" s="6">
        <v>45638</v>
      </c>
      <c r="C236" s="7">
        <f t="shared" ref="C236" si="101">IF(B236="","",MONTH(B236))</f>
        <v>12</v>
      </c>
      <c r="D236" s="7">
        <f t="shared" ref="D236" si="102">IF(B236="","",YEAR(B236))</f>
        <v>2024</v>
      </c>
      <c r="E236" s="187"/>
      <c r="H236" s="7" t="s">
        <v>121</v>
      </c>
      <c r="I236" s="9">
        <v>-4000</v>
      </c>
      <c r="J236" s="59">
        <v>0.16</v>
      </c>
      <c r="K236" s="9">
        <f>I236*J236</f>
        <v>-640</v>
      </c>
      <c r="L236" s="9">
        <f>I236+K236</f>
        <v>-4640</v>
      </c>
      <c r="M236" s="9">
        <f t="shared" si="68"/>
        <v>3470.5573999999888</v>
      </c>
      <c r="P236" t="s">
        <v>33</v>
      </c>
      <c r="Q236" t="s">
        <v>34</v>
      </c>
      <c r="S236" t="s">
        <v>138</v>
      </c>
      <c r="U236" t="s">
        <v>210</v>
      </c>
      <c r="V236" t="s">
        <v>154</v>
      </c>
      <c r="W236" s="10" t="s">
        <v>35</v>
      </c>
      <c r="X236" t="s">
        <v>35</v>
      </c>
      <c r="Y236"/>
      <c r="Z236" s="10" t="s">
        <v>104</v>
      </c>
    </row>
    <row r="237" spans="1:26">
      <c r="A237" s="6">
        <v>45649</v>
      </c>
      <c r="B237" s="6">
        <v>45649</v>
      </c>
      <c r="C237" s="7">
        <f t="shared" ref="C237:C238" si="103">IF(B237="","",MONTH(B237))</f>
        <v>12</v>
      </c>
      <c r="D237" s="7">
        <f t="shared" ref="D237:D238" si="104">IF(B237="","",YEAR(B237))</f>
        <v>2024</v>
      </c>
      <c r="E237" s="187"/>
      <c r="L237" s="9">
        <v>802.5</v>
      </c>
      <c r="M237" s="9">
        <f t="shared" si="68"/>
        <v>4273.0573999999888</v>
      </c>
      <c r="P237" t="s">
        <v>33</v>
      </c>
      <c r="Q237" t="s">
        <v>34</v>
      </c>
      <c r="R237" t="s">
        <v>205</v>
      </c>
      <c r="S237" t="s">
        <v>144</v>
      </c>
      <c r="T237" t="s">
        <v>205</v>
      </c>
      <c r="U237" t="s">
        <v>211</v>
      </c>
      <c r="V237" t="s">
        <v>102</v>
      </c>
      <c r="W237" s="10" t="s">
        <v>35</v>
      </c>
      <c r="X237" t="s">
        <v>35</v>
      </c>
      <c r="Y237" s="10">
        <v>2024</v>
      </c>
    </row>
    <row r="238" spans="1:26">
      <c r="A238" s="6">
        <v>45657</v>
      </c>
      <c r="B238" s="6">
        <v>45657</v>
      </c>
      <c r="C238" s="7">
        <f t="shared" si="103"/>
        <v>12</v>
      </c>
      <c r="D238" s="7">
        <f t="shared" si="104"/>
        <v>2024</v>
      </c>
      <c r="E238" s="187"/>
      <c r="L238" s="9">
        <v>-43.4</v>
      </c>
      <c r="M238" s="9">
        <f t="shared" si="68"/>
        <v>4229.6573999999891</v>
      </c>
      <c r="P238" t="s">
        <v>33</v>
      </c>
      <c r="Q238" t="s">
        <v>34</v>
      </c>
      <c r="S238" t="s">
        <v>145</v>
      </c>
      <c r="U238" t="s">
        <v>32</v>
      </c>
      <c r="V238" t="s">
        <v>83</v>
      </c>
      <c r="W238" s="10" t="s">
        <v>35</v>
      </c>
      <c r="X238" t="s">
        <v>35</v>
      </c>
      <c r="Y238"/>
    </row>
    <row r="239" spans="1:26">
      <c r="A239" s="6">
        <v>45657</v>
      </c>
      <c r="B239" s="6">
        <v>45657</v>
      </c>
      <c r="C239" s="7">
        <f t="shared" ref="C239:C255" si="105">IF(B239="","",MONTH(B239))</f>
        <v>12</v>
      </c>
      <c r="D239" s="7">
        <f t="shared" ref="D239:D255" si="106">IF(B239="","",YEAR(B239))</f>
        <v>2024</v>
      </c>
      <c r="E239" s="187"/>
      <c r="L239" s="9">
        <v>-0.2</v>
      </c>
      <c r="M239" s="9">
        <f t="shared" si="68"/>
        <v>4229.4573999999893</v>
      </c>
      <c r="P239" t="s">
        <v>33</v>
      </c>
      <c r="Q239" t="s">
        <v>34</v>
      </c>
      <c r="S239" t="s">
        <v>145</v>
      </c>
      <c r="U239" t="s">
        <v>32</v>
      </c>
      <c r="V239" t="s">
        <v>83</v>
      </c>
      <c r="W239" s="10" t="s">
        <v>35</v>
      </c>
      <c r="X239" t="s">
        <v>35</v>
      </c>
      <c r="Y239"/>
    </row>
    <row r="240" spans="1:26">
      <c r="A240" s="133">
        <v>45657</v>
      </c>
      <c r="B240" s="133">
        <v>45657</v>
      </c>
      <c r="C240" s="135">
        <f t="shared" ref="C240:C253" si="107">IF(B240="","",MONTH(B240))</f>
        <v>12</v>
      </c>
      <c r="D240" s="135">
        <f t="shared" ref="D240:D253" si="108">IF(B240="","",YEAR(B240))</f>
        <v>2024</v>
      </c>
      <c r="E240" s="191"/>
      <c r="F240" s="136"/>
      <c r="G240" s="135"/>
      <c r="H240" s="135"/>
      <c r="I240" s="71"/>
      <c r="J240" s="137"/>
      <c r="K240" s="71"/>
      <c r="L240" s="71">
        <v>-3210</v>
      </c>
      <c r="M240" s="9">
        <f t="shared" si="68"/>
        <v>1019.4573999999893</v>
      </c>
      <c r="P240" t="s">
        <v>14</v>
      </c>
      <c r="Q240" t="s">
        <v>188</v>
      </c>
      <c r="R240" t="s">
        <v>189</v>
      </c>
      <c r="S240" t="s">
        <v>208</v>
      </c>
      <c r="U240" t="s">
        <v>191</v>
      </c>
      <c r="V240" t="s">
        <v>209</v>
      </c>
    </row>
    <row r="241" spans="1:26">
      <c r="A241" s="133">
        <v>45657</v>
      </c>
      <c r="B241" s="133">
        <v>45657</v>
      </c>
      <c r="C241" s="135">
        <f t="shared" si="107"/>
        <v>12</v>
      </c>
      <c r="D241" s="135">
        <f t="shared" si="108"/>
        <v>2024</v>
      </c>
      <c r="E241" s="191"/>
      <c r="F241" s="136"/>
      <c r="G241" s="135"/>
      <c r="H241" s="135"/>
      <c r="I241" s="71"/>
      <c r="J241" s="137"/>
      <c r="K241" s="71"/>
      <c r="L241" s="71">
        <f>-L240</f>
        <v>3210</v>
      </c>
      <c r="M241" s="9">
        <f t="shared" si="68"/>
        <v>4229.4573999999893</v>
      </c>
      <c r="P241" t="s">
        <v>14</v>
      </c>
      <c r="Q241" t="s">
        <v>188</v>
      </c>
      <c r="R241" t="s">
        <v>189</v>
      </c>
      <c r="S241" t="s">
        <v>208</v>
      </c>
      <c r="U241" t="s">
        <v>191</v>
      </c>
      <c r="V241" t="s">
        <v>79</v>
      </c>
      <c r="X241" t="s">
        <v>79</v>
      </c>
    </row>
    <row r="242" spans="1:26">
      <c r="A242" s="133">
        <v>45657</v>
      </c>
      <c r="B242" s="133">
        <v>45657</v>
      </c>
      <c r="C242" s="135">
        <f t="shared" si="107"/>
        <v>12</v>
      </c>
      <c r="D242" s="135">
        <f t="shared" si="108"/>
        <v>2024</v>
      </c>
      <c r="E242" s="191"/>
      <c r="F242" s="136"/>
      <c r="G242" s="135"/>
      <c r="H242" s="135"/>
      <c r="I242" s="71"/>
      <c r="J242" s="137"/>
      <c r="K242" s="71"/>
      <c r="L242" s="71">
        <v>1168.5999999999999</v>
      </c>
      <c r="M242" s="9">
        <f t="shared" si="68"/>
        <v>5398.0573999999888</v>
      </c>
      <c r="P242" t="s">
        <v>14</v>
      </c>
      <c r="Q242" t="s">
        <v>188</v>
      </c>
      <c r="R242" t="s">
        <v>189</v>
      </c>
      <c r="S242" t="s">
        <v>192</v>
      </c>
      <c r="U242" t="s">
        <v>191</v>
      </c>
      <c r="V242" t="s">
        <v>190</v>
      </c>
    </row>
    <row r="243" spans="1:26">
      <c r="A243" s="133">
        <v>45657</v>
      </c>
      <c r="B243" s="133">
        <v>45657</v>
      </c>
      <c r="C243" s="135">
        <f t="shared" si="107"/>
        <v>12</v>
      </c>
      <c r="D243" s="135">
        <f t="shared" si="108"/>
        <v>2024</v>
      </c>
      <c r="E243" s="191"/>
      <c r="F243" s="136"/>
      <c r="G243" s="135"/>
      <c r="H243" s="135"/>
      <c r="I243" s="71"/>
      <c r="J243" s="137"/>
      <c r="K243" s="71"/>
      <c r="L243" s="71">
        <f>-L242</f>
        <v>-1168.5999999999999</v>
      </c>
      <c r="M243" s="9">
        <f t="shared" si="68"/>
        <v>4229.4573999999884</v>
      </c>
      <c r="P243" t="s">
        <v>14</v>
      </c>
      <c r="Q243" t="s">
        <v>188</v>
      </c>
      <c r="R243" t="s">
        <v>189</v>
      </c>
      <c r="S243" t="s">
        <v>192</v>
      </c>
      <c r="U243" t="s">
        <v>191</v>
      </c>
      <c r="V243" t="s">
        <v>79</v>
      </c>
      <c r="X243" t="s">
        <v>79</v>
      </c>
    </row>
    <row r="244" spans="1:26">
      <c r="A244" s="133">
        <v>45657</v>
      </c>
      <c r="B244" s="133">
        <v>45657</v>
      </c>
      <c r="C244" s="135">
        <f t="shared" si="107"/>
        <v>12</v>
      </c>
      <c r="D244" s="135">
        <f t="shared" si="108"/>
        <v>2024</v>
      </c>
      <c r="E244" s="191"/>
      <c r="F244" s="136"/>
      <c r="G244" s="135"/>
      <c r="H244" s="135"/>
      <c r="I244" s="71"/>
      <c r="J244" s="137"/>
      <c r="K244" s="71"/>
      <c r="L244" s="71">
        <v>-4655</v>
      </c>
      <c r="M244" s="9">
        <f t="shared" si="68"/>
        <v>-425.54260000001159</v>
      </c>
      <c r="P244" t="s">
        <v>14</v>
      </c>
      <c r="Q244" t="s">
        <v>147</v>
      </c>
      <c r="R244" t="s">
        <v>148</v>
      </c>
      <c r="S244" t="s">
        <v>182</v>
      </c>
      <c r="U244" t="s">
        <v>179</v>
      </c>
      <c r="V244" t="s">
        <v>183</v>
      </c>
    </row>
    <row r="245" spans="1:26">
      <c r="A245" s="133">
        <v>45657</v>
      </c>
      <c r="B245" s="133">
        <v>45657</v>
      </c>
      <c r="C245" s="135">
        <f t="shared" si="107"/>
        <v>12</v>
      </c>
      <c r="D245" s="135">
        <f t="shared" si="108"/>
        <v>2024</v>
      </c>
      <c r="E245" s="191"/>
      <c r="F245" s="136"/>
      <c r="G245" s="135"/>
      <c r="H245" s="135"/>
      <c r="I245" s="71"/>
      <c r="J245" s="137"/>
      <c r="K245" s="71"/>
      <c r="L245" s="71">
        <f>-L244</f>
        <v>4655</v>
      </c>
      <c r="M245" s="9">
        <f t="shared" si="68"/>
        <v>4229.4573999999884</v>
      </c>
      <c r="P245" t="s">
        <v>14</v>
      </c>
      <c r="Q245" t="s">
        <v>147</v>
      </c>
      <c r="R245" t="s">
        <v>148</v>
      </c>
      <c r="S245" t="s">
        <v>181</v>
      </c>
      <c r="U245" t="s">
        <v>179</v>
      </c>
      <c r="V245" t="s">
        <v>79</v>
      </c>
      <c r="X245" t="s">
        <v>79</v>
      </c>
    </row>
    <row r="246" spans="1:26">
      <c r="A246" s="133">
        <v>45657</v>
      </c>
      <c r="B246" s="133">
        <v>45657</v>
      </c>
      <c r="C246" s="135">
        <f t="shared" si="107"/>
        <v>12</v>
      </c>
      <c r="D246" s="135">
        <f t="shared" si="108"/>
        <v>2024</v>
      </c>
      <c r="E246" s="191"/>
      <c r="F246" s="136"/>
      <c r="G246" s="135"/>
      <c r="H246" s="135"/>
      <c r="I246" s="71"/>
      <c r="J246" s="137"/>
      <c r="K246" s="71"/>
      <c r="L246" s="71">
        <v>-1605</v>
      </c>
      <c r="M246" s="9">
        <f t="shared" si="68"/>
        <v>2624.4573999999884</v>
      </c>
      <c r="P246" t="s">
        <v>14</v>
      </c>
      <c r="Q246" t="s">
        <v>147</v>
      </c>
      <c r="R246" t="s">
        <v>206</v>
      </c>
      <c r="S246" t="s">
        <v>198</v>
      </c>
      <c r="U246" t="s">
        <v>179</v>
      </c>
      <c r="V246" t="s">
        <v>102</v>
      </c>
    </row>
    <row r="247" spans="1:26">
      <c r="A247" s="133">
        <v>45657</v>
      </c>
      <c r="B247" s="133">
        <v>45657</v>
      </c>
      <c r="C247" s="135">
        <f t="shared" si="107"/>
        <v>12</v>
      </c>
      <c r="D247" s="135">
        <f t="shared" si="108"/>
        <v>2024</v>
      </c>
      <c r="E247" s="191"/>
      <c r="F247" s="136"/>
      <c r="G247" s="135"/>
      <c r="H247" s="135"/>
      <c r="I247" s="71"/>
      <c r="J247" s="137"/>
      <c r="K247" s="71"/>
      <c r="L247" s="71">
        <f>-L246</f>
        <v>1605</v>
      </c>
      <c r="M247" s="9">
        <f t="shared" si="68"/>
        <v>4229.4573999999884</v>
      </c>
      <c r="P247" t="s">
        <v>14</v>
      </c>
      <c r="Q247" t="s">
        <v>147</v>
      </c>
      <c r="R247" t="s">
        <v>148</v>
      </c>
      <c r="S247" t="s">
        <v>181</v>
      </c>
      <c r="U247" t="s">
        <v>179</v>
      </c>
      <c r="V247" t="s">
        <v>79</v>
      </c>
      <c r="X247" t="s">
        <v>79</v>
      </c>
    </row>
    <row r="248" spans="1:26">
      <c r="A248" s="133">
        <v>45657</v>
      </c>
      <c r="B248" s="133">
        <v>45657</v>
      </c>
      <c r="C248" s="135">
        <f t="shared" si="107"/>
        <v>12</v>
      </c>
      <c r="D248" s="135">
        <f t="shared" si="108"/>
        <v>2024</v>
      </c>
      <c r="E248" s="191"/>
      <c r="F248" s="136"/>
      <c r="G248" s="135"/>
      <c r="H248" s="135"/>
      <c r="I248" s="71"/>
      <c r="J248" s="137"/>
      <c r="K248" s="71"/>
      <c r="L248" s="71">
        <v>13596.1</v>
      </c>
      <c r="M248" s="9">
        <f t="shared" si="68"/>
        <v>17825.557399999991</v>
      </c>
      <c r="P248" t="s">
        <v>14</v>
      </c>
      <c r="Q248" t="s">
        <v>147</v>
      </c>
      <c r="R248" t="s">
        <v>149</v>
      </c>
      <c r="S248" t="s">
        <v>194</v>
      </c>
      <c r="U248" t="s">
        <v>177</v>
      </c>
      <c r="V248" t="s">
        <v>178</v>
      </c>
    </row>
    <row r="249" spans="1:26">
      <c r="A249" s="133">
        <v>45657</v>
      </c>
      <c r="B249" s="133">
        <v>45657</v>
      </c>
      <c r="C249" s="135">
        <f t="shared" si="107"/>
        <v>12</v>
      </c>
      <c r="D249" s="135">
        <f t="shared" si="108"/>
        <v>2024</v>
      </c>
      <c r="E249" s="191"/>
      <c r="F249" s="136"/>
      <c r="G249" s="135"/>
      <c r="H249" s="135"/>
      <c r="I249" s="71"/>
      <c r="J249" s="137"/>
      <c r="K249" s="71"/>
      <c r="L249" s="71">
        <f>-L248</f>
        <v>-13596.1</v>
      </c>
      <c r="M249" s="9">
        <f t="shared" si="68"/>
        <v>4229.4573999999902</v>
      </c>
      <c r="P249" t="s">
        <v>14</v>
      </c>
      <c r="Q249" t="s">
        <v>147</v>
      </c>
      <c r="R249" t="s">
        <v>149</v>
      </c>
      <c r="S249" t="s">
        <v>194</v>
      </c>
      <c r="U249" t="s">
        <v>177</v>
      </c>
      <c r="V249" t="s">
        <v>79</v>
      </c>
      <c r="X249" t="s">
        <v>79</v>
      </c>
    </row>
    <row r="250" spans="1:26">
      <c r="A250" s="133">
        <v>45657</v>
      </c>
      <c r="B250" s="133">
        <v>45657</v>
      </c>
      <c r="C250" s="135">
        <f t="shared" si="107"/>
        <v>12</v>
      </c>
      <c r="D250" s="135">
        <f t="shared" si="108"/>
        <v>2024</v>
      </c>
      <c r="E250" s="191"/>
      <c r="F250" s="136"/>
      <c r="G250" s="135"/>
      <c r="H250" s="135"/>
      <c r="I250" s="71"/>
      <c r="J250" s="137"/>
      <c r="K250" s="71"/>
      <c r="L250" s="71">
        <v>-13596.1</v>
      </c>
      <c r="M250" s="9">
        <f t="shared" si="68"/>
        <v>-9366.6426000000101</v>
      </c>
      <c r="P250" t="s">
        <v>14</v>
      </c>
      <c r="Q250" t="s">
        <v>147</v>
      </c>
      <c r="R250" t="s">
        <v>149</v>
      </c>
      <c r="S250" t="s">
        <v>193</v>
      </c>
      <c r="U250" t="s">
        <v>175</v>
      </c>
      <c r="V250" t="s">
        <v>176</v>
      </c>
    </row>
    <row r="251" spans="1:26">
      <c r="A251" s="133">
        <v>45657</v>
      </c>
      <c r="B251" s="133">
        <v>45657</v>
      </c>
      <c r="C251" s="135">
        <f t="shared" si="107"/>
        <v>12</v>
      </c>
      <c r="D251" s="135">
        <f t="shared" si="108"/>
        <v>2024</v>
      </c>
      <c r="E251" s="191"/>
      <c r="F251" s="136"/>
      <c r="G251" s="135"/>
      <c r="H251" s="135"/>
      <c r="I251" s="71"/>
      <c r="J251" s="137"/>
      <c r="K251" s="71"/>
      <c r="L251" s="71">
        <f>-L250</f>
        <v>13596.1</v>
      </c>
      <c r="M251" s="9">
        <f t="shared" si="68"/>
        <v>4229.4573999999902</v>
      </c>
      <c r="P251" t="s">
        <v>14</v>
      </c>
      <c r="Q251" t="s">
        <v>147</v>
      </c>
      <c r="R251" t="s">
        <v>149</v>
      </c>
      <c r="S251" t="s">
        <v>193</v>
      </c>
      <c r="U251" t="s">
        <v>175</v>
      </c>
      <c r="V251" t="s">
        <v>79</v>
      </c>
      <c r="X251" t="s">
        <v>79</v>
      </c>
    </row>
    <row r="252" spans="1:26">
      <c r="A252" s="133">
        <v>45657</v>
      </c>
      <c r="B252" s="133">
        <v>45657</v>
      </c>
      <c r="C252" s="135">
        <f t="shared" si="107"/>
        <v>12</v>
      </c>
      <c r="D252" s="135">
        <f t="shared" si="108"/>
        <v>2024</v>
      </c>
      <c r="E252" s="191"/>
      <c r="F252" s="136"/>
      <c r="G252" s="135"/>
      <c r="H252" s="135"/>
      <c r="I252" s="71"/>
      <c r="J252" s="137"/>
      <c r="K252" s="71"/>
      <c r="L252" s="71">
        <v>-6967.17</v>
      </c>
      <c r="M252" s="9">
        <f t="shared" si="68"/>
        <v>-2737.7126000000098</v>
      </c>
      <c r="P252" t="s">
        <v>14</v>
      </c>
      <c r="Q252" t="s">
        <v>147</v>
      </c>
      <c r="R252" t="s">
        <v>149</v>
      </c>
      <c r="S252" t="s">
        <v>194</v>
      </c>
      <c r="U252" t="s">
        <v>177</v>
      </c>
      <c r="V252" t="s">
        <v>178</v>
      </c>
    </row>
    <row r="253" spans="1:26">
      <c r="A253" s="138">
        <v>45657</v>
      </c>
      <c r="B253" s="138">
        <v>45657</v>
      </c>
      <c r="C253" s="139">
        <f t="shared" si="107"/>
        <v>12</v>
      </c>
      <c r="D253" s="139">
        <f t="shared" si="108"/>
        <v>2024</v>
      </c>
      <c r="E253" s="192"/>
      <c r="F253" s="140"/>
      <c r="G253" s="139"/>
      <c r="H253" s="139"/>
      <c r="I253" s="141"/>
      <c r="J253" s="142"/>
      <c r="K253" s="141"/>
      <c r="L253" s="141">
        <f>-L252</f>
        <v>6967.17</v>
      </c>
      <c r="M253" s="25">
        <f t="shared" si="68"/>
        <v>4229.4573999999902</v>
      </c>
      <c r="N253" s="23"/>
      <c r="O253" s="28"/>
      <c r="P253" s="24" t="s">
        <v>14</v>
      </c>
      <c r="Q253" s="24" t="s">
        <v>147</v>
      </c>
      <c r="R253" s="24" t="s">
        <v>149</v>
      </c>
      <c r="S253" s="24" t="s">
        <v>194</v>
      </c>
      <c r="T253" s="24"/>
      <c r="U253" s="24" t="s">
        <v>177</v>
      </c>
      <c r="V253" s="24" t="s">
        <v>79</v>
      </c>
      <c r="W253" s="63"/>
      <c r="X253" s="24" t="s">
        <v>79</v>
      </c>
      <c r="Y253" s="63"/>
      <c r="Z253" s="63"/>
    </row>
    <row r="254" spans="1:26">
      <c r="A254" s="6">
        <v>45658</v>
      </c>
      <c r="B254" s="6">
        <v>45658</v>
      </c>
      <c r="C254" s="7">
        <f t="shared" si="105"/>
        <v>1</v>
      </c>
      <c r="D254" s="7">
        <f t="shared" si="106"/>
        <v>2025</v>
      </c>
      <c r="E254" s="187"/>
      <c r="L254" s="9">
        <v>-19.899999999999999</v>
      </c>
      <c r="M254" s="9">
        <f t="shared" si="68"/>
        <v>4209.5573999999906</v>
      </c>
      <c r="P254" t="s">
        <v>33</v>
      </c>
      <c r="Q254" t="s">
        <v>34</v>
      </c>
      <c r="S254" t="s">
        <v>145</v>
      </c>
      <c r="U254" t="s">
        <v>32</v>
      </c>
      <c r="V254" t="s">
        <v>83</v>
      </c>
      <c r="W254" s="10" t="s">
        <v>35</v>
      </c>
      <c r="X254" t="s">
        <v>35</v>
      </c>
      <c r="Y254"/>
    </row>
    <row r="255" spans="1:26">
      <c r="A255" s="6">
        <v>45671</v>
      </c>
      <c r="B255" s="6">
        <v>45671</v>
      </c>
      <c r="C255" s="7">
        <f t="shared" si="105"/>
        <v>1</v>
      </c>
      <c r="D255" s="7">
        <f t="shared" si="106"/>
        <v>2025</v>
      </c>
      <c r="E255" s="187"/>
      <c r="H255" s="7" t="s">
        <v>121</v>
      </c>
      <c r="I255" s="9">
        <v>-10.43</v>
      </c>
      <c r="J255" s="59">
        <v>0.17</v>
      </c>
      <c r="K255" s="9">
        <f>I255*J255</f>
        <v>-1.7731000000000001</v>
      </c>
      <c r="L255" s="71">
        <v>-12.2</v>
      </c>
      <c r="M255" s="9">
        <f t="shared" si="68"/>
        <v>4197.3573999999908</v>
      </c>
      <c r="P255" t="s">
        <v>33</v>
      </c>
      <c r="Q255" t="s">
        <v>34</v>
      </c>
      <c r="S255" s="145" t="s">
        <v>140</v>
      </c>
      <c r="U255" t="s">
        <v>212</v>
      </c>
      <c r="V255" t="s">
        <v>213</v>
      </c>
      <c r="W255" s="10" t="s">
        <v>35</v>
      </c>
      <c r="X255" t="s">
        <v>79</v>
      </c>
      <c r="Y255"/>
      <c r="Z255" s="10" t="s">
        <v>104</v>
      </c>
    </row>
    <row r="256" spans="1:26">
      <c r="A256" s="6">
        <v>45689</v>
      </c>
      <c r="B256" s="6">
        <v>45689</v>
      </c>
      <c r="C256" s="7">
        <f t="shared" ref="C256" si="109">IF(B256="","",MONTH(B256))</f>
        <v>2</v>
      </c>
      <c r="D256" s="7">
        <f t="shared" ref="D256" si="110">IF(B256="","",YEAR(B256))</f>
        <v>2025</v>
      </c>
      <c r="E256" s="187"/>
      <c r="L256" s="9">
        <v>-20.100000000000001</v>
      </c>
      <c r="M256" s="9">
        <f t="shared" si="68"/>
        <v>4177.2573999999904</v>
      </c>
      <c r="P256" t="s">
        <v>33</v>
      </c>
      <c r="Q256" t="s">
        <v>34</v>
      </c>
      <c r="S256" t="s">
        <v>145</v>
      </c>
      <c r="U256" t="s">
        <v>32</v>
      </c>
      <c r="V256" t="s">
        <v>83</v>
      </c>
      <c r="W256" s="10" t="s">
        <v>35</v>
      </c>
      <c r="X256" t="s">
        <v>35</v>
      </c>
      <c r="Y256"/>
    </row>
    <row r="257" spans="1:26">
      <c r="A257" s="6">
        <v>45698</v>
      </c>
      <c r="B257" s="6">
        <v>45698</v>
      </c>
      <c r="C257" s="7">
        <f t="shared" ref="C257:C258" si="111">IF(B257="","",MONTH(B257))</f>
        <v>2</v>
      </c>
      <c r="D257" s="7">
        <f t="shared" ref="D257:D258" si="112">IF(B257="","",YEAR(B257))</f>
        <v>2025</v>
      </c>
      <c r="E257" s="187"/>
      <c r="L257" s="9">
        <v>-401.25</v>
      </c>
      <c r="M257" s="9">
        <f t="shared" si="68"/>
        <v>3776.0073999999904</v>
      </c>
      <c r="P257" t="s">
        <v>33</v>
      </c>
      <c r="Q257" t="s">
        <v>34</v>
      </c>
      <c r="S257" t="s">
        <v>144</v>
      </c>
      <c r="T257" t="s">
        <v>205</v>
      </c>
      <c r="U257" t="s">
        <v>207</v>
      </c>
      <c r="V257" t="s">
        <v>102</v>
      </c>
      <c r="W257" s="10" t="s">
        <v>35</v>
      </c>
      <c r="X257" t="s">
        <v>35</v>
      </c>
      <c r="Y257" s="10">
        <v>2025</v>
      </c>
    </row>
    <row r="258" spans="1:26">
      <c r="A258" s="6">
        <v>45717</v>
      </c>
      <c r="B258" s="6">
        <v>45717</v>
      </c>
      <c r="C258" s="7">
        <f t="shared" si="111"/>
        <v>3</v>
      </c>
      <c r="D258" s="7">
        <f t="shared" si="112"/>
        <v>2025</v>
      </c>
      <c r="E258" s="187"/>
      <c r="L258" s="9">
        <v>-20.100000000000001</v>
      </c>
      <c r="M258" s="9">
        <f t="shared" si="68"/>
        <v>3755.9073999999905</v>
      </c>
      <c r="P258" t="s">
        <v>33</v>
      </c>
      <c r="Q258" t="s">
        <v>34</v>
      </c>
      <c r="S258" t="s">
        <v>145</v>
      </c>
      <c r="U258" t="s">
        <v>32</v>
      </c>
      <c r="V258" t="s">
        <v>83</v>
      </c>
      <c r="W258" s="10" t="s">
        <v>35</v>
      </c>
      <c r="X258" t="s">
        <v>35</v>
      </c>
      <c r="Y258"/>
    </row>
    <row r="259" spans="1:26">
      <c r="A259" s="6">
        <v>45748</v>
      </c>
      <c r="B259" s="6">
        <v>45748</v>
      </c>
      <c r="C259" s="7">
        <f t="shared" ref="C259" si="113">IF(B259="","",MONTH(B259))</f>
        <v>4</v>
      </c>
      <c r="D259" s="7">
        <f t="shared" ref="D259" si="114">IF(B259="","",YEAR(B259))</f>
        <v>2025</v>
      </c>
      <c r="E259" s="187"/>
      <c r="L259" s="9">
        <v>-19.899999999999999</v>
      </c>
      <c r="M259" s="9">
        <f t="shared" si="68"/>
        <v>3736.0073999999904</v>
      </c>
      <c r="P259" t="s">
        <v>33</v>
      </c>
      <c r="Q259" t="s">
        <v>34</v>
      </c>
      <c r="S259" t="s">
        <v>145</v>
      </c>
      <c r="U259" t="s">
        <v>32</v>
      </c>
      <c r="V259" t="s">
        <v>83</v>
      </c>
      <c r="W259" s="10" t="s">
        <v>35</v>
      </c>
      <c r="X259" t="s">
        <v>35</v>
      </c>
      <c r="Y259"/>
    </row>
    <row r="260" spans="1:26">
      <c r="A260" s="6">
        <v>45748</v>
      </c>
      <c r="B260" s="6">
        <v>45748</v>
      </c>
      <c r="C260" s="7">
        <f t="shared" ref="C260" si="115">IF(B260="","",MONTH(B260))</f>
        <v>4</v>
      </c>
      <c r="D260" s="7">
        <f t="shared" ref="D260" si="116">IF(B260="","",YEAR(B260))</f>
        <v>2025</v>
      </c>
      <c r="E260" s="187"/>
      <c r="L260" s="9">
        <v>-40</v>
      </c>
      <c r="M260" s="9">
        <f t="shared" ref="M260:M261" si="117">M259+L260</f>
        <v>3696.0073999999904</v>
      </c>
      <c r="P260" t="s">
        <v>33</v>
      </c>
      <c r="Q260" t="s">
        <v>34</v>
      </c>
      <c r="S260" t="s">
        <v>145</v>
      </c>
      <c r="U260" t="s">
        <v>32</v>
      </c>
      <c r="V260" t="s">
        <v>83</v>
      </c>
      <c r="W260" s="10" t="s">
        <v>35</v>
      </c>
      <c r="X260" t="s">
        <v>35</v>
      </c>
      <c r="Y260"/>
    </row>
    <row r="261" spans="1:26">
      <c r="A261" s="6">
        <v>45762</v>
      </c>
      <c r="B261" s="6">
        <v>45762</v>
      </c>
      <c r="C261" s="7">
        <f>IF(B261="","",MONTH(B261))</f>
        <v>4</v>
      </c>
      <c r="D261" s="7">
        <f>IF(B261="","",YEAR(B261))</f>
        <v>2025</v>
      </c>
      <c r="E261" s="187"/>
      <c r="H261" s="7" t="s">
        <v>121</v>
      </c>
      <c r="I261" s="9">
        <v>-10.43</v>
      </c>
      <c r="J261" s="59">
        <v>0.17</v>
      </c>
      <c r="K261" s="9">
        <f>I261*J261</f>
        <v>-1.7731000000000001</v>
      </c>
      <c r="L261" s="71">
        <v>-12.2</v>
      </c>
      <c r="M261" s="9">
        <f t="shared" si="117"/>
        <v>3683.8073999999906</v>
      </c>
      <c r="P261" t="s">
        <v>33</v>
      </c>
      <c r="Q261" t="s">
        <v>34</v>
      </c>
      <c r="S261" s="145" t="s">
        <v>140</v>
      </c>
      <c r="U261" t="s">
        <v>212</v>
      </c>
      <c r="V261" t="s">
        <v>213</v>
      </c>
      <c r="W261" s="10" t="s">
        <v>35</v>
      </c>
      <c r="X261" t="s">
        <v>79</v>
      </c>
      <c r="Y261"/>
      <c r="Z261" s="10" t="s">
        <v>104</v>
      </c>
    </row>
    <row r="262" spans="1:26">
      <c r="A262" s="6">
        <v>45778</v>
      </c>
      <c r="B262" s="6">
        <v>45778</v>
      </c>
      <c r="C262" s="7">
        <f t="shared" ref="C262" si="118">IF(B262="","",MONTH(B262))</f>
        <v>5</v>
      </c>
      <c r="D262" s="7">
        <f t="shared" ref="D262" si="119">IF(B262="","",YEAR(B262))</f>
        <v>2025</v>
      </c>
      <c r="E262" s="187"/>
      <c r="L262" s="9">
        <v>-20.309999999999999</v>
      </c>
      <c r="M262" s="9">
        <f t="shared" ref="M262" si="120">M261+L262</f>
        <v>3663.4973999999906</v>
      </c>
      <c r="P262" t="s">
        <v>33</v>
      </c>
      <c r="Q262" t="s">
        <v>34</v>
      </c>
      <c r="S262" t="s">
        <v>145</v>
      </c>
      <c r="U262" t="s">
        <v>32</v>
      </c>
      <c r="V262" t="s">
        <v>83</v>
      </c>
      <c r="W262" s="10" t="s">
        <v>35</v>
      </c>
      <c r="X262" t="s">
        <v>35</v>
      </c>
      <c r="Y262"/>
    </row>
    <row r="263" spans="1:26">
      <c r="A263" s="6">
        <v>45809</v>
      </c>
      <c r="B263" s="6">
        <v>45809</v>
      </c>
      <c r="C263" s="7">
        <f t="shared" ref="C263:C267" si="121">IF(B263="","",MONTH(B263))</f>
        <v>6</v>
      </c>
      <c r="D263" s="7">
        <f t="shared" ref="D263:D267" si="122">IF(B263="","",YEAR(B263))</f>
        <v>2025</v>
      </c>
      <c r="E263" s="187"/>
      <c r="L263" s="9">
        <v>-19.899999999999999</v>
      </c>
      <c r="M263" s="9">
        <f t="shared" ref="M263:M267" si="123">M262+L263</f>
        <v>3643.5973999999906</v>
      </c>
      <c r="P263" t="s">
        <v>33</v>
      </c>
      <c r="Q263" t="s">
        <v>34</v>
      </c>
      <c r="S263" t="s">
        <v>145</v>
      </c>
      <c r="U263" t="s">
        <v>32</v>
      </c>
      <c r="V263" t="s">
        <v>83</v>
      </c>
      <c r="W263" s="10" t="s">
        <v>35</v>
      </c>
      <c r="X263" t="s">
        <v>35</v>
      </c>
      <c r="Y263"/>
    </row>
    <row r="264" spans="1:26">
      <c r="A264" s="6">
        <v>45821</v>
      </c>
      <c r="B264" s="6">
        <v>45821</v>
      </c>
      <c r="C264" s="7">
        <f t="shared" si="121"/>
        <v>6</v>
      </c>
      <c r="D264" s="7">
        <f t="shared" si="122"/>
        <v>2025</v>
      </c>
      <c r="E264" s="187"/>
      <c r="L264" s="9">
        <v>-401.25</v>
      </c>
      <c r="M264" s="9">
        <f t="shared" si="123"/>
        <v>3242.3473999999906</v>
      </c>
      <c r="P264" t="s">
        <v>33</v>
      </c>
      <c r="Q264" t="s">
        <v>34</v>
      </c>
      <c r="S264" t="s">
        <v>144</v>
      </c>
      <c r="T264" t="s">
        <v>205</v>
      </c>
      <c r="U264" t="s">
        <v>207</v>
      </c>
      <c r="V264" t="s">
        <v>102</v>
      </c>
      <c r="W264" s="10" t="s">
        <v>35</v>
      </c>
      <c r="X264" t="s">
        <v>35</v>
      </c>
      <c r="Y264" s="10">
        <v>2025</v>
      </c>
    </row>
    <row r="265" spans="1:26">
      <c r="A265" s="6">
        <v>45839</v>
      </c>
      <c r="B265" s="6">
        <v>45839</v>
      </c>
      <c r="C265" s="7">
        <f t="shared" si="121"/>
        <v>7</v>
      </c>
      <c r="D265" s="7">
        <f t="shared" si="122"/>
        <v>2025</v>
      </c>
      <c r="E265" s="187"/>
      <c r="L265" s="9">
        <v>-20.5</v>
      </c>
      <c r="M265" s="9">
        <f t="shared" si="123"/>
        <v>3221.8473999999906</v>
      </c>
      <c r="P265" t="s">
        <v>33</v>
      </c>
      <c r="Q265" t="s">
        <v>34</v>
      </c>
      <c r="S265" t="s">
        <v>145</v>
      </c>
      <c r="U265" t="s">
        <v>32</v>
      </c>
      <c r="V265" t="s">
        <v>83</v>
      </c>
      <c r="W265" s="10" t="s">
        <v>35</v>
      </c>
      <c r="X265" t="s">
        <v>35</v>
      </c>
      <c r="Y265"/>
    </row>
    <row r="266" spans="1:26">
      <c r="A266" s="6">
        <v>45839</v>
      </c>
      <c r="B266" s="6">
        <v>45839</v>
      </c>
      <c r="C266" s="7">
        <f t="shared" si="121"/>
        <v>7</v>
      </c>
      <c r="D266" s="7">
        <f t="shared" si="122"/>
        <v>2025</v>
      </c>
      <c r="E266" s="187"/>
      <c r="L266" s="9">
        <v>-40</v>
      </c>
      <c r="M266" s="9">
        <f t="shared" si="123"/>
        <v>3181.8473999999906</v>
      </c>
      <c r="P266" t="s">
        <v>33</v>
      </c>
      <c r="Q266" t="s">
        <v>34</v>
      </c>
      <c r="S266" t="s">
        <v>145</v>
      </c>
      <c r="U266" t="s">
        <v>32</v>
      </c>
      <c r="V266" t="s">
        <v>83</v>
      </c>
      <c r="W266" s="10" t="s">
        <v>35</v>
      </c>
      <c r="X266" t="s">
        <v>35</v>
      </c>
      <c r="Y266"/>
    </row>
    <row r="267" spans="1:26">
      <c r="A267" s="6">
        <v>45848</v>
      </c>
      <c r="B267" s="6">
        <v>45848</v>
      </c>
      <c r="C267" s="7">
        <f t="shared" si="121"/>
        <v>7</v>
      </c>
      <c r="D267" s="7">
        <f t="shared" si="122"/>
        <v>2025</v>
      </c>
      <c r="E267" s="187"/>
      <c r="L267" s="9">
        <v>-350</v>
      </c>
      <c r="M267" s="9">
        <f t="shared" si="123"/>
        <v>2831.8473999999906</v>
      </c>
      <c r="P267" t="s">
        <v>33</v>
      </c>
      <c r="Q267" t="s">
        <v>34</v>
      </c>
      <c r="S267" t="s">
        <v>143</v>
      </c>
      <c r="U267" t="s">
        <v>127</v>
      </c>
      <c r="V267" t="s">
        <v>126</v>
      </c>
      <c r="W267" s="10" t="s">
        <v>35</v>
      </c>
      <c r="X267" t="s">
        <v>35</v>
      </c>
      <c r="Y267"/>
    </row>
    <row r="268" spans="1:26">
      <c r="A268" s="6">
        <v>45860</v>
      </c>
      <c r="B268" s="6">
        <v>45860</v>
      </c>
      <c r="C268" s="7">
        <f t="shared" ref="C268:C270" si="124">IF(B268="","",MONTH(B268))</f>
        <v>7</v>
      </c>
      <c r="D268" s="7">
        <f t="shared" ref="D268:D270" si="125">IF(B268="","",YEAR(B268))</f>
        <v>2025</v>
      </c>
      <c r="E268" s="187"/>
      <c r="L268" s="9">
        <v>-401.25</v>
      </c>
      <c r="M268" s="9">
        <f t="shared" ref="M268:M270" si="126">M267+L268</f>
        <v>2430.5973999999906</v>
      </c>
      <c r="P268" t="s">
        <v>33</v>
      </c>
      <c r="Q268" t="s">
        <v>34</v>
      </c>
      <c r="S268" t="s">
        <v>144</v>
      </c>
      <c r="T268" t="s">
        <v>205</v>
      </c>
      <c r="U268" t="s">
        <v>207</v>
      </c>
      <c r="V268" t="s">
        <v>102</v>
      </c>
      <c r="W268" s="10" t="s">
        <v>35</v>
      </c>
      <c r="X268" t="s">
        <v>35</v>
      </c>
      <c r="Y268" s="10">
        <v>2025</v>
      </c>
    </row>
    <row r="269" spans="1:26">
      <c r="A269" s="6">
        <v>45870</v>
      </c>
      <c r="B269" s="6">
        <v>45870</v>
      </c>
      <c r="C269" s="7">
        <f t="shared" si="124"/>
        <v>8</v>
      </c>
      <c r="D269" s="7">
        <f t="shared" si="125"/>
        <v>2025</v>
      </c>
      <c r="E269" s="187"/>
      <c r="L269" s="9">
        <v>-21.08</v>
      </c>
      <c r="M269" s="9">
        <f t="shared" si="126"/>
        <v>2409.5173999999906</v>
      </c>
      <c r="P269" t="s">
        <v>33</v>
      </c>
      <c r="Q269" t="s">
        <v>34</v>
      </c>
      <c r="S269" t="s">
        <v>145</v>
      </c>
      <c r="U269" t="s">
        <v>32</v>
      </c>
      <c r="V269" t="s">
        <v>83</v>
      </c>
      <c r="W269" s="10" t="s">
        <v>35</v>
      </c>
      <c r="X269" t="s">
        <v>35</v>
      </c>
      <c r="Y269"/>
    </row>
    <row r="270" spans="1:26">
      <c r="A270" s="6">
        <v>45901</v>
      </c>
      <c r="B270" s="6">
        <v>45901</v>
      </c>
      <c r="C270" s="7">
        <f t="shared" si="124"/>
        <v>9</v>
      </c>
      <c r="D270" s="7">
        <f t="shared" si="125"/>
        <v>2025</v>
      </c>
      <c r="E270" s="187"/>
      <c r="L270" s="9">
        <v>-19.899999999999999</v>
      </c>
      <c r="M270" s="9">
        <f t="shared" si="126"/>
        <v>2389.6173999999905</v>
      </c>
      <c r="P270" t="s">
        <v>33</v>
      </c>
      <c r="Q270" t="s">
        <v>34</v>
      </c>
      <c r="S270" t="s">
        <v>145</v>
      </c>
      <c r="U270" t="s">
        <v>32</v>
      </c>
      <c r="V270" t="s">
        <v>83</v>
      </c>
      <c r="W270" s="10" t="s">
        <v>35</v>
      </c>
      <c r="X270" t="s">
        <v>35</v>
      </c>
      <c r="Y270"/>
    </row>
    <row r="271" spans="1:26">
      <c r="A271" s="6">
        <v>45931</v>
      </c>
      <c r="B271" s="6">
        <v>45931</v>
      </c>
      <c r="C271" s="7">
        <f t="shared" ref="C271:C272" si="127">IF(B271="","",MONTH(B271))</f>
        <v>10</v>
      </c>
      <c r="D271" s="7">
        <f t="shared" ref="D271:D272" si="128">IF(B271="","",YEAR(B271))</f>
        <v>2025</v>
      </c>
      <c r="E271" s="187"/>
      <c r="L271" s="9">
        <v>-19.899999999999999</v>
      </c>
      <c r="M271" s="9">
        <f t="shared" ref="M271:M275" si="129">M270+L271</f>
        <v>2369.7173999999904</v>
      </c>
      <c r="P271" t="s">
        <v>33</v>
      </c>
      <c r="Q271" t="s">
        <v>34</v>
      </c>
      <c r="S271" t="s">
        <v>145</v>
      </c>
      <c r="U271" t="s">
        <v>32</v>
      </c>
      <c r="V271" t="s">
        <v>83</v>
      </c>
      <c r="W271" s="10" t="s">
        <v>35</v>
      </c>
      <c r="X271" t="s">
        <v>35</v>
      </c>
      <c r="Y271"/>
    </row>
    <row r="272" spans="1:26">
      <c r="A272" s="6">
        <v>45961</v>
      </c>
      <c r="B272" s="6">
        <v>45961</v>
      </c>
      <c r="C272" s="7">
        <f t="shared" si="127"/>
        <v>10</v>
      </c>
      <c r="D272" s="7">
        <f t="shared" si="128"/>
        <v>2025</v>
      </c>
      <c r="E272" s="187"/>
      <c r="L272" s="71">
        <v>4000</v>
      </c>
      <c r="M272" s="9">
        <f t="shared" si="129"/>
        <v>6369.7173999999904</v>
      </c>
      <c r="P272" t="s">
        <v>14</v>
      </c>
      <c r="Q272" t="s">
        <v>147</v>
      </c>
      <c r="R272" t="s">
        <v>148</v>
      </c>
      <c r="S272" t="s">
        <v>170</v>
      </c>
      <c r="U272" t="s">
        <v>109</v>
      </c>
      <c r="V272" t="s">
        <v>170</v>
      </c>
      <c r="W272" s="10" t="s">
        <v>35</v>
      </c>
      <c r="X272" t="s">
        <v>17</v>
      </c>
      <c r="Y272"/>
    </row>
    <row r="273" spans="1:26">
      <c r="A273" s="6">
        <v>45962</v>
      </c>
      <c r="B273" s="6">
        <v>45962</v>
      </c>
      <c r="C273" s="7">
        <f t="shared" ref="C273" si="130">IF(B273="","",MONTH(B273))</f>
        <v>11</v>
      </c>
      <c r="D273" s="7">
        <f t="shared" ref="D273" si="131">IF(B273="","",YEAR(B273))</f>
        <v>2025</v>
      </c>
      <c r="E273" s="187"/>
      <c r="L273" s="9">
        <v>-19.899999999999999</v>
      </c>
      <c r="M273" s="9">
        <f t="shared" si="129"/>
        <v>6349.8173999999908</v>
      </c>
      <c r="P273" t="s">
        <v>33</v>
      </c>
      <c r="Q273" t="s">
        <v>34</v>
      </c>
      <c r="S273" t="s">
        <v>145</v>
      </c>
      <c r="U273" t="s">
        <v>32</v>
      </c>
      <c r="V273" t="s">
        <v>83</v>
      </c>
      <c r="W273" s="10" t="s">
        <v>35</v>
      </c>
      <c r="X273" t="s">
        <v>35</v>
      </c>
      <c r="Y273"/>
    </row>
    <row r="274" spans="1:26">
      <c r="A274" s="6">
        <v>45964</v>
      </c>
      <c r="B274" s="6">
        <v>45964</v>
      </c>
      <c r="C274" s="7">
        <f t="shared" ref="C274" si="132">IF(B274="","",MONTH(B274))</f>
        <v>11</v>
      </c>
      <c r="D274" s="7">
        <f t="shared" ref="D274" si="133">IF(B274="","",YEAR(B274))</f>
        <v>2025</v>
      </c>
      <c r="E274" s="187"/>
      <c r="H274" s="7" t="s">
        <v>121</v>
      </c>
      <c r="I274" s="9">
        <v>-4000</v>
      </c>
      <c r="J274" s="59">
        <v>0.17</v>
      </c>
      <c r="K274" s="9">
        <f>I274*J274</f>
        <v>-680</v>
      </c>
      <c r="L274" s="9">
        <v>-4680</v>
      </c>
      <c r="M274" s="9">
        <f t="shared" si="129"/>
        <v>1669.8173999999908</v>
      </c>
      <c r="P274" t="s">
        <v>33</v>
      </c>
      <c r="Q274" t="s">
        <v>34</v>
      </c>
      <c r="S274" t="s">
        <v>138</v>
      </c>
      <c r="U274" t="s">
        <v>237</v>
      </c>
      <c r="V274" t="s">
        <v>154</v>
      </c>
      <c r="W274" s="10" t="s">
        <v>35</v>
      </c>
      <c r="X274" t="s">
        <v>35</v>
      </c>
      <c r="Y274"/>
      <c r="Z274" s="10" t="s">
        <v>104</v>
      </c>
    </row>
    <row r="275" spans="1:26">
      <c r="A275" s="6">
        <v>45964</v>
      </c>
      <c r="B275" s="6">
        <v>45964</v>
      </c>
      <c r="C275" s="7">
        <f t="shared" ref="C275:C278" si="134">IF(B275="","",MONTH(B275))</f>
        <v>11</v>
      </c>
      <c r="D275" s="7">
        <f t="shared" ref="D275:D278" si="135">IF(B275="","",YEAR(B275))</f>
        <v>2025</v>
      </c>
      <c r="E275" s="187"/>
      <c r="L275" s="9">
        <v>-401.25</v>
      </c>
      <c r="M275" s="9">
        <f t="shared" si="129"/>
        <v>1268.5673999999908</v>
      </c>
      <c r="P275" t="s">
        <v>33</v>
      </c>
      <c r="Q275" t="s">
        <v>34</v>
      </c>
      <c r="S275" t="s">
        <v>144</v>
      </c>
      <c r="T275" t="s">
        <v>205</v>
      </c>
      <c r="U275" t="s">
        <v>207</v>
      </c>
      <c r="V275" t="s">
        <v>102</v>
      </c>
      <c r="W275" s="10" t="s">
        <v>35</v>
      </c>
      <c r="X275" t="s">
        <v>35</v>
      </c>
      <c r="Y275" s="10">
        <v>2025</v>
      </c>
    </row>
    <row r="276" spans="1:26">
      <c r="A276" s="6">
        <v>45992</v>
      </c>
      <c r="B276" s="6">
        <v>45992</v>
      </c>
      <c r="C276" s="7">
        <f t="shared" si="134"/>
        <v>12</v>
      </c>
      <c r="D276" s="7">
        <f t="shared" si="135"/>
        <v>2025</v>
      </c>
      <c r="E276" s="187"/>
      <c r="L276" s="9">
        <v>-23.24</v>
      </c>
      <c r="M276" s="9">
        <f t="shared" ref="M276:M278" si="136">M275+L276</f>
        <v>1245.3273999999908</v>
      </c>
      <c r="P276" t="s">
        <v>33</v>
      </c>
      <c r="Q276" t="s">
        <v>34</v>
      </c>
      <c r="S276" t="s">
        <v>145</v>
      </c>
      <c r="U276" t="s">
        <v>32</v>
      </c>
      <c r="V276" t="s">
        <v>83</v>
      </c>
      <c r="W276" s="10" t="s">
        <v>35</v>
      </c>
      <c r="X276" t="s">
        <v>35</v>
      </c>
      <c r="Y276"/>
    </row>
    <row r="277" spans="1:26">
      <c r="A277" s="6">
        <v>45999</v>
      </c>
      <c r="B277" s="6">
        <v>45999</v>
      </c>
      <c r="C277" s="7">
        <f t="shared" si="134"/>
        <v>12</v>
      </c>
      <c r="D277" s="7">
        <f t="shared" si="135"/>
        <v>2025</v>
      </c>
      <c r="E277" s="187">
        <v>-62000</v>
      </c>
      <c r="G277" s="189">
        <f>-E277/L277</f>
        <v>6.2</v>
      </c>
      <c r="L277" s="9">
        <v>10000</v>
      </c>
      <c r="M277" s="9">
        <f t="shared" si="136"/>
        <v>11245.327399999991</v>
      </c>
      <c r="P277" s="145" t="s">
        <v>14</v>
      </c>
      <c r="Q277" s="145"/>
      <c r="R277" s="145"/>
      <c r="S277" s="145"/>
      <c r="T277" s="145"/>
      <c r="U277" s="145" t="s">
        <v>238</v>
      </c>
      <c r="V277" t="s">
        <v>240</v>
      </c>
      <c r="W277" s="10" t="s">
        <v>35</v>
      </c>
      <c r="X277" t="s">
        <v>35</v>
      </c>
      <c r="Y277"/>
    </row>
    <row r="278" spans="1:26">
      <c r="A278" s="6">
        <v>46021</v>
      </c>
      <c r="B278" s="6">
        <v>46021</v>
      </c>
      <c r="C278" s="7">
        <f t="shared" si="134"/>
        <v>12</v>
      </c>
      <c r="D278" s="7">
        <f t="shared" si="135"/>
        <v>2025</v>
      </c>
      <c r="E278" s="187"/>
      <c r="L278" s="71">
        <v>-1000</v>
      </c>
      <c r="M278" s="9">
        <f t="shared" si="136"/>
        <v>10245.327399999991</v>
      </c>
      <c r="P278" t="s">
        <v>14</v>
      </c>
      <c r="Q278" t="s">
        <v>147</v>
      </c>
      <c r="R278" t="s">
        <v>148</v>
      </c>
      <c r="S278" t="s">
        <v>170</v>
      </c>
      <c r="U278" t="s">
        <v>109</v>
      </c>
      <c r="V278" t="s">
        <v>170</v>
      </c>
      <c r="W278" s="10" t="s">
        <v>35</v>
      </c>
      <c r="X278" t="s">
        <v>17</v>
      </c>
      <c r="Y278"/>
    </row>
    <row r="279" spans="1:26">
      <c r="A279" s="6">
        <v>46022</v>
      </c>
      <c r="B279" s="6">
        <v>46022</v>
      </c>
      <c r="C279" s="7">
        <f t="shared" ref="C279" si="137">IF(B279="","",MONTH(B279))</f>
        <v>12</v>
      </c>
      <c r="D279" s="7">
        <f t="shared" ref="D279" si="138">IF(B279="","",YEAR(B279))</f>
        <v>2025</v>
      </c>
      <c r="E279" s="187"/>
      <c r="L279" s="9">
        <v>-51.2</v>
      </c>
      <c r="M279" s="9">
        <f t="shared" ref="M279" si="139">M278+L279</f>
        <v>10194.12739999999</v>
      </c>
      <c r="P279" t="s">
        <v>33</v>
      </c>
      <c r="Q279" t="s">
        <v>34</v>
      </c>
      <c r="S279" t="s">
        <v>145</v>
      </c>
      <c r="U279" t="s">
        <v>32</v>
      </c>
      <c r="V279" t="s">
        <v>83</v>
      </c>
      <c r="W279" s="10" t="s">
        <v>35</v>
      </c>
      <c r="X279" t="s">
        <v>35</v>
      </c>
      <c r="Y279"/>
    </row>
    <row r="280" spans="1:26">
      <c r="A280" s="20">
        <v>46022</v>
      </c>
      <c r="B280" s="20">
        <v>46022</v>
      </c>
      <c r="C280" s="21">
        <f t="shared" ref="C280:C282" si="140">IF(B280="","",MONTH(B280))</f>
        <v>12</v>
      </c>
      <c r="D280" s="21">
        <f t="shared" ref="D280:D282" si="141">IF(B280="","",YEAR(B280))</f>
        <v>2025</v>
      </c>
      <c r="E280" s="190"/>
      <c r="F280" s="67"/>
      <c r="G280" s="21"/>
      <c r="H280" s="21"/>
      <c r="I280" s="25"/>
      <c r="J280" s="60"/>
      <c r="K280" s="25"/>
      <c r="L280" s="25">
        <v>-0.9</v>
      </c>
      <c r="M280" s="25">
        <f t="shared" ref="M280:M322" si="142">M279+L280</f>
        <v>10193.227399999991</v>
      </c>
      <c r="N280" s="23"/>
      <c r="O280" s="28"/>
      <c r="P280" s="24" t="s">
        <v>33</v>
      </c>
      <c r="Q280" s="24" t="s">
        <v>34</v>
      </c>
      <c r="R280" s="24"/>
      <c r="S280" s="24" t="s">
        <v>145</v>
      </c>
      <c r="T280" s="24"/>
      <c r="U280" s="24" t="s">
        <v>32</v>
      </c>
      <c r="V280" s="24" t="s">
        <v>83</v>
      </c>
      <c r="W280" s="63" t="s">
        <v>35</v>
      </c>
      <c r="X280" s="24" t="s">
        <v>35</v>
      </c>
      <c r="Y280" s="24"/>
      <c r="Z280" s="63"/>
    </row>
    <row r="281" spans="1:26">
      <c r="A281" s="6">
        <v>46023</v>
      </c>
      <c r="B281" s="6">
        <v>46023</v>
      </c>
      <c r="C281" s="7">
        <f t="shared" si="140"/>
        <v>1</v>
      </c>
      <c r="D281" s="7">
        <f t="shared" si="141"/>
        <v>2026</v>
      </c>
      <c r="E281" s="187"/>
      <c r="L281" s="9">
        <v>-19.899999999999999</v>
      </c>
      <c r="M281" s="9">
        <f t="shared" si="142"/>
        <v>10173.327399999991</v>
      </c>
      <c r="P281" t="s">
        <v>33</v>
      </c>
      <c r="Q281" t="s">
        <v>34</v>
      </c>
      <c r="S281" t="s">
        <v>145</v>
      </c>
      <c r="U281" t="s">
        <v>32</v>
      </c>
      <c r="V281" t="s">
        <v>83</v>
      </c>
      <c r="W281" s="10" t="s">
        <v>35</v>
      </c>
      <c r="X281" t="s">
        <v>35</v>
      </c>
      <c r="Y281"/>
    </row>
    <row r="282" spans="1:26">
      <c r="A282" s="6">
        <v>46052</v>
      </c>
      <c r="B282" s="6">
        <v>46052</v>
      </c>
      <c r="C282" s="7">
        <f t="shared" si="140"/>
        <v>1</v>
      </c>
      <c r="D282" s="7">
        <f t="shared" si="141"/>
        <v>2026</v>
      </c>
      <c r="E282" s="187"/>
      <c r="L282" s="9">
        <v>-40</v>
      </c>
      <c r="M282" s="9">
        <f t="shared" si="142"/>
        <v>10133.327399999991</v>
      </c>
      <c r="P282" t="s">
        <v>33</v>
      </c>
      <c r="Q282" t="s">
        <v>34</v>
      </c>
      <c r="S282" t="s">
        <v>145</v>
      </c>
      <c r="U282" t="s">
        <v>32</v>
      </c>
      <c r="V282" t="s">
        <v>83</v>
      </c>
      <c r="W282" s="10" t="s">
        <v>35</v>
      </c>
      <c r="X282" t="s">
        <v>35</v>
      </c>
      <c r="Y282"/>
    </row>
    <row r="283" spans="1:26">
      <c r="A283" s="6">
        <v>46054</v>
      </c>
      <c r="B283" s="6">
        <v>46054</v>
      </c>
      <c r="C283" s="7">
        <f t="shared" ref="C283:C287" si="143">IF(B283="","",MONTH(B283))</f>
        <v>2</v>
      </c>
      <c r="D283" s="7">
        <f t="shared" ref="D283:D287" si="144">IF(B283="","",YEAR(B283))</f>
        <v>2026</v>
      </c>
      <c r="E283" s="187"/>
      <c r="L283" s="9">
        <v>-19.899999999999999</v>
      </c>
      <c r="M283" s="9">
        <f t="shared" si="142"/>
        <v>10113.427399999991</v>
      </c>
      <c r="P283" t="s">
        <v>33</v>
      </c>
      <c r="Q283" t="s">
        <v>34</v>
      </c>
      <c r="S283" t="s">
        <v>145</v>
      </c>
      <c r="U283" t="s">
        <v>32</v>
      </c>
      <c r="V283" t="s">
        <v>83</v>
      </c>
      <c r="W283" s="10" t="s">
        <v>35</v>
      </c>
      <c r="X283" t="s">
        <v>35</v>
      </c>
      <c r="Y283"/>
    </row>
    <row r="284" spans="1:26">
      <c r="A284" s="6">
        <v>46063</v>
      </c>
      <c r="B284" s="6">
        <v>46063</v>
      </c>
      <c r="C284" s="7">
        <f t="shared" si="143"/>
        <v>2</v>
      </c>
      <c r="D284" s="7">
        <f t="shared" si="144"/>
        <v>2026</v>
      </c>
      <c r="E284" s="187"/>
      <c r="L284" s="9">
        <v>-401.25</v>
      </c>
      <c r="M284" s="9">
        <f t="shared" si="142"/>
        <v>9712.1773999999914</v>
      </c>
      <c r="P284" t="s">
        <v>33</v>
      </c>
      <c r="Q284" t="s">
        <v>34</v>
      </c>
      <c r="S284" t="s">
        <v>144</v>
      </c>
      <c r="T284" t="s">
        <v>205</v>
      </c>
      <c r="U284" t="s">
        <v>245</v>
      </c>
      <c r="V284" t="s">
        <v>102</v>
      </c>
      <c r="W284" s="10" t="s">
        <v>35</v>
      </c>
      <c r="X284" t="s">
        <v>79</v>
      </c>
      <c r="Y284" s="10">
        <v>2026</v>
      </c>
    </row>
    <row r="285" spans="1:26">
      <c r="A285" s="6">
        <v>46083</v>
      </c>
      <c r="B285" s="6">
        <v>46083</v>
      </c>
      <c r="C285" s="7">
        <f t="shared" ref="C285" si="145">IF(B285="","",MONTH(B285))</f>
        <v>3</v>
      </c>
      <c r="D285" s="7">
        <f t="shared" ref="D285" si="146">IF(B285="","",YEAR(B285))</f>
        <v>2026</v>
      </c>
      <c r="E285" s="187"/>
      <c r="L285" s="9">
        <v>-20.5</v>
      </c>
      <c r="M285" s="9">
        <f t="shared" si="142"/>
        <v>9691.6773999999914</v>
      </c>
      <c r="P285" t="s">
        <v>33</v>
      </c>
      <c r="Q285" t="s">
        <v>34</v>
      </c>
      <c r="S285" t="s">
        <v>145</v>
      </c>
      <c r="U285" t="s">
        <v>32</v>
      </c>
      <c r="V285" t="s">
        <v>83</v>
      </c>
      <c r="W285" s="10" t="s">
        <v>35</v>
      </c>
      <c r="X285" t="s">
        <v>35</v>
      </c>
      <c r="Y285"/>
    </row>
    <row r="286" spans="1:26">
      <c r="A286" s="6">
        <v>46085</v>
      </c>
      <c r="B286" s="6">
        <v>46085</v>
      </c>
      <c r="C286" s="7">
        <f>IF(B286="","",MONTH(B286))</f>
        <v>3</v>
      </c>
      <c r="D286" s="7">
        <f>IF(B286="","",YEAR(B286))</f>
        <v>2026</v>
      </c>
      <c r="E286" s="187"/>
      <c r="L286" s="71">
        <v>-1000</v>
      </c>
      <c r="M286" s="9">
        <f t="shared" si="142"/>
        <v>8691.6773999999914</v>
      </c>
      <c r="P286" t="s">
        <v>14</v>
      </c>
      <c r="Q286" t="s">
        <v>147</v>
      </c>
      <c r="R286" t="s">
        <v>148</v>
      </c>
      <c r="S286" t="s">
        <v>170</v>
      </c>
      <c r="U286" t="s">
        <v>109</v>
      </c>
      <c r="V286" t="s">
        <v>170</v>
      </c>
      <c r="W286" s="10" t="s">
        <v>35</v>
      </c>
      <c r="X286" t="s">
        <v>17</v>
      </c>
      <c r="Y286"/>
    </row>
    <row r="287" spans="1:26">
      <c r="A287" s="6">
        <v>46085</v>
      </c>
      <c r="B287" s="6">
        <v>46085</v>
      </c>
      <c r="C287" s="7">
        <f t="shared" si="143"/>
        <v>3</v>
      </c>
      <c r="D287" s="7">
        <f t="shared" si="144"/>
        <v>2026</v>
      </c>
      <c r="E287" s="187"/>
      <c r="L287" s="71">
        <v>1000</v>
      </c>
      <c r="M287" s="9">
        <f t="shared" si="142"/>
        <v>9691.6773999999914</v>
      </c>
      <c r="P287" t="s">
        <v>14</v>
      </c>
      <c r="Q287" t="s">
        <v>147</v>
      </c>
      <c r="R287" t="s">
        <v>148</v>
      </c>
      <c r="S287" t="s">
        <v>170</v>
      </c>
      <c r="U287" t="s">
        <v>109</v>
      </c>
      <c r="V287" t="s">
        <v>170</v>
      </c>
      <c r="W287" s="10" t="s">
        <v>249</v>
      </c>
      <c r="X287" t="s">
        <v>17</v>
      </c>
      <c r="Y287"/>
    </row>
    <row r="288" spans="1:26">
      <c r="A288" s="6">
        <v>46085</v>
      </c>
      <c r="B288" s="6">
        <v>46085</v>
      </c>
      <c r="C288" s="7">
        <f t="shared" ref="C288" si="147">IF(B288="","",MONTH(B288))</f>
        <v>3</v>
      </c>
      <c r="D288" s="7">
        <f t="shared" ref="D288" si="148">IF(B288="","",YEAR(B288))</f>
        <v>2026</v>
      </c>
      <c r="E288" s="187"/>
      <c r="L288" s="9">
        <v>-10</v>
      </c>
      <c r="M288" s="9">
        <f t="shared" si="142"/>
        <v>9681.6773999999914</v>
      </c>
      <c r="P288" t="s">
        <v>33</v>
      </c>
      <c r="Q288" t="s">
        <v>34</v>
      </c>
      <c r="S288" t="s">
        <v>145</v>
      </c>
      <c r="U288" t="s">
        <v>32</v>
      </c>
      <c r="V288" t="s">
        <v>249</v>
      </c>
      <c r="W288" s="10" t="s">
        <v>249</v>
      </c>
      <c r="X288" t="s">
        <v>249</v>
      </c>
      <c r="Y288"/>
    </row>
    <row r="289" spans="1:25 16384:16384">
      <c r="A289" s="6">
        <v>46087</v>
      </c>
      <c r="B289" s="6">
        <v>46087</v>
      </c>
      <c r="C289" s="7">
        <f>IF(B289="","",MONTH(B289))</f>
        <v>3</v>
      </c>
      <c r="D289" s="7">
        <f>IF(B289="","",YEAR(B289))</f>
        <v>2026</v>
      </c>
      <c r="E289" s="187"/>
      <c r="L289" s="71">
        <v>-4000</v>
      </c>
      <c r="M289" s="9">
        <f t="shared" si="142"/>
        <v>5681.6773999999914</v>
      </c>
      <c r="P289" t="s">
        <v>14</v>
      </c>
      <c r="Q289" t="s">
        <v>147</v>
      </c>
      <c r="R289" t="s">
        <v>148</v>
      </c>
      <c r="S289" t="s">
        <v>170</v>
      </c>
      <c r="U289" t="s">
        <v>109</v>
      </c>
      <c r="V289" t="s">
        <v>170</v>
      </c>
      <c r="W289" s="10" t="s">
        <v>35</v>
      </c>
      <c r="X289" t="s">
        <v>17</v>
      </c>
      <c r="Y289"/>
    </row>
    <row r="290" spans="1:25 16384:16384">
      <c r="A290" s="6">
        <v>46090</v>
      </c>
      <c r="B290" s="6">
        <v>46090</v>
      </c>
      <c r="C290" s="7">
        <f t="shared" ref="C290" si="149">IF(B290="","",MONTH(B290))</f>
        <v>3</v>
      </c>
      <c r="D290" s="7">
        <f t="shared" ref="D290" si="150">IF(B290="","",YEAR(B290))</f>
        <v>2026</v>
      </c>
      <c r="E290" s="187"/>
      <c r="L290" s="71">
        <v>4000</v>
      </c>
      <c r="M290" s="9">
        <f t="shared" si="142"/>
        <v>9681.6773999999914</v>
      </c>
      <c r="P290" t="s">
        <v>14</v>
      </c>
      <c r="Q290" t="s">
        <v>147</v>
      </c>
      <c r="R290" t="s">
        <v>148</v>
      </c>
      <c r="S290" t="s">
        <v>170</v>
      </c>
      <c r="U290" t="s">
        <v>109</v>
      </c>
      <c r="V290" t="s">
        <v>170</v>
      </c>
      <c r="W290" s="10" t="s">
        <v>249</v>
      </c>
      <c r="X290" t="s">
        <v>17</v>
      </c>
      <c r="Y290"/>
    </row>
    <row r="291" spans="1:25 16384:16384">
      <c r="A291" s="6">
        <v>46090</v>
      </c>
      <c r="B291" s="6">
        <v>46090</v>
      </c>
      <c r="C291" s="7">
        <f>IF(B291="","",MONTH(B291))</f>
        <v>3</v>
      </c>
      <c r="D291" s="7">
        <f>IF(B291="","",YEAR(B291))</f>
        <v>2026</v>
      </c>
      <c r="E291" s="187"/>
      <c r="L291" s="71">
        <v>-4000</v>
      </c>
      <c r="M291" s="9">
        <f t="shared" si="142"/>
        <v>5681.6773999999914</v>
      </c>
      <c r="P291" t="s">
        <v>14</v>
      </c>
      <c r="Q291" t="s">
        <v>147</v>
      </c>
      <c r="R291" t="s">
        <v>148</v>
      </c>
      <c r="S291" t="s">
        <v>170</v>
      </c>
      <c r="U291" t="s">
        <v>109</v>
      </c>
      <c r="V291" t="s">
        <v>170</v>
      </c>
      <c r="W291" s="10" t="s">
        <v>35</v>
      </c>
      <c r="X291" t="s">
        <v>17</v>
      </c>
      <c r="Y291"/>
    </row>
    <row r="292" spans="1:25 16384:16384">
      <c r="A292" s="6">
        <v>46090</v>
      </c>
      <c r="B292" s="6">
        <v>46090</v>
      </c>
      <c r="C292" s="7">
        <f t="shared" ref="C292:C293" si="151">IF(B292="","",MONTH(B292))</f>
        <v>3</v>
      </c>
      <c r="D292" s="7">
        <f t="shared" ref="D292:D293" si="152">IF(B292="","",YEAR(B292))</f>
        <v>2026</v>
      </c>
      <c r="E292" s="187"/>
      <c r="L292" s="71">
        <v>4000</v>
      </c>
      <c r="M292" s="9">
        <f t="shared" si="142"/>
        <v>9681.6773999999914</v>
      </c>
      <c r="P292" t="s">
        <v>14</v>
      </c>
      <c r="Q292" t="s">
        <v>147</v>
      </c>
      <c r="R292" t="s">
        <v>148</v>
      </c>
      <c r="S292" t="s">
        <v>170</v>
      </c>
      <c r="U292" t="s">
        <v>109</v>
      </c>
      <c r="V292" t="s">
        <v>170</v>
      </c>
      <c r="W292" s="10" t="s">
        <v>249</v>
      </c>
      <c r="X292" t="s">
        <v>17</v>
      </c>
      <c r="Y292"/>
    </row>
    <row r="293" spans="1:25 16384:16384">
      <c r="A293" s="6">
        <v>46092</v>
      </c>
      <c r="B293" s="6">
        <v>46092</v>
      </c>
      <c r="C293" s="7">
        <f t="shared" si="151"/>
        <v>3</v>
      </c>
      <c r="D293" s="7">
        <f t="shared" si="152"/>
        <v>2026</v>
      </c>
      <c r="E293" s="187"/>
      <c r="L293" s="9">
        <v>-5.7</v>
      </c>
      <c r="M293" s="9">
        <f t="shared" si="142"/>
        <v>9675.9773999999907</v>
      </c>
      <c r="P293" t="s">
        <v>33</v>
      </c>
      <c r="Q293" t="s">
        <v>34</v>
      </c>
      <c r="S293" t="s">
        <v>145</v>
      </c>
      <c r="U293" t="s">
        <v>32</v>
      </c>
      <c r="V293" t="s">
        <v>83</v>
      </c>
      <c r="W293" s="10" t="s">
        <v>35</v>
      </c>
      <c r="X293" t="s">
        <v>35</v>
      </c>
      <c r="Y293"/>
    </row>
    <row r="294" spans="1:25 16384:16384">
      <c r="A294" s="6">
        <v>46092</v>
      </c>
      <c r="B294" s="6">
        <v>46092</v>
      </c>
      <c r="C294" s="7">
        <f t="shared" ref="C294" si="153">IF(B294="","",MONTH(B294))</f>
        <v>3</v>
      </c>
      <c r="D294" s="7">
        <f t="shared" ref="D294" si="154">IF(B294="","",YEAR(B294))</f>
        <v>2026</v>
      </c>
      <c r="E294" s="187"/>
      <c r="L294" s="71">
        <v>585.98</v>
      </c>
      <c r="M294" s="9">
        <f t="shared" si="142"/>
        <v>10261.95739999999</v>
      </c>
      <c r="P294" t="s">
        <v>14</v>
      </c>
      <c r="Q294" t="s">
        <v>147</v>
      </c>
      <c r="R294" t="s">
        <v>148</v>
      </c>
      <c r="S294" t="s">
        <v>170</v>
      </c>
      <c r="U294" t="s">
        <v>109</v>
      </c>
      <c r="V294" t="s">
        <v>170</v>
      </c>
      <c r="W294" s="10" t="s">
        <v>249</v>
      </c>
      <c r="X294" t="s">
        <v>17</v>
      </c>
      <c r="Y294"/>
    </row>
    <row r="295" spans="1:25 16384:16384">
      <c r="A295" s="6">
        <v>46093</v>
      </c>
      <c r="B295" s="6">
        <v>46093</v>
      </c>
      <c r="C295" s="7">
        <f>IF(B295="","",MONTH(B295))</f>
        <v>3</v>
      </c>
      <c r="D295" s="7">
        <f>IF(B295="","",YEAR(B295))</f>
        <v>2026</v>
      </c>
      <c r="E295" s="187"/>
      <c r="L295" s="71">
        <v>-585.98</v>
      </c>
      <c r="M295" s="9">
        <f t="shared" si="142"/>
        <v>9675.9773999999907</v>
      </c>
      <c r="P295" t="s">
        <v>14</v>
      </c>
      <c r="Q295" t="s">
        <v>147</v>
      </c>
      <c r="R295" t="s">
        <v>148</v>
      </c>
      <c r="S295" t="s">
        <v>170</v>
      </c>
      <c r="U295" t="s">
        <v>109</v>
      </c>
      <c r="V295" t="s">
        <v>170</v>
      </c>
      <c r="W295" s="10" t="s">
        <v>35</v>
      </c>
      <c r="X295" t="s">
        <v>17</v>
      </c>
      <c r="Y295"/>
    </row>
    <row r="296" spans="1:25 16384:16384">
      <c r="A296" s="6">
        <v>46113</v>
      </c>
      <c r="B296" s="6">
        <v>46113</v>
      </c>
      <c r="C296" s="7">
        <f t="shared" ref="C296:C299" si="155">IF(B296="","",MONTH(B296))</f>
        <v>4</v>
      </c>
      <c r="D296" s="7">
        <f t="shared" ref="D296:D299" si="156">IF(B296="","",YEAR(B296))</f>
        <v>2026</v>
      </c>
      <c r="E296" s="187"/>
      <c r="L296" s="9">
        <v>-40</v>
      </c>
      <c r="M296" s="9">
        <f t="shared" si="142"/>
        <v>9635.9773999999907</v>
      </c>
      <c r="P296" t="s">
        <v>33</v>
      </c>
      <c r="Q296" t="s">
        <v>34</v>
      </c>
      <c r="S296" t="s">
        <v>145</v>
      </c>
      <c r="U296" t="s">
        <v>32</v>
      </c>
      <c r="V296" t="s">
        <v>83</v>
      </c>
      <c r="W296" s="10" t="s">
        <v>35</v>
      </c>
      <c r="X296" t="s">
        <v>35</v>
      </c>
      <c r="Y296"/>
    </row>
    <row r="297" spans="1:25 16384:16384">
      <c r="A297" s="6">
        <v>46113</v>
      </c>
      <c r="B297" s="6">
        <v>46113</v>
      </c>
      <c r="C297" s="7">
        <f t="shared" si="155"/>
        <v>4</v>
      </c>
      <c r="D297" s="7">
        <f t="shared" si="156"/>
        <v>2026</v>
      </c>
      <c r="E297" s="187"/>
      <c r="L297" s="9">
        <v>-0.69</v>
      </c>
      <c r="M297" s="9">
        <f t="shared" si="142"/>
        <v>9635.2873999999902</v>
      </c>
      <c r="P297" t="s">
        <v>33</v>
      </c>
      <c r="Q297" t="s">
        <v>34</v>
      </c>
      <c r="S297" t="s">
        <v>145</v>
      </c>
      <c r="U297" t="s">
        <v>32</v>
      </c>
      <c r="V297" t="s">
        <v>83</v>
      </c>
      <c r="W297" s="10" t="s">
        <v>35</v>
      </c>
      <c r="X297" t="s">
        <v>35</v>
      </c>
      <c r="Y297"/>
      <c r="XFD297" s="194">
        <f>SUM(C297:XFC297)</f>
        <v>11664.59739999999</v>
      </c>
    </row>
    <row r="298" spans="1:25 16384:16384">
      <c r="A298" s="6">
        <v>46113</v>
      </c>
      <c r="B298" s="6">
        <v>46113</v>
      </c>
      <c r="C298" s="7">
        <f t="shared" ref="C298" si="157">IF(B298="","",MONTH(B298))</f>
        <v>4</v>
      </c>
      <c r="D298" s="7">
        <f t="shared" ref="D298" si="158">IF(B298="","",YEAR(B298))</f>
        <v>2026</v>
      </c>
      <c r="E298" s="187"/>
      <c r="L298" s="9">
        <v>-19.899999999999999</v>
      </c>
      <c r="M298" s="9">
        <f t="shared" si="142"/>
        <v>9615.3873999999905</v>
      </c>
      <c r="P298" t="s">
        <v>33</v>
      </c>
      <c r="Q298" t="s">
        <v>34</v>
      </c>
      <c r="S298" t="s">
        <v>145</v>
      </c>
      <c r="U298" t="s">
        <v>32</v>
      </c>
      <c r="V298" t="s">
        <v>83</v>
      </c>
      <c r="W298" s="10" t="s">
        <v>35</v>
      </c>
      <c r="X298" t="s">
        <v>35</v>
      </c>
      <c r="Y298"/>
      <c r="XFD298" s="194">
        <f>SUM(C298:XFC298)</f>
        <v>11625.487399999991</v>
      </c>
    </row>
    <row r="299" spans="1:25 16384:16384">
      <c r="A299" s="6">
        <v>46114</v>
      </c>
      <c r="B299" s="6">
        <v>46114</v>
      </c>
      <c r="C299" s="7">
        <f t="shared" si="155"/>
        <v>4</v>
      </c>
      <c r="D299" s="7">
        <f t="shared" si="156"/>
        <v>2026</v>
      </c>
      <c r="E299" s="187"/>
      <c r="L299" s="9">
        <v>-10</v>
      </c>
      <c r="M299" s="9">
        <f t="shared" si="142"/>
        <v>9605.3873999999905</v>
      </c>
      <c r="P299" t="s">
        <v>33</v>
      </c>
      <c r="Q299" t="s">
        <v>34</v>
      </c>
      <c r="S299" t="s">
        <v>145</v>
      </c>
      <c r="U299" t="s">
        <v>32</v>
      </c>
      <c r="V299" t="s">
        <v>249</v>
      </c>
      <c r="W299" s="10" t="s">
        <v>249</v>
      </c>
      <c r="X299" t="s">
        <v>249</v>
      </c>
      <c r="Y299"/>
    </row>
    <row r="300" spans="1:25 16384:16384">
      <c r="A300" s="6">
        <v>46114</v>
      </c>
      <c r="B300" s="6">
        <v>46114</v>
      </c>
      <c r="C300" s="7">
        <f t="shared" ref="C300:C301" si="159">IF(B300="","",MONTH(B300))</f>
        <v>4</v>
      </c>
      <c r="D300" s="7">
        <f t="shared" ref="D300:D301" si="160">IF(B300="","",YEAR(B300))</f>
        <v>2026</v>
      </c>
      <c r="E300" s="187"/>
      <c r="L300" s="9">
        <v>-16</v>
      </c>
      <c r="M300" s="9">
        <f t="shared" si="142"/>
        <v>9589.3873999999905</v>
      </c>
      <c r="P300" t="s">
        <v>33</v>
      </c>
      <c r="Q300" t="s">
        <v>34</v>
      </c>
      <c r="S300" t="s">
        <v>145</v>
      </c>
      <c r="U300" t="s">
        <v>32</v>
      </c>
      <c r="V300" t="s">
        <v>249</v>
      </c>
      <c r="W300" s="10" t="s">
        <v>249</v>
      </c>
      <c r="X300" t="s">
        <v>249</v>
      </c>
      <c r="Y300"/>
    </row>
    <row r="301" spans="1:25 16384:16384">
      <c r="A301" s="6">
        <v>46144</v>
      </c>
      <c r="B301" s="6">
        <v>46144</v>
      </c>
      <c r="C301" s="7">
        <f t="shared" si="159"/>
        <v>5</v>
      </c>
      <c r="D301" s="7">
        <f t="shared" si="160"/>
        <v>2026</v>
      </c>
      <c r="E301" s="187"/>
      <c r="L301" s="9">
        <v>-19.899999999999999</v>
      </c>
      <c r="M301" s="9">
        <f t="shared" si="142"/>
        <v>9569.4873999999909</v>
      </c>
      <c r="P301" t="s">
        <v>33</v>
      </c>
      <c r="Q301" t="s">
        <v>34</v>
      </c>
      <c r="S301" t="s">
        <v>145</v>
      </c>
      <c r="U301" t="s">
        <v>32</v>
      </c>
      <c r="V301" t="s">
        <v>83</v>
      </c>
      <c r="W301" s="10" t="s">
        <v>35</v>
      </c>
      <c r="X301" t="s">
        <v>35</v>
      </c>
      <c r="Y301"/>
      <c r="XFD301" s="194">
        <f>SUM(C301:XFC301)</f>
        <v>11580.587399999991</v>
      </c>
    </row>
    <row r="302" spans="1:25 16384:16384">
      <c r="A302" s="6">
        <v>46144</v>
      </c>
      <c r="B302" s="6">
        <v>46144</v>
      </c>
      <c r="C302" s="7">
        <f>IF(B302="","",MONTH(B302))</f>
        <v>5</v>
      </c>
      <c r="D302" s="7">
        <f>IF(B302="","",YEAR(B302))</f>
        <v>2026</v>
      </c>
      <c r="E302" s="187"/>
      <c r="L302" s="9">
        <v>-10</v>
      </c>
      <c r="M302" s="9">
        <f t="shared" si="142"/>
        <v>9559.4873999999909</v>
      </c>
      <c r="P302" t="s">
        <v>33</v>
      </c>
      <c r="Q302" t="s">
        <v>34</v>
      </c>
      <c r="S302" t="s">
        <v>145</v>
      </c>
      <c r="U302" t="s">
        <v>32</v>
      </c>
      <c r="V302" t="s">
        <v>249</v>
      </c>
      <c r="W302" s="10" t="s">
        <v>249</v>
      </c>
      <c r="X302" t="s">
        <v>249</v>
      </c>
      <c r="Y302"/>
    </row>
    <row r="303" spans="1:25 16384:16384">
      <c r="A303" s="6">
        <v>46144</v>
      </c>
      <c r="B303" s="6">
        <v>46144</v>
      </c>
      <c r="C303" s="7">
        <f>IF(B303="","",MONTH(B303))</f>
        <v>5</v>
      </c>
      <c r="D303" s="7">
        <f>IF(B303="","",YEAR(B303))</f>
        <v>2026</v>
      </c>
      <c r="E303" s="187"/>
      <c r="L303" s="9">
        <v>-8</v>
      </c>
      <c r="M303" s="9">
        <f t="shared" si="142"/>
        <v>9551.4873999999909</v>
      </c>
      <c r="P303" t="s">
        <v>33</v>
      </c>
      <c r="Q303" t="s">
        <v>34</v>
      </c>
      <c r="S303" t="s">
        <v>145</v>
      </c>
      <c r="U303" t="s">
        <v>32</v>
      </c>
      <c r="V303" t="s">
        <v>249</v>
      </c>
      <c r="W303" s="10" t="s">
        <v>249</v>
      </c>
      <c r="X303" t="s">
        <v>249</v>
      </c>
      <c r="Y303"/>
    </row>
    <row r="304" spans="1:25 16384:16384">
      <c r="A304" s="6">
        <v>46161</v>
      </c>
      <c r="B304" s="6">
        <v>46161</v>
      </c>
      <c r="C304" s="7">
        <f t="shared" ref="C304:C306" si="161">IF(B304="","",MONTH(B304))</f>
        <v>5</v>
      </c>
      <c r="D304" s="7">
        <f t="shared" ref="D304:D306" si="162">IF(B304="","",YEAR(B304))</f>
        <v>2026</v>
      </c>
      <c r="E304" s="187"/>
      <c r="L304" s="9">
        <v>-19.510000000000002</v>
      </c>
      <c r="M304" s="9">
        <f t="shared" si="142"/>
        <v>9531.9773999999907</v>
      </c>
      <c r="P304" t="s">
        <v>33</v>
      </c>
      <c r="Q304" t="s">
        <v>34</v>
      </c>
      <c r="S304" t="s">
        <v>145</v>
      </c>
      <c r="U304" t="s">
        <v>32</v>
      </c>
      <c r="V304" t="s">
        <v>83</v>
      </c>
      <c r="W304" s="10" t="s">
        <v>35</v>
      </c>
      <c r="X304" t="s">
        <v>35</v>
      </c>
      <c r="Y304"/>
      <c r="XFD304" s="194">
        <f>SUM(C304:XFC304)</f>
        <v>11543.46739999999</v>
      </c>
    </row>
    <row r="305" spans="1:25 16384:16384">
      <c r="A305" s="6">
        <v>46163</v>
      </c>
      <c r="B305" s="6">
        <v>46163</v>
      </c>
      <c r="C305" s="7">
        <f t="shared" ref="C305" si="163">IF(B305="","",MONTH(B305))</f>
        <v>5</v>
      </c>
      <c r="D305" s="7">
        <f t="shared" ref="D305" si="164">IF(B305="","",YEAR(B305))</f>
        <v>2026</v>
      </c>
      <c r="E305" s="187"/>
      <c r="L305" s="9">
        <v>19.510000000000002</v>
      </c>
      <c r="M305" s="9">
        <f t="shared" si="142"/>
        <v>9551.4873999999909</v>
      </c>
      <c r="P305" t="s">
        <v>33</v>
      </c>
      <c r="Q305" t="s">
        <v>34</v>
      </c>
      <c r="S305" t="s">
        <v>145</v>
      </c>
      <c r="U305" t="s">
        <v>32</v>
      </c>
      <c r="V305" t="s">
        <v>249</v>
      </c>
      <c r="W305" s="10" t="s">
        <v>249</v>
      </c>
      <c r="X305" t="s">
        <v>35</v>
      </c>
      <c r="Y305"/>
      <c r="XFD305" s="194">
        <f>SUM(C305:XFC305)</f>
        <v>11601.997399999991</v>
      </c>
    </row>
    <row r="306" spans="1:25 16384:16384">
      <c r="A306" s="6">
        <v>46163</v>
      </c>
      <c r="B306" s="6">
        <v>46163</v>
      </c>
      <c r="C306" s="7">
        <f t="shared" si="161"/>
        <v>5</v>
      </c>
      <c r="D306" s="7">
        <f t="shared" si="162"/>
        <v>2026</v>
      </c>
      <c r="E306" s="187"/>
      <c r="L306" s="9">
        <v>-401.25</v>
      </c>
      <c r="M306" s="9">
        <f t="shared" si="142"/>
        <v>9150.2373999999909</v>
      </c>
      <c r="P306" t="s">
        <v>33</v>
      </c>
      <c r="Q306" t="s">
        <v>34</v>
      </c>
      <c r="S306" t="s">
        <v>144</v>
      </c>
      <c r="T306" t="s">
        <v>205</v>
      </c>
      <c r="U306" t="s">
        <v>245</v>
      </c>
      <c r="V306" t="s">
        <v>102</v>
      </c>
      <c r="W306" s="10" t="s">
        <v>249</v>
      </c>
      <c r="X306" t="s">
        <v>79</v>
      </c>
      <c r="Y306" s="10">
        <v>2026</v>
      </c>
    </row>
    <row r="307" spans="1:25 16384:16384">
      <c r="A307" s="6">
        <v>46175</v>
      </c>
      <c r="B307" s="6">
        <v>46175</v>
      </c>
      <c r="C307" s="7">
        <f>IF(B307="","",MONTH(B307))</f>
        <v>6</v>
      </c>
      <c r="D307" s="7">
        <f>IF(B307="","",YEAR(B307))</f>
        <v>2026</v>
      </c>
      <c r="E307" s="187"/>
      <c r="L307" s="9">
        <v>-10</v>
      </c>
      <c r="M307" s="9">
        <f t="shared" si="142"/>
        <v>9140.2373999999909</v>
      </c>
      <c r="P307" t="s">
        <v>33</v>
      </c>
      <c r="Q307" t="s">
        <v>34</v>
      </c>
      <c r="S307" t="s">
        <v>145</v>
      </c>
      <c r="U307" t="s">
        <v>32</v>
      </c>
      <c r="V307" t="s">
        <v>249</v>
      </c>
      <c r="W307" s="10" t="s">
        <v>249</v>
      </c>
      <c r="X307" t="s">
        <v>249</v>
      </c>
      <c r="Y307"/>
    </row>
    <row r="308" spans="1:25 16384:16384">
      <c r="A308" s="6">
        <v>46175</v>
      </c>
      <c r="B308" s="6">
        <v>46175</v>
      </c>
      <c r="C308" s="7">
        <f>IF(B308="","",MONTH(B308))</f>
        <v>6</v>
      </c>
      <c r="D308" s="7">
        <f>IF(B308="","",YEAR(B308))</f>
        <v>2026</v>
      </c>
      <c r="E308" s="187"/>
      <c r="L308" s="9">
        <v>-8</v>
      </c>
      <c r="M308" s="9">
        <f t="shared" si="142"/>
        <v>9132.2373999999909</v>
      </c>
      <c r="P308" t="s">
        <v>33</v>
      </c>
      <c r="Q308" t="s">
        <v>34</v>
      </c>
      <c r="S308" t="s">
        <v>145</v>
      </c>
      <c r="U308" t="s">
        <v>32</v>
      </c>
      <c r="V308" t="s">
        <v>249</v>
      </c>
      <c r="W308" s="10" t="s">
        <v>249</v>
      </c>
      <c r="X308" t="s">
        <v>249</v>
      </c>
      <c r="Y308"/>
    </row>
    <row r="309" spans="1:25 16384:16384">
      <c r="A309" s="6">
        <v>46203</v>
      </c>
      <c r="B309" s="6">
        <v>46203</v>
      </c>
      <c r="C309" s="7">
        <f>IF(B309="","",MONTH(B309))</f>
        <v>6</v>
      </c>
      <c r="D309" s="7">
        <f>IF(B309="","",YEAR(B309))</f>
        <v>2026</v>
      </c>
      <c r="E309" s="187"/>
      <c r="L309" s="9">
        <v>-43434.36</v>
      </c>
      <c r="M309" s="9">
        <f t="shared" si="142"/>
        <v>-34302.12260000001</v>
      </c>
      <c r="N309" s="8" t="s">
        <v>69</v>
      </c>
      <c r="P309" t="s">
        <v>14</v>
      </c>
      <c r="Q309" t="s">
        <v>147</v>
      </c>
      <c r="R309" t="s">
        <v>148</v>
      </c>
      <c r="S309" t="s">
        <v>13</v>
      </c>
      <c r="U309" t="s">
        <v>109</v>
      </c>
      <c r="V309" t="s">
        <v>165</v>
      </c>
      <c r="X309" t="s">
        <v>17</v>
      </c>
    </row>
    <row r="310" spans="1:25 16384:16384">
      <c r="A310" s="6">
        <v>46203</v>
      </c>
      <c r="B310" s="6">
        <v>46203</v>
      </c>
      <c r="C310" s="7">
        <f>IF(B310="","",MONTH(B310))</f>
        <v>6</v>
      </c>
      <c r="D310" s="7">
        <f>IF(B310="","",YEAR(B310))</f>
        <v>2026</v>
      </c>
      <c r="E310" s="187"/>
      <c r="L310" s="9">
        <v>43434.36</v>
      </c>
      <c r="M310" s="9">
        <f t="shared" si="142"/>
        <v>9132.2373999999909</v>
      </c>
      <c r="N310" s="8" t="s">
        <v>69</v>
      </c>
      <c r="P310" t="s">
        <v>14</v>
      </c>
      <c r="Q310" t="s">
        <v>147</v>
      </c>
      <c r="R310" t="s">
        <v>148</v>
      </c>
      <c r="S310" t="s">
        <v>13</v>
      </c>
      <c r="U310" t="s">
        <v>109</v>
      </c>
      <c r="V310" t="s">
        <v>168</v>
      </c>
      <c r="X310" t="s">
        <v>22</v>
      </c>
    </row>
    <row r="311" spans="1:25 16384:16384">
      <c r="A311" s="6">
        <v>46203</v>
      </c>
      <c r="B311" s="6">
        <v>46203</v>
      </c>
      <c r="C311" s="7">
        <f>IF(B311="","",MONTH(B311))</f>
        <v>6</v>
      </c>
      <c r="D311" s="7">
        <f>IF(B311="","",YEAR(B311))</f>
        <v>2026</v>
      </c>
      <c r="E311" s="187"/>
      <c r="L311" s="9">
        <v>-520</v>
      </c>
      <c r="M311" s="9">
        <f t="shared" si="142"/>
        <v>8612.2373999999909</v>
      </c>
      <c r="N311" s="8" t="s">
        <v>69</v>
      </c>
      <c r="O311" s="27">
        <v>-520</v>
      </c>
      <c r="P311" t="s">
        <v>14</v>
      </c>
      <c r="Q311" t="s">
        <v>147</v>
      </c>
      <c r="R311" t="s">
        <v>149</v>
      </c>
      <c r="S311" t="s">
        <v>196</v>
      </c>
      <c r="U311" t="s">
        <v>197</v>
      </c>
      <c r="V311" t="s">
        <v>228</v>
      </c>
      <c r="X311" t="s">
        <v>54</v>
      </c>
      <c r="Y311"/>
    </row>
    <row r="312" spans="1:25 16384:16384">
      <c r="A312" s="6">
        <v>46203</v>
      </c>
      <c r="B312" s="6">
        <v>46203</v>
      </c>
      <c r="C312" s="7">
        <f t="shared" ref="C312" si="165">IF(B312="","",MONTH(B312))</f>
        <v>6</v>
      </c>
      <c r="D312" s="7">
        <f t="shared" ref="D312" si="166">IF(B312="","",YEAR(B312))</f>
        <v>2026</v>
      </c>
      <c r="E312" s="187"/>
      <c r="L312" s="9">
        <v>520</v>
      </c>
      <c r="M312" s="9">
        <f t="shared" si="142"/>
        <v>9132.2373999999909</v>
      </c>
      <c r="N312" s="8" t="s">
        <v>69</v>
      </c>
      <c r="O312" s="27">
        <v>520</v>
      </c>
      <c r="P312" t="s">
        <v>14</v>
      </c>
      <c r="Q312" t="s">
        <v>147</v>
      </c>
      <c r="R312" t="s">
        <v>149</v>
      </c>
      <c r="S312" t="s">
        <v>196</v>
      </c>
      <c r="U312" t="s">
        <v>197</v>
      </c>
      <c r="V312" t="s">
        <v>230</v>
      </c>
      <c r="X312" t="s">
        <v>22</v>
      </c>
      <c r="Y312"/>
    </row>
    <row r="313" spans="1:25 16384:16384">
      <c r="A313" s="6">
        <v>46203</v>
      </c>
      <c r="B313" s="6">
        <v>46203</v>
      </c>
      <c r="C313" s="7">
        <f>IF(B313="","",MONTH(B313))</f>
        <v>6</v>
      </c>
      <c r="D313" s="7">
        <f>IF(B313="","",YEAR(B313))</f>
        <v>2026</v>
      </c>
      <c r="E313" s="187"/>
      <c r="L313" s="9">
        <v>-135</v>
      </c>
      <c r="M313" s="9">
        <f t="shared" si="142"/>
        <v>8997.2373999999909</v>
      </c>
      <c r="N313" s="8" t="s">
        <v>67</v>
      </c>
      <c r="O313" s="27">
        <v>-135</v>
      </c>
      <c r="P313" t="s">
        <v>14</v>
      </c>
      <c r="Q313" t="s">
        <v>147</v>
      </c>
      <c r="R313" t="s">
        <v>149</v>
      </c>
      <c r="S313" t="s">
        <v>196</v>
      </c>
      <c r="U313" t="s">
        <v>197</v>
      </c>
      <c r="V313" t="s">
        <v>228</v>
      </c>
      <c r="X313" t="s">
        <v>54</v>
      </c>
      <c r="Y313"/>
    </row>
    <row r="314" spans="1:25 16384:16384">
      <c r="A314" s="6">
        <v>46203</v>
      </c>
      <c r="B314" s="6">
        <v>46203</v>
      </c>
      <c r="C314" s="7">
        <f t="shared" ref="C314" si="167">IF(B314="","",MONTH(B314))</f>
        <v>6</v>
      </c>
      <c r="D314" s="7">
        <f t="shared" ref="D314" si="168">IF(B314="","",YEAR(B314))</f>
        <v>2026</v>
      </c>
      <c r="E314" s="187"/>
      <c r="L314" s="9">
        <v>135</v>
      </c>
      <c r="M314" s="9">
        <f t="shared" si="142"/>
        <v>9132.2373999999909</v>
      </c>
      <c r="N314" s="8" t="s">
        <v>67</v>
      </c>
      <c r="O314" s="27">
        <v>135</v>
      </c>
      <c r="P314" t="s">
        <v>14</v>
      </c>
      <c r="Q314" t="s">
        <v>147</v>
      </c>
      <c r="R314" t="s">
        <v>149</v>
      </c>
      <c r="S314" t="s">
        <v>196</v>
      </c>
      <c r="U314" t="s">
        <v>197</v>
      </c>
      <c r="V314" t="s">
        <v>230</v>
      </c>
      <c r="X314" t="s">
        <v>22</v>
      </c>
      <c r="Y314"/>
    </row>
    <row r="315" spans="1:25 16384:16384">
      <c r="A315" s="6">
        <v>46205</v>
      </c>
      <c r="B315" s="6">
        <v>46205</v>
      </c>
      <c r="C315" s="7">
        <f>IF(B315="","",MONTH(B315))</f>
        <v>7</v>
      </c>
      <c r="D315" s="7">
        <f>IF(B315="","",YEAR(B315))</f>
        <v>2026</v>
      </c>
      <c r="E315" s="187"/>
      <c r="L315" s="9">
        <v>-10</v>
      </c>
      <c r="M315" s="9">
        <f t="shared" si="142"/>
        <v>9122.2373999999909</v>
      </c>
      <c r="P315" t="s">
        <v>33</v>
      </c>
      <c r="Q315" t="s">
        <v>34</v>
      </c>
      <c r="S315" t="s">
        <v>145</v>
      </c>
      <c r="U315" t="s">
        <v>32</v>
      </c>
      <c r="V315" t="s">
        <v>249</v>
      </c>
      <c r="W315" s="10" t="s">
        <v>249</v>
      </c>
      <c r="X315" t="s">
        <v>249</v>
      </c>
      <c r="Y315"/>
    </row>
    <row r="316" spans="1:25 16384:16384">
      <c r="A316" s="6">
        <v>46205</v>
      </c>
      <c r="B316" s="6">
        <v>46205</v>
      </c>
      <c r="C316" s="7">
        <f>IF(B316="","",MONTH(B316))</f>
        <v>7</v>
      </c>
      <c r="D316" s="7">
        <f>IF(B316="","",YEAR(B316))</f>
        <v>2026</v>
      </c>
      <c r="E316" s="187"/>
      <c r="L316" s="9">
        <v>-8</v>
      </c>
      <c r="M316" s="9">
        <f t="shared" si="142"/>
        <v>9114.2373999999909</v>
      </c>
      <c r="P316" t="s">
        <v>33</v>
      </c>
      <c r="Q316" t="s">
        <v>34</v>
      </c>
      <c r="S316" t="s">
        <v>145</v>
      </c>
      <c r="U316" t="s">
        <v>32</v>
      </c>
      <c r="V316" t="s">
        <v>249</v>
      </c>
      <c r="W316" s="10" t="s">
        <v>249</v>
      </c>
      <c r="X316" t="s">
        <v>249</v>
      </c>
      <c r="Y316"/>
    </row>
    <row r="317" spans="1:25 16384:16384">
      <c r="A317" s="6">
        <v>46212</v>
      </c>
      <c r="B317" s="6">
        <v>46212</v>
      </c>
      <c r="C317" s="7">
        <f t="shared" ref="C317" si="169">IF(B317="","",MONTH(B317))</f>
        <v>7</v>
      </c>
      <c r="D317" s="7">
        <f t="shared" ref="D317" si="170">IF(B317="","",YEAR(B317))</f>
        <v>2026</v>
      </c>
      <c r="E317" s="187"/>
      <c r="L317" s="9">
        <v>-350</v>
      </c>
      <c r="M317" s="9">
        <f t="shared" si="142"/>
        <v>8764.2373999999909</v>
      </c>
      <c r="P317" t="s">
        <v>33</v>
      </c>
      <c r="Q317" t="s">
        <v>34</v>
      </c>
      <c r="S317" t="s">
        <v>143</v>
      </c>
      <c r="U317" t="s">
        <v>127</v>
      </c>
      <c r="V317" t="s">
        <v>126</v>
      </c>
      <c r="W317" s="10" t="s">
        <v>249</v>
      </c>
      <c r="X317" t="s">
        <v>249</v>
      </c>
      <c r="Y317"/>
    </row>
    <row r="318" spans="1:25 16384:16384">
      <c r="A318" s="6">
        <v>46236</v>
      </c>
      <c r="B318" s="6">
        <v>46236</v>
      </c>
      <c r="C318" s="7">
        <f t="shared" ref="C318:C324" si="171">IF(B318="","",MONTH(B318))</f>
        <v>8</v>
      </c>
      <c r="D318" s="7">
        <f t="shared" ref="D318:D324" si="172">IF(B318="","",YEAR(B318))</f>
        <v>2026</v>
      </c>
      <c r="E318" s="187"/>
      <c r="L318" s="9">
        <v>-10</v>
      </c>
      <c r="M318" s="9">
        <f t="shared" si="142"/>
        <v>8754.2373999999909</v>
      </c>
      <c r="P318" t="s">
        <v>33</v>
      </c>
      <c r="Q318" t="s">
        <v>34</v>
      </c>
      <c r="S318" t="s">
        <v>145</v>
      </c>
      <c r="U318" t="s">
        <v>32</v>
      </c>
      <c r="V318" t="s">
        <v>249</v>
      </c>
      <c r="W318" s="10" t="s">
        <v>249</v>
      </c>
      <c r="X318" t="s">
        <v>249</v>
      </c>
      <c r="Y318"/>
    </row>
    <row r="319" spans="1:25 16384:16384">
      <c r="A319" s="6">
        <v>46236</v>
      </c>
      <c r="B319" s="6">
        <v>46236</v>
      </c>
      <c r="C319" s="7">
        <f t="shared" si="171"/>
        <v>8</v>
      </c>
      <c r="D319" s="7">
        <f t="shared" si="172"/>
        <v>2026</v>
      </c>
      <c r="E319" s="187"/>
      <c r="L319" s="9">
        <v>-8</v>
      </c>
      <c r="M319" s="9">
        <f t="shared" si="142"/>
        <v>8746.2373999999909</v>
      </c>
      <c r="P319" t="s">
        <v>33</v>
      </c>
      <c r="Q319" t="s">
        <v>34</v>
      </c>
      <c r="S319" t="s">
        <v>145</v>
      </c>
      <c r="U319" t="s">
        <v>32</v>
      </c>
      <c r="V319" t="s">
        <v>249</v>
      </c>
      <c r="W319" s="10" t="s">
        <v>249</v>
      </c>
      <c r="X319" t="s">
        <v>249</v>
      </c>
      <c r="Y319"/>
    </row>
    <row r="320" spans="1:25 16384:16384">
      <c r="A320" s="6">
        <v>46243</v>
      </c>
      <c r="B320" s="6">
        <v>46243</v>
      </c>
      <c r="C320" s="7">
        <f t="shared" si="171"/>
        <v>8</v>
      </c>
      <c r="D320" s="7">
        <f t="shared" si="172"/>
        <v>2026</v>
      </c>
      <c r="E320" s="187"/>
      <c r="L320" s="9">
        <v>-401.25</v>
      </c>
      <c r="M320" s="9">
        <f t="shared" si="142"/>
        <v>8344.9873999999909</v>
      </c>
      <c r="P320" t="s">
        <v>33</v>
      </c>
      <c r="Q320" t="s">
        <v>34</v>
      </c>
      <c r="S320" t="s">
        <v>144</v>
      </c>
      <c r="T320" t="s">
        <v>205</v>
      </c>
      <c r="U320" t="s">
        <v>245</v>
      </c>
      <c r="V320" t="s">
        <v>102</v>
      </c>
      <c r="W320" s="10" t="s">
        <v>249</v>
      </c>
      <c r="X320" t="s">
        <v>79</v>
      </c>
      <c r="Y320" s="10">
        <v>2026</v>
      </c>
    </row>
    <row r="321" spans="1:25">
      <c r="A321" s="6">
        <v>46267</v>
      </c>
      <c r="B321" s="6">
        <v>46267</v>
      </c>
      <c r="C321" s="7">
        <f t="shared" si="171"/>
        <v>9</v>
      </c>
      <c r="D321" s="7">
        <f t="shared" si="172"/>
        <v>2026</v>
      </c>
      <c r="E321" s="187"/>
      <c r="L321" s="9">
        <v>-10</v>
      </c>
      <c r="M321" s="9">
        <f t="shared" si="142"/>
        <v>8334.9873999999909</v>
      </c>
      <c r="P321" t="s">
        <v>33</v>
      </c>
      <c r="Q321" t="s">
        <v>34</v>
      </c>
      <c r="S321" t="s">
        <v>145</v>
      </c>
      <c r="U321" t="s">
        <v>32</v>
      </c>
      <c r="V321" t="s">
        <v>249</v>
      </c>
      <c r="W321" s="10" t="s">
        <v>249</v>
      </c>
      <c r="X321" t="s">
        <v>249</v>
      </c>
      <c r="Y321"/>
    </row>
    <row r="322" spans="1:25">
      <c r="A322" s="6">
        <v>46267</v>
      </c>
      <c r="B322" s="6">
        <v>46267</v>
      </c>
      <c r="C322" s="7">
        <f t="shared" si="171"/>
        <v>9</v>
      </c>
      <c r="D322" s="7">
        <f t="shared" si="172"/>
        <v>2026</v>
      </c>
      <c r="E322" s="187"/>
      <c r="L322" s="9">
        <v>-8</v>
      </c>
      <c r="M322" s="9">
        <f t="shared" si="142"/>
        <v>8326.9873999999909</v>
      </c>
      <c r="P322" t="s">
        <v>33</v>
      </c>
      <c r="Q322" t="s">
        <v>34</v>
      </c>
      <c r="S322" t="s">
        <v>145</v>
      </c>
      <c r="U322" t="s">
        <v>32</v>
      </c>
      <c r="V322" t="s">
        <v>249</v>
      </c>
      <c r="W322" s="10" t="s">
        <v>249</v>
      </c>
      <c r="X322" t="s">
        <v>249</v>
      </c>
      <c r="Y322"/>
    </row>
    <row r="323" spans="1:25">
      <c r="A323" s="6">
        <v>46297</v>
      </c>
      <c r="B323" s="6">
        <v>46297</v>
      </c>
      <c r="C323" s="7">
        <f t="shared" si="171"/>
        <v>10</v>
      </c>
      <c r="D323" s="7">
        <f t="shared" si="172"/>
        <v>2026</v>
      </c>
      <c r="E323" s="187"/>
      <c r="L323" s="9">
        <v>-10</v>
      </c>
      <c r="M323" s="9">
        <f t="shared" ref="M323:M324" si="173">M322+L323</f>
        <v>8316.9873999999909</v>
      </c>
      <c r="P323" t="s">
        <v>33</v>
      </c>
      <c r="Q323" t="s">
        <v>34</v>
      </c>
      <c r="S323" t="s">
        <v>145</v>
      </c>
      <c r="U323" t="s">
        <v>32</v>
      </c>
      <c r="V323" t="s">
        <v>249</v>
      </c>
      <c r="W323" s="10" t="s">
        <v>249</v>
      </c>
      <c r="X323" t="s">
        <v>249</v>
      </c>
      <c r="Y323"/>
    </row>
    <row r="324" spans="1:25">
      <c r="A324" s="6">
        <v>46297</v>
      </c>
      <c r="B324" s="6">
        <v>46297</v>
      </c>
      <c r="C324" s="7">
        <f t="shared" si="171"/>
        <v>10</v>
      </c>
      <c r="D324" s="7">
        <f t="shared" si="172"/>
        <v>2026</v>
      </c>
      <c r="E324" s="187"/>
      <c r="L324" s="9">
        <v>-8</v>
      </c>
      <c r="M324" s="9">
        <f t="shared" si="173"/>
        <v>8308.9873999999909</v>
      </c>
      <c r="P324" t="s">
        <v>33</v>
      </c>
      <c r="Q324" t="s">
        <v>34</v>
      </c>
      <c r="S324" t="s">
        <v>145</v>
      </c>
      <c r="U324" t="s">
        <v>32</v>
      </c>
      <c r="V324" t="s">
        <v>249</v>
      </c>
      <c r="W324" s="10" t="s">
        <v>249</v>
      </c>
      <c r="X324" t="s">
        <v>249</v>
      </c>
      <c r="Y324"/>
    </row>
    <row r="325" spans="1:25" ht="15.75" thickBot="1"/>
    <row r="326" spans="1:25" ht="15.75" thickBot="1">
      <c r="E326" s="188">
        <f>SUM(E2:E281)</f>
        <v>-62000</v>
      </c>
      <c r="F326" s="193">
        <f>SUM(F2:F325)</f>
        <v>-3081.75</v>
      </c>
      <c r="L326" s="166">
        <f>SUBTOTAL(9,L30:L325)</f>
        <v>8308.9873999999909</v>
      </c>
    </row>
    <row r="331" spans="1:25">
      <c r="A331" s="6">
        <v>46336</v>
      </c>
      <c r="B331" s="6">
        <v>46336</v>
      </c>
      <c r="C331" s="7">
        <f t="shared" ref="C331" si="174">IF(B331="","",MONTH(B331))</f>
        <v>11</v>
      </c>
      <c r="D331" s="7">
        <f t="shared" ref="D331" si="175">IF(B331="","",YEAR(B331))</f>
        <v>2026</v>
      </c>
      <c r="E331" s="187"/>
      <c r="L331" s="9">
        <v>-401.25</v>
      </c>
      <c r="M331" s="9">
        <f>M320+L331</f>
        <v>7943.7373999999909</v>
      </c>
      <c r="P331" t="s">
        <v>33</v>
      </c>
      <c r="Q331" t="s">
        <v>34</v>
      </c>
      <c r="S331" t="s">
        <v>144</v>
      </c>
      <c r="T331" t="s">
        <v>205</v>
      </c>
      <c r="U331" t="s">
        <v>245</v>
      </c>
      <c r="V331" t="s">
        <v>102</v>
      </c>
      <c r="W331" s="10" t="s">
        <v>249</v>
      </c>
      <c r="X331" t="s">
        <v>79</v>
      </c>
      <c r="Y331" s="10">
        <v>2026</v>
      </c>
    </row>
  </sheetData>
  <autoFilter ref="A1:Z317" xr:uid="{00000000-0009-0000-0000-000001000000}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F0A7-4006-4A8D-8910-1CCCA11978E6}">
  <dimension ref="A1:B66"/>
  <sheetViews>
    <sheetView topLeftCell="A28" workbookViewId="0">
      <selection activeCell="B49" sqref="B49"/>
    </sheetView>
  </sheetViews>
  <sheetFormatPr defaultColWidth="9.140625" defaultRowHeight="15"/>
  <cols>
    <col min="1" max="1" width="52.28515625" bestFit="1" customWidth="1"/>
    <col min="2" max="2" width="30" bestFit="1" customWidth="1"/>
    <col min="3" max="4" width="11.140625" bestFit="1" customWidth="1"/>
    <col min="5" max="7" width="11.28515625" bestFit="1" customWidth="1"/>
  </cols>
  <sheetData>
    <row r="1" spans="1:2">
      <c r="A1" s="11" t="s">
        <v>8</v>
      </c>
      <c r="B1" t="s">
        <v>14</v>
      </c>
    </row>
    <row r="2" spans="1:2">
      <c r="A2" s="11" t="s">
        <v>9</v>
      </c>
      <c r="B2" t="s">
        <v>147</v>
      </c>
    </row>
    <row r="3" spans="1:2">
      <c r="A3" s="11" t="s">
        <v>3</v>
      </c>
      <c r="B3" t="s">
        <v>259</v>
      </c>
    </row>
    <row r="5" spans="1:2">
      <c r="A5" s="11" t="s">
        <v>257</v>
      </c>
      <c r="B5" t="s">
        <v>31</v>
      </c>
    </row>
    <row r="6" spans="1:2">
      <c r="A6" s="12" t="s">
        <v>149</v>
      </c>
      <c r="B6" s="9"/>
    </row>
    <row r="7" spans="1:2">
      <c r="A7" s="13" t="s">
        <v>196</v>
      </c>
      <c r="B7" s="9"/>
    </row>
    <row r="8" spans="1:2">
      <c r="A8" s="14" t="s">
        <v>197</v>
      </c>
      <c r="B8" s="9"/>
    </row>
    <row r="9" spans="1:2">
      <c r="A9" s="132" t="s">
        <v>218</v>
      </c>
      <c r="B9" s="9">
        <v>659</v>
      </c>
    </row>
    <row r="10" spans="1:2">
      <c r="A10" s="132" t="s">
        <v>219</v>
      </c>
      <c r="B10" s="9">
        <v>659</v>
      </c>
    </row>
    <row r="11" spans="1:2">
      <c r="A11" s="132" t="s">
        <v>220</v>
      </c>
      <c r="B11" s="9">
        <v>600</v>
      </c>
    </row>
    <row r="12" spans="1:2">
      <c r="A12" s="132" t="s">
        <v>221</v>
      </c>
      <c r="B12" s="9">
        <v>600</v>
      </c>
    </row>
    <row r="13" spans="1:2">
      <c r="A13" s="132" t="s">
        <v>222</v>
      </c>
      <c r="B13" s="9">
        <v>372.00000000000006</v>
      </c>
    </row>
    <row r="14" spans="1:2">
      <c r="A14" s="132" t="s">
        <v>223</v>
      </c>
      <c r="B14" s="9">
        <v>2036</v>
      </c>
    </row>
    <row r="15" spans="1:2">
      <c r="A15" s="132" t="s">
        <v>224</v>
      </c>
      <c r="B15" s="9">
        <v>749</v>
      </c>
    </row>
    <row r="16" spans="1:2">
      <c r="A16" s="132" t="s">
        <v>225</v>
      </c>
      <c r="B16" s="9">
        <v>763</v>
      </c>
    </row>
    <row r="17" spans="1:2">
      <c r="A17" s="132" t="s">
        <v>226</v>
      </c>
      <c r="B17" s="9">
        <v>1452</v>
      </c>
    </row>
    <row r="18" spans="1:2">
      <c r="A18" s="132" t="s">
        <v>227</v>
      </c>
      <c r="B18" s="9">
        <v>1452</v>
      </c>
    </row>
    <row r="19" spans="1:2">
      <c r="A19" s="132" t="s">
        <v>228</v>
      </c>
      <c r="B19" s="9">
        <v>1.8207657603852567E-14</v>
      </c>
    </row>
    <row r="20" spans="1:2">
      <c r="A20" s="132" t="s">
        <v>229</v>
      </c>
      <c r="B20" s="9">
        <v>1796</v>
      </c>
    </row>
    <row r="21" spans="1:2">
      <c r="A21" s="132" t="s">
        <v>230</v>
      </c>
      <c r="B21" s="9">
        <v>2380</v>
      </c>
    </row>
    <row r="22" spans="1:2">
      <c r="A22" s="132" t="s">
        <v>231</v>
      </c>
      <c r="B22" s="9">
        <v>1482</v>
      </c>
    </row>
    <row r="23" spans="1:2">
      <c r="A23" s="14" t="s">
        <v>279</v>
      </c>
      <c r="B23" s="9">
        <v>15000</v>
      </c>
    </row>
    <row r="24" spans="1:2">
      <c r="A24" s="13" t="s">
        <v>280</v>
      </c>
      <c r="B24" s="9">
        <v>15000</v>
      </c>
    </row>
    <row r="25" spans="1:2">
      <c r="A25" s="13" t="s">
        <v>195</v>
      </c>
      <c r="B25" s="9"/>
    </row>
    <row r="26" spans="1:2">
      <c r="A26" s="14" t="s">
        <v>174</v>
      </c>
      <c r="B26" s="9"/>
    </row>
    <row r="27" spans="1:2">
      <c r="A27" s="132" t="s">
        <v>173</v>
      </c>
      <c r="B27" s="9">
        <v>888.85</v>
      </c>
    </row>
    <row r="28" spans="1:2">
      <c r="A28" s="14" t="s">
        <v>281</v>
      </c>
      <c r="B28" s="9">
        <v>888.85</v>
      </c>
    </row>
    <row r="29" spans="1:2">
      <c r="A29" s="13" t="s">
        <v>282</v>
      </c>
      <c r="B29" s="9">
        <v>888.85</v>
      </c>
    </row>
    <row r="30" spans="1:2">
      <c r="A30" s="13" t="s">
        <v>193</v>
      </c>
      <c r="B30" s="9"/>
    </row>
    <row r="31" spans="1:2">
      <c r="A31" s="14" t="s">
        <v>175</v>
      </c>
      <c r="B31" s="9"/>
    </row>
    <row r="32" spans="1:2">
      <c r="A32" s="132" t="s">
        <v>176</v>
      </c>
      <c r="B32" s="9">
        <v>-26215.34</v>
      </c>
    </row>
    <row r="33" spans="1:2">
      <c r="A33" s="14" t="s">
        <v>283</v>
      </c>
      <c r="B33" s="9">
        <v>-26215.34</v>
      </c>
    </row>
    <row r="34" spans="1:2">
      <c r="A34" s="13" t="s">
        <v>284</v>
      </c>
      <c r="B34" s="9">
        <v>-26215.34</v>
      </c>
    </row>
    <row r="35" spans="1:2">
      <c r="A35" s="13" t="s">
        <v>194</v>
      </c>
      <c r="B35" s="9"/>
    </row>
    <row r="36" spans="1:2">
      <c r="A36" s="14" t="s">
        <v>177</v>
      </c>
      <c r="B36" s="9"/>
    </row>
    <row r="37" spans="1:2">
      <c r="A37" s="132" t="s">
        <v>178</v>
      </c>
      <c r="B37" s="9">
        <v>-7041.2000000000007</v>
      </c>
    </row>
    <row r="38" spans="1:2">
      <c r="A38" s="14" t="s">
        <v>285</v>
      </c>
      <c r="B38" s="9">
        <v>-7041.2000000000007</v>
      </c>
    </row>
    <row r="39" spans="1:2">
      <c r="A39" s="13" t="s">
        <v>286</v>
      </c>
      <c r="B39" s="9">
        <v>-7041.2000000000007</v>
      </c>
    </row>
    <row r="40" spans="1:2">
      <c r="A40" s="12" t="s">
        <v>287</v>
      </c>
      <c r="B40" s="9">
        <v>-17367.690000000002</v>
      </c>
    </row>
    <row r="41" spans="1:2">
      <c r="A41" s="12" t="s">
        <v>148</v>
      </c>
      <c r="B41" s="9"/>
    </row>
    <row r="42" spans="1:2">
      <c r="A42" s="13" t="s">
        <v>13</v>
      </c>
      <c r="B42" s="9"/>
    </row>
    <row r="43" spans="1:2">
      <c r="A43" s="14" t="s">
        <v>109</v>
      </c>
      <c r="B43" s="9"/>
    </row>
    <row r="44" spans="1:2">
      <c r="A44" s="132" t="s">
        <v>157</v>
      </c>
      <c r="B44" s="9">
        <v>43688.9</v>
      </c>
    </row>
    <row r="45" spans="1:2">
      <c r="A45" s="132" t="s">
        <v>158</v>
      </c>
      <c r="B45" s="9">
        <v>43688.9</v>
      </c>
    </row>
    <row r="46" spans="1:2">
      <c r="A46" s="132" t="s">
        <v>159</v>
      </c>
      <c r="B46" s="9">
        <v>28350.660000000003</v>
      </c>
    </row>
    <row r="47" spans="1:2">
      <c r="A47" s="132" t="s">
        <v>160</v>
      </c>
      <c r="B47" s="9">
        <v>39396.379999999997</v>
      </c>
    </row>
    <row r="48" spans="1:2">
      <c r="A48" s="132" t="s">
        <v>161</v>
      </c>
      <c r="B48" s="9">
        <v>39399.379999999997</v>
      </c>
    </row>
    <row r="49" spans="1:2">
      <c r="A49" s="132" t="s">
        <v>162</v>
      </c>
      <c r="B49" s="9">
        <v>49646.57</v>
      </c>
    </row>
    <row r="50" spans="1:2">
      <c r="A50" s="132" t="s">
        <v>163</v>
      </c>
      <c r="B50" s="9">
        <v>50638.85</v>
      </c>
    </row>
    <row r="51" spans="1:2">
      <c r="A51" s="132" t="s">
        <v>164</v>
      </c>
      <c r="B51" s="9">
        <v>96313.63</v>
      </c>
    </row>
    <row r="52" spans="1:2">
      <c r="A52" s="132" t="s">
        <v>165</v>
      </c>
      <c r="B52" s="9">
        <v>-3.2014391138091014E-12</v>
      </c>
    </row>
    <row r="53" spans="1:2">
      <c r="A53" s="132" t="s">
        <v>166</v>
      </c>
      <c r="B53" s="9">
        <v>96313.63</v>
      </c>
    </row>
    <row r="54" spans="1:2">
      <c r="A54" s="132" t="s">
        <v>167</v>
      </c>
      <c r="B54" s="9">
        <v>119150.69</v>
      </c>
    </row>
    <row r="55" spans="1:2">
      <c r="A55" s="132" t="s">
        <v>168</v>
      </c>
      <c r="B55" s="9">
        <v>157874.88</v>
      </c>
    </row>
    <row r="56" spans="1:2">
      <c r="A56" s="132" t="s">
        <v>169</v>
      </c>
      <c r="B56" s="9">
        <v>98299.53</v>
      </c>
    </row>
    <row r="57" spans="1:2">
      <c r="A57" s="132" t="s">
        <v>171</v>
      </c>
      <c r="B57" s="9">
        <v>132149.59</v>
      </c>
    </row>
    <row r="58" spans="1:2">
      <c r="A58" s="14" t="s">
        <v>288</v>
      </c>
      <c r="B58" s="9">
        <v>994911.59000000008</v>
      </c>
    </row>
    <row r="59" spans="1:2">
      <c r="A59" s="13" t="s">
        <v>289</v>
      </c>
      <c r="B59" s="9">
        <v>994911.59000000008</v>
      </c>
    </row>
    <row r="60" spans="1:2">
      <c r="A60" s="13" t="s">
        <v>170</v>
      </c>
      <c r="B60" s="9"/>
    </row>
    <row r="61" spans="1:2">
      <c r="A61" s="14" t="s">
        <v>109</v>
      </c>
      <c r="B61" s="9"/>
    </row>
    <row r="62" spans="1:2">
      <c r="A62" s="132" t="s">
        <v>170</v>
      </c>
      <c r="B62" s="9">
        <v>30000</v>
      </c>
    </row>
    <row r="63" spans="1:2">
      <c r="A63" s="14" t="s">
        <v>288</v>
      </c>
      <c r="B63" s="9">
        <v>30000</v>
      </c>
    </row>
    <row r="64" spans="1:2">
      <c r="A64" s="13" t="s">
        <v>290</v>
      </c>
      <c r="B64" s="9">
        <v>30000</v>
      </c>
    </row>
    <row r="65" spans="1:2">
      <c r="A65" s="12" t="s">
        <v>291</v>
      </c>
      <c r="B65" s="9">
        <v>1024911.5900000001</v>
      </c>
    </row>
    <row r="66" spans="1:2">
      <c r="A66" s="12" t="s">
        <v>258</v>
      </c>
      <c r="B66" s="9">
        <v>1007543.9</v>
      </c>
    </row>
  </sheetData>
  <pageMargins left="0.7" right="0.7" top="0.75" bottom="0.75" header="0.3" footer="0.3"/>
  <pageSetup paperSize="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9"/>
  <sheetViews>
    <sheetView workbookViewId="0">
      <selection activeCell="B13" sqref="B13"/>
    </sheetView>
  </sheetViews>
  <sheetFormatPr defaultColWidth="9.140625" defaultRowHeight="15"/>
  <cols>
    <col min="1" max="1" width="39.5703125" bestFit="1" customWidth="1"/>
    <col min="2" max="2" width="16.28515625" bestFit="1" customWidth="1"/>
    <col min="3" max="4" width="11.140625" bestFit="1" customWidth="1"/>
    <col min="5" max="7" width="11.28515625" bestFit="1" customWidth="1"/>
  </cols>
  <sheetData>
    <row r="1" spans="1:2">
      <c r="A1" s="11" t="s">
        <v>8</v>
      </c>
      <c r="B1" t="s">
        <v>14</v>
      </c>
    </row>
    <row r="2" spans="1:2">
      <c r="A2" s="11" t="s">
        <v>9</v>
      </c>
      <c r="B2" t="s">
        <v>188</v>
      </c>
    </row>
    <row r="3" spans="1:2">
      <c r="A3" s="11" t="s">
        <v>3</v>
      </c>
      <c r="B3" t="s">
        <v>259</v>
      </c>
    </row>
    <row r="5" spans="1:2">
      <c r="A5" s="11" t="s">
        <v>257</v>
      </c>
      <c r="B5" t="s">
        <v>31</v>
      </c>
    </row>
    <row r="6" spans="1:2">
      <c r="A6" s="12" t="s">
        <v>186</v>
      </c>
      <c r="B6" s="9"/>
    </row>
    <row r="7" spans="1:2">
      <c r="A7" s="13" t="s">
        <v>187</v>
      </c>
      <c r="B7" s="9"/>
    </row>
    <row r="8" spans="1:2">
      <c r="A8" s="14" t="s">
        <v>185</v>
      </c>
      <c r="B8" s="9">
        <v>1004968.24</v>
      </c>
    </row>
    <row r="9" spans="1:2">
      <c r="A9" s="13" t="s">
        <v>292</v>
      </c>
      <c r="B9" s="9">
        <v>1004968.24</v>
      </c>
    </row>
    <row r="10" spans="1:2">
      <c r="A10" s="12" t="s">
        <v>293</v>
      </c>
      <c r="B10" s="9">
        <v>1004968.24</v>
      </c>
    </row>
    <row r="11" spans="1:2">
      <c r="A11" s="12" t="s">
        <v>189</v>
      </c>
      <c r="B11" s="9"/>
    </row>
    <row r="12" spans="1:2">
      <c r="A12" s="13" t="s">
        <v>208</v>
      </c>
      <c r="B12" s="9"/>
    </row>
    <row r="13" spans="1:2">
      <c r="A13" s="14" t="s">
        <v>209</v>
      </c>
      <c r="B13" s="9">
        <v>0</v>
      </c>
    </row>
    <row r="14" spans="1:2">
      <c r="A14" s="13" t="s">
        <v>294</v>
      </c>
      <c r="B14" s="9">
        <v>0</v>
      </c>
    </row>
    <row r="15" spans="1:2">
      <c r="A15" s="13" t="s">
        <v>192</v>
      </c>
      <c r="B15" s="9"/>
    </row>
    <row r="16" spans="1:2">
      <c r="A16" s="14" t="s">
        <v>190</v>
      </c>
      <c r="B16" s="9">
        <v>4229.4599999999991</v>
      </c>
    </row>
    <row r="17" spans="1:2">
      <c r="A17" s="13" t="s">
        <v>295</v>
      </c>
      <c r="B17" s="9">
        <v>4229.4599999999991</v>
      </c>
    </row>
    <row r="18" spans="1:2">
      <c r="A18" s="12" t="s">
        <v>296</v>
      </c>
      <c r="B18" s="9">
        <v>4229.4599999999991</v>
      </c>
    </row>
    <row r="19" spans="1:2">
      <c r="A19" s="12" t="s">
        <v>258</v>
      </c>
      <c r="B19" s="9">
        <v>1009197.7</v>
      </c>
    </row>
  </sheetData>
  <pageMargins left="0.7" right="0.7" top="0.75" bottom="0.75" header="0.3" footer="0.3"/>
  <pageSetup paperSize="9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E10" sqref="E10"/>
    </sheetView>
  </sheetViews>
  <sheetFormatPr defaultColWidth="9.140625" defaultRowHeight="15"/>
  <cols>
    <col min="1" max="1" width="70.7109375" bestFit="1" customWidth="1"/>
    <col min="2" max="6" width="14.7109375" customWidth="1"/>
    <col min="7" max="7" width="19.5703125" customWidth="1"/>
    <col min="8" max="8" width="18.28515625" bestFit="1" customWidth="1"/>
  </cols>
  <sheetData>
    <row r="1" spans="1:7">
      <c r="A1" s="11" t="s">
        <v>8</v>
      </c>
      <c r="B1" t="s">
        <v>33</v>
      </c>
    </row>
    <row r="2" spans="1:7">
      <c r="A2" s="11" t="s">
        <v>10</v>
      </c>
      <c r="B2" t="s">
        <v>277</v>
      </c>
    </row>
    <row r="4" spans="1:7">
      <c r="A4" s="11" t="s">
        <v>31</v>
      </c>
      <c r="B4" s="11" t="s">
        <v>256</v>
      </c>
    </row>
    <row r="5" spans="1:7">
      <c r="A5" s="11" t="s">
        <v>257</v>
      </c>
      <c r="B5" s="107">
        <v>2022</v>
      </c>
      <c r="C5" s="107">
        <v>2023</v>
      </c>
      <c r="D5" s="107">
        <v>2024</v>
      </c>
      <c r="E5" s="107">
        <v>2025</v>
      </c>
      <c r="F5" s="10">
        <v>2026</v>
      </c>
      <c r="G5" s="107" t="s">
        <v>258</v>
      </c>
    </row>
    <row r="6" spans="1:7">
      <c r="A6" s="12" t="s">
        <v>102</v>
      </c>
      <c r="B6" s="9"/>
      <c r="C6" s="9"/>
      <c r="D6" s="9"/>
      <c r="E6" s="9"/>
      <c r="F6" s="9"/>
      <c r="G6" s="9"/>
    </row>
    <row r="7" spans="1:7">
      <c r="A7" s="13" t="s">
        <v>205</v>
      </c>
      <c r="B7" s="9"/>
      <c r="C7" s="9"/>
      <c r="D7" s="9"/>
      <c r="E7" s="9"/>
      <c r="F7" s="9"/>
      <c r="G7" s="9"/>
    </row>
    <row r="8" spans="1:7">
      <c r="A8" s="14" t="s">
        <v>34</v>
      </c>
      <c r="B8" s="9"/>
      <c r="C8" s="9"/>
      <c r="D8" s="9"/>
      <c r="E8" s="9"/>
      <c r="F8" s="9"/>
      <c r="G8" s="9"/>
    </row>
    <row r="9" spans="1:7">
      <c r="A9" s="132" t="s">
        <v>144</v>
      </c>
      <c r="B9" s="9"/>
      <c r="C9" s="9"/>
      <c r="D9" s="9"/>
      <c r="E9" s="9"/>
      <c r="F9" s="9"/>
      <c r="G9" s="9"/>
    </row>
    <row r="10" spans="1:7">
      <c r="A10" s="134" t="s">
        <v>114</v>
      </c>
      <c r="B10" s="9">
        <v>0</v>
      </c>
      <c r="C10" s="9"/>
      <c r="D10" s="9"/>
      <c r="E10" s="9"/>
      <c r="F10" s="9"/>
      <c r="G10" s="9">
        <v>0</v>
      </c>
    </row>
    <row r="11" spans="1:7">
      <c r="A11" s="134" t="s">
        <v>151</v>
      </c>
      <c r="B11" s="9">
        <v>-4815</v>
      </c>
      <c r="C11" s="9"/>
      <c r="D11" s="9"/>
      <c r="E11" s="9"/>
      <c r="F11" s="9"/>
      <c r="G11" s="9">
        <v>-4815</v>
      </c>
    </row>
    <row r="12" spans="1:7">
      <c r="A12" s="134" t="s">
        <v>152</v>
      </c>
      <c r="B12" s="9"/>
      <c r="C12" s="9">
        <v>-4815</v>
      </c>
      <c r="D12" s="9"/>
      <c r="E12" s="9"/>
      <c r="F12" s="9"/>
      <c r="G12" s="9">
        <v>-4815</v>
      </c>
    </row>
    <row r="13" spans="1:7">
      <c r="A13" s="134" t="s">
        <v>203</v>
      </c>
      <c r="B13" s="9"/>
      <c r="C13" s="9">
        <v>3210</v>
      </c>
      <c r="D13" s="9"/>
      <c r="E13" s="9"/>
      <c r="F13" s="9"/>
      <c r="G13" s="9">
        <v>3210</v>
      </c>
    </row>
    <row r="14" spans="1:7">
      <c r="A14" s="134" t="s">
        <v>199</v>
      </c>
      <c r="B14" s="9"/>
      <c r="C14" s="9"/>
      <c r="D14" s="9">
        <v>-2407.5</v>
      </c>
      <c r="E14" s="9"/>
      <c r="F14" s="9"/>
      <c r="G14" s="9">
        <v>-2407.5</v>
      </c>
    </row>
    <row r="15" spans="1:7">
      <c r="A15" s="134" t="s">
        <v>211</v>
      </c>
      <c r="B15" s="9"/>
      <c r="C15" s="9"/>
      <c r="D15" s="9">
        <v>802.5</v>
      </c>
      <c r="E15" s="9"/>
      <c r="F15" s="9"/>
      <c r="G15" s="9">
        <v>802.5</v>
      </c>
    </row>
    <row r="16" spans="1:7">
      <c r="A16" s="134" t="s">
        <v>207</v>
      </c>
      <c r="B16" s="9"/>
      <c r="C16" s="9"/>
      <c r="D16" s="9"/>
      <c r="E16" s="9">
        <v>-1605</v>
      </c>
      <c r="F16" s="9"/>
      <c r="G16" s="9">
        <v>-1605</v>
      </c>
    </row>
    <row r="17" spans="1:7">
      <c r="A17" s="134" t="s">
        <v>245</v>
      </c>
      <c r="B17" s="9"/>
      <c r="C17" s="9"/>
      <c r="D17" s="9"/>
      <c r="E17" s="9"/>
      <c r="F17" s="9">
        <v>-1203.75</v>
      </c>
      <c r="G17" s="9">
        <v>-1203.75</v>
      </c>
    </row>
    <row r="18" spans="1:7">
      <c r="A18" s="12" t="s">
        <v>258</v>
      </c>
      <c r="B18" s="9">
        <v>-4815</v>
      </c>
      <c r="C18" s="9">
        <v>-1605</v>
      </c>
      <c r="D18" s="9">
        <v>-1605</v>
      </c>
      <c r="E18" s="9">
        <v>-1605</v>
      </c>
      <c r="F18" s="9">
        <v>-1203.75</v>
      </c>
      <c r="G18" s="9">
        <v>-10833.75</v>
      </c>
    </row>
  </sheetData>
  <pageMargins left="0.7" right="0.7" top="0.75" bottom="0.75" header="0.3" footer="0.3"/>
  <pageSetup paperSize="9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F18" sqref="F18"/>
    </sheetView>
  </sheetViews>
  <sheetFormatPr defaultColWidth="9.140625" defaultRowHeight="15"/>
  <cols>
    <col min="1" max="1" width="40.28515625" bestFit="1" customWidth="1"/>
    <col min="2" max="5" width="14.7109375" customWidth="1"/>
    <col min="6" max="6" width="19.5703125" customWidth="1"/>
    <col min="7" max="7" width="11.28515625" bestFit="1" customWidth="1"/>
  </cols>
  <sheetData>
    <row r="1" spans="1:7">
      <c r="A1" s="11" t="s">
        <v>8</v>
      </c>
      <c r="B1" t="s">
        <v>259</v>
      </c>
    </row>
    <row r="3" spans="1:7">
      <c r="A3" s="11" t="s">
        <v>31</v>
      </c>
      <c r="B3" s="11" t="s">
        <v>256</v>
      </c>
    </row>
    <row r="4" spans="1:7">
      <c r="A4" s="11" t="s">
        <v>257</v>
      </c>
      <c r="B4" s="10">
        <v>2021</v>
      </c>
      <c r="C4" s="10">
        <v>2022</v>
      </c>
      <c r="D4" s="10">
        <v>2023</v>
      </c>
      <c r="E4">
        <v>2024</v>
      </c>
      <c r="F4">
        <v>2026</v>
      </c>
      <c r="G4" s="10" t="s">
        <v>258</v>
      </c>
    </row>
    <row r="5" spans="1:7">
      <c r="A5" s="12" t="s">
        <v>147</v>
      </c>
      <c r="B5" s="9">
        <v>984910.6</v>
      </c>
      <c r="C5" s="9">
        <v>9999.98</v>
      </c>
      <c r="D5" s="9">
        <v>1.0100000000093132</v>
      </c>
      <c r="E5" s="9">
        <v>0</v>
      </c>
      <c r="F5" s="9">
        <v>0</v>
      </c>
      <c r="G5" s="9">
        <v>994911.59000000008</v>
      </c>
    </row>
    <row r="6" spans="1:7">
      <c r="A6" s="13" t="s">
        <v>13</v>
      </c>
      <c r="B6" s="9">
        <v>984910.6</v>
      </c>
      <c r="C6" s="9">
        <v>9999.98</v>
      </c>
      <c r="D6" s="9">
        <v>1.0100000000093132</v>
      </c>
      <c r="E6" s="9">
        <v>0</v>
      </c>
      <c r="F6" s="9">
        <v>0</v>
      </c>
      <c r="G6" s="9">
        <v>994911.59000000008</v>
      </c>
    </row>
    <row r="7" spans="1:7">
      <c r="A7" s="14" t="s">
        <v>157</v>
      </c>
      <c r="B7" s="9">
        <v>43249.57</v>
      </c>
      <c r="C7" s="9">
        <v>439.65</v>
      </c>
      <c r="D7" s="9">
        <v>-0.32</v>
      </c>
      <c r="E7" s="9"/>
      <c r="F7" s="9"/>
      <c r="G7" s="9">
        <v>43688.9</v>
      </c>
    </row>
    <row r="8" spans="1:7">
      <c r="A8" s="14" t="s">
        <v>158</v>
      </c>
      <c r="B8" s="9">
        <v>43249.57</v>
      </c>
      <c r="C8" s="9">
        <v>439.65</v>
      </c>
      <c r="D8" s="9">
        <v>-0.32</v>
      </c>
      <c r="E8" s="9"/>
      <c r="F8" s="9"/>
      <c r="G8" s="9">
        <v>43688.9</v>
      </c>
    </row>
    <row r="9" spans="1:7">
      <c r="A9" s="14" t="s">
        <v>159</v>
      </c>
      <c r="B9" s="9">
        <v>42266.62</v>
      </c>
      <c r="C9" s="9">
        <v>1048.25</v>
      </c>
      <c r="D9" s="71">
        <v>-14964.21</v>
      </c>
      <c r="E9" s="9"/>
      <c r="F9" s="9"/>
      <c r="G9" s="71">
        <v>28350.660000000003</v>
      </c>
    </row>
    <row r="10" spans="1:7">
      <c r="A10" s="14" t="s">
        <v>160</v>
      </c>
      <c r="B10" s="9">
        <v>97311.53</v>
      </c>
      <c r="C10" s="9"/>
      <c r="D10" s="71">
        <v>-57915.15</v>
      </c>
      <c r="E10" s="9"/>
      <c r="F10" s="9"/>
      <c r="G10" s="71">
        <v>39396.379999999997</v>
      </c>
    </row>
    <row r="11" spans="1:7">
      <c r="A11" s="14" t="s">
        <v>161</v>
      </c>
      <c r="B11" s="9">
        <v>97311.53</v>
      </c>
      <c r="C11" s="9"/>
      <c r="D11" s="71">
        <v>-57912.15</v>
      </c>
      <c r="E11" s="9"/>
      <c r="F11" s="9"/>
      <c r="G11" s="71">
        <v>39399.379999999997</v>
      </c>
    </row>
    <row r="12" spans="1:7">
      <c r="A12" s="14" t="s">
        <v>162</v>
      </c>
      <c r="B12" s="9">
        <v>49147.24</v>
      </c>
      <c r="C12" s="9">
        <v>499.83</v>
      </c>
      <c r="D12" s="9">
        <v>-0.5</v>
      </c>
      <c r="E12" s="9"/>
      <c r="F12" s="9"/>
      <c r="G12" s="9">
        <v>49646.57</v>
      </c>
    </row>
    <row r="13" spans="1:7">
      <c r="A13" s="14" t="s">
        <v>163</v>
      </c>
      <c r="B13" s="9">
        <v>50130.18</v>
      </c>
      <c r="C13" s="9">
        <v>508.2</v>
      </c>
      <c r="D13" s="9">
        <v>0.47</v>
      </c>
      <c r="E13" s="9"/>
      <c r="F13" s="9"/>
      <c r="G13" s="9">
        <v>50638.85</v>
      </c>
    </row>
    <row r="14" spans="1:7">
      <c r="A14" s="14" t="s">
        <v>164</v>
      </c>
      <c r="B14" s="9">
        <v>95345.63</v>
      </c>
      <c r="C14" s="9">
        <v>967.9</v>
      </c>
      <c r="D14" s="9">
        <v>0.1</v>
      </c>
      <c r="E14" s="9"/>
      <c r="F14" s="9"/>
      <c r="G14" s="9">
        <v>96313.63</v>
      </c>
    </row>
    <row r="15" spans="1:7">
      <c r="A15" s="14" t="s">
        <v>165</v>
      </c>
      <c r="B15" s="9">
        <v>8846.5</v>
      </c>
      <c r="C15" s="9">
        <v>90.27</v>
      </c>
      <c r="D15" s="9">
        <v>-0.27</v>
      </c>
      <c r="E15" s="71">
        <v>34497.86</v>
      </c>
      <c r="F15" s="71">
        <v>-43434.36</v>
      </c>
      <c r="G15" s="71">
        <v>0</v>
      </c>
    </row>
    <row r="16" spans="1:7">
      <c r="A16" s="14" t="s">
        <v>166</v>
      </c>
      <c r="B16" s="9">
        <v>95345.63</v>
      </c>
      <c r="C16" s="9">
        <v>967.9</v>
      </c>
      <c r="D16" s="9">
        <v>0.1</v>
      </c>
      <c r="E16" s="9"/>
      <c r="F16" s="9"/>
      <c r="G16" s="9">
        <v>96313.63</v>
      </c>
    </row>
    <row r="17" spans="1:7">
      <c r="A17" s="14" t="s">
        <v>167</v>
      </c>
      <c r="B17" s="9">
        <v>117953.36</v>
      </c>
      <c r="C17" s="9">
        <v>1196.92</v>
      </c>
      <c r="D17" s="9">
        <v>0.41</v>
      </c>
      <c r="E17" s="9"/>
      <c r="F17" s="9"/>
      <c r="G17" s="9">
        <v>119150.69</v>
      </c>
    </row>
    <row r="18" spans="1:7">
      <c r="A18" s="14" t="s">
        <v>168</v>
      </c>
      <c r="B18" s="9">
        <v>147441.71</v>
      </c>
      <c r="C18" s="9">
        <v>1496.16</v>
      </c>
      <c r="D18" s="9">
        <v>0.51</v>
      </c>
      <c r="E18" s="71">
        <v>-34497.86</v>
      </c>
      <c r="F18" s="71">
        <v>43434.36</v>
      </c>
      <c r="G18" s="71">
        <v>157874.88</v>
      </c>
    </row>
    <row r="19" spans="1:7">
      <c r="A19" s="14" t="s">
        <v>169</v>
      </c>
      <c r="B19" s="9">
        <v>97311.53</v>
      </c>
      <c r="C19" s="9">
        <v>987.96</v>
      </c>
      <c r="D19" s="9">
        <v>0.04</v>
      </c>
      <c r="E19" s="9"/>
      <c r="F19" s="9"/>
      <c r="G19" s="9">
        <v>98299.53</v>
      </c>
    </row>
    <row r="20" spans="1:7">
      <c r="A20" s="14" t="s">
        <v>171</v>
      </c>
      <c r="B20" s="9"/>
      <c r="C20" s="9">
        <v>1357.29</v>
      </c>
      <c r="D20" s="71">
        <v>130792.3</v>
      </c>
      <c r="E20" s="9"/>
      <c r="F20" s="9"/>
      <c r="G20" s="71">
        <v>132149.59</v>
      </c>
    </row>
    <row r="21" spans="1:7">
      <c r="A21" s="12" t="s">
        <v>258</v>
      </c>
      <c r="B21" s="9">
        <v>984910.6</v>
      </c>
      <c r="C21" s="9">
        <v>9999.98</v>
      </c>
      <c r="D21" s="9">
        <v>1.0100000000093132</v>
      </c>
      <c r="E21" s="9">
        <v>0</v>
      </c>
      <c r="F21" s="9">
        <v>0</v>
      </c>
      <c r="G21" s="9">
        <v>994911.59000000008</v>
      </c>
    </row>
  </sheetData>
  <pageMargins left="0.25" right="0.25" top="0.75" bottom="0.75" header="0.3" footer="0.3"/>
  <pageSetup paperSize="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622-FC07-481E-8457-1BAEC1A66DDB}">
  <dimension ref="A1:G43"/>
  <sheetViews>
    <sheetView topLeftCell="A22" workbookViewId="0">
      <selection activeCell="A44" sqref="A44"/>
    </sheetView>
  </sheetViews>
  <sheetFormatPr defaultColWidth="9.140625" defaultRowHeight="15"/>
  <cols>
    <col min="1" max="1" width="27.85546875" bestFit="1" customWidth="1"/>
    <col min="2" max="4" width="13.7109375" style="10" customWidth="1"/>
    <col min="5" max="5" width="11.28515625" style="10" bestFit="1" customWidth="1"/>
    <col min="6" max="6" width="19.7109375" style="10" customWidth="1"/>
  </cols>
  <sheetData>
    <row r="1" spans="1:7">
      <c r="A1" s="11" t="s">
        <v>8</v>
      </c>
      <c r="B1" s="10" t="s">
        <v>277</v>
      </c>
    </row>
    <row r="3" spans="1:7">
      <c r="A3" s="11" t="s">
        <v>78</v>
      </c>
      <c r="B3" s="143" t="s">
        <v>256</v>
      </c>
      <c r="G3" s="10"/>
    </row>
    <row r="4" spans="1:7">
      <c r="A4" s="11" t="s">
        <v>257</v>
      </c>
      <c r="B4" s="10">
        <v>2021</v>
      </c>
      <c r="C4" s="10">
        <v>2022</v>
      </c>
      <c r="D4" s="10">
        <v>2023</v>
      </c>
      <c r="E4" s="10">
        <v>2024</v>
      </c>
      <c r="F4" s="10">
        <v>2026</v>
      </c>
      <c r="G4" s="10" t="s">
        <v>258</v>
      </c>
    </row>
    <row r="5" spans="1:7">
      <c r="A5" s="12" t="s">
        <v>72</v>
      </c>
      <c r="B5" s="27"/>
      <c r="C5" s="27"/>
      <c r="D5" s="27"/>
      <c r="E5" s="27"/>
      <c r="F5" s="27"/>
      <c r="G5" s="27"/>
    </row>
    <row r="6" spans="1:7">
      <c r="A6" s="13" t="s">
        <v>218</v>
      </c>
      <c r="B6" s="27">
        <v>659</v>
      </c>
      <c r="C6" s="27"/>
      <c r="D6" s="27"/>
      <c r="E6" s="27"/>
      <c r="F6" s="27"/>
      <c r="G6" s="27">
        <v>659</v>
      </c>
    </row>
    <row r="7" spans="1:7">
      <c r="A7" s="13" t="s">
        <v>219</v>
      </c>
      <c r="B7" s="27">
        <v>659</v>
      </c>
      <c r="C7" s="27"/>
      <c r="D7" s="27"/>
      <c r="E7" s="27"/>
      <c r="F7" s="27"/>
      <c r="G7" s="27">
        <v>659</v>
      </c>
    </row>
    <row r="8" spans="1:7">
      <c r="A8" s="12" t="s">
        <v>268</v>
      </c>
      <c r="B8" s="27">
        <v>1318</v>
      </c>
      <c r="C8" s="27"/>
      <c r="D8" s="27"/>
      <c r="E8" s="27"/>
      <c r="F8" s="27"/>
      <c r="G8" s="27">
        <v>1318</v>
      </c>
    </row>
    <row r="9" spans="1:7">
      <c r="A9" s="12" t="s">
        <v>73</v>
      </c>
      <c r="B9" s="27"/>
      <c r="C9" s="27"/>
      <c r="D9" s="27"/>
      <c r="E9" s="27"/>
      <c r="F9" s="27"/>
      <c r="G9" s="27"/>
    </row>
    <row r="10" spans="1:7">
      <c r="A10" s="13" t="s">
        <v>222</v>
      </c>
      <c r="B10" s="27">
        <v>90</v>
      </c>
      <c r="C10" s="27">
        <v>282</v>
      </c>
      <c r="D10" s="27"/>
      <c r="E10" s="27"/>
      <c r="F10" s="27"/>
      <c r="G10" s="27">
        <v>372</v>
      </c>
    </row>
    <row r="11" spans="1:7">
      <c r="A11" s="13" t="s">
        <v>221</v>
      </c>
      <c r="B11" s="27"/>
      <c r="C11" s="27">
        <v>600</v>
      </c>
      <c r="D11" s="27"/>
      <c r="E11" s="27"/>
      <c r="F11" s="27"/>
      <c r="G11" s="27">
        <v>600</v>
      </c>
    </row>
    <row r="12" spans="1:7">
      <c r="A12" s="13" t="s">
        <v>220</v>
      </c>
      <c r="B12" s="27">
        <v>1482</v>
      </c>
      <c r="C12" s="27">
        <v>-882</v>
      </c>
      <c r="D12" s="27"/>
      <c r="E12" s="27"/>
      <c r="F12" s="27"/>
      <c r="G12" s="27">
        <v>600</v>
      </c>
    </row>
    <row r="13" spans="1:7">
      <c r="A13" s="12" t="s">
        <v>269</v>
      </c>
      <c r="B13" s="27">
        <v>1572</v>
      </c>
      <c r="C13" s="27">
        <v>0</v>
      </c>
      <c r="D13" s="27"/>
      <c r="E13" s="27"/>
      <c r="F13" s="27"/>
      <c r="G13" s="27">
        <v>1572</v>
      </c>
    </row>
    <row r="14" spans="1:7">
      <c r="A14" s="12" t="s">
        <v>74</v>
      </c>
      <c r="B14" s="27"/>
      <c r="C14" s="27"/>
      <c r="D14" s="27"/>
      <c r="E14" s="27"/>
      <c r="F14" s="27"/>
      <c r="G14" s="27"/>
    </row>
    <row r="15" spans="1:7">
      <c r="A15" s="13" t="s">
        <v>172</v>
      </c>
      <c r="B15" s="27"/>
      <c r="C15" s="27">
        <v>0</v>
      </c>
      <c r="D15" s="27"/>
      <c r="E15" s="27"/>
      <c r="F15" s="27"/>
      <c r="G15" s="27">
        <v>0</v>
      </c>
    </row>
    <row r="16" spans="1:7">
      <c r="A16" s="13" t="s">
        <v>222</v>
      </c>
      <c r="B16" s="27">
        <v>554</v>
      </c>
      <c r="C16" s="27">
        <v>-554</v>
      </c>
      <c r="D16" s="27"/>
      <c r="E16" s="27"/>
      <c r="F16" s="27"/>
      <c r="G16" s="27">
        <v>0</v>
      </c>
    </row>
    <row r="17" spans="1:7">
      <c r="A17" s="13" t="s">
        <v>221</v>
      </c>
      <c r="B17" s="27">
        <v>1482</v>
      </c>
      <c r="C17" s="27">
        <v>-1482</v>
      </c>
      <c r="D17" s="27"/>
      <c r="E17" s="27"/>
      <c r="F17" s="27"/>
      <c r="G17" s="27">
        <v>0</v>
      </c>
    </row>
    <row r="18" spans="1:7">
      <c r="A18" s="13" t="s">
        <v>223</v>
      </c>
      <c r="B18" s="27"/>
      <c r="C18" s="27">
        <v>2036</v>
      </c>
      <c r="D18" s="27"/>
      <c r="E18" s="27"/>
      <c r="F18" s="27"/>
      <c r="G18" s="27">
        <v>2036</v>
      </c>
    </row>
    <row r="19" spans="1:7">
      <c r="A19" s="12" t="s">
        <v>270</v>
      </c>
      <c r="B19" s="27">
        <v>2036</v>
      </c>
      <c r="C19" s="27">
        <v>0</v>
      </c>
      <c r="D19" s="27"/>
      <c r="E19" s="27"/>
      <c r="F19" s="27"/>
      <c r="G19" s="27">
        <v>2036</v>
      </c>
    </row>
    <row r="20" spans="1:7">
      <c r="A20" s="12" t="s">
        <v>68</v>
      </c>
      <c r="B20" s="27"/>
      <c r="C20" s="27"/>
      <c r="D20" s="27"/>
      <c r="E20" s="27"/>
      <c r="F20" s="27"/>
      <c r="G20" s="27"/>
    </row>
    <row r="21" spans="1:7">
      <c r="A21" s="13" t="s">
        <v>224</v>
      </c>
      <c r="B21" s="27">
        <v>749</v>
      </c>
      <c r="C21" s="27"/>
      <c r="D21" s="27"/>
      <c r="E21" s="27"/>
      <c r="F21" s="27"/>
      <c r="G21" s="27">
        <v>749</v>
      </c>
    </row>
    <row r="22" spans="1:7">
      <c r="A22" s="13" t="s">
        <v>225</v>
      </c>
      <c r="B22" s="27">
        <v>763</v>
      </c>
      <c r="C22" s="27"/>
      <c r="D22" s="27"/>
      <c r="E22" s="27"/>
      <c r="F22" s="27"/>
      <c r="G22" s="27">
        <v>763</v>
      </c>
    </row>
    <row r="23" spans="1:7">
      <c r="A23" s="12" t="s">
        <v>271</v>
      </c>
      <c r="B23" s="27">
        <v>1512</v>
      </c>
      <c r="C23" s="27"/>
      <c r="D23" s="27"/>
      <c r="E23" s="27"/>
      <c r="F23" s="27"/>
      <c r="G23" s="27">
        <v>1512</v>
      </c>
    </row>
    <row r="24" spans="1:7">
      <c r="A24" s="12" t="s">
        <v>71</v>
      </c>
      <c r="B24" s="27"/>
      <c r="C24" s="27"/>
      <c r="D24" s="27"/>
      <c r="E24" s="27"/>
      <c r="F24" s="27"/>
      <c r="G24" s="27"/>
    </row>
    <row r="25" spans="1:7">
      <c r="A25" s="13" t="s">
        <v>226</v>
      </c>
      <c r="B25" s="27">
        <v>1452</v>
      </c>
      <c r="C25" s="27"/>
      <c r="D25" s="27"/>
      <c r="E25" s="27"/>
      <c r="F25" s="27"/>
      <c r="G25" s="27">
        <v>1452</v>
      </c>
    </row>
    <row r="26" spans="1:7">
      <c r="A26" s="12" t="s">
        <v>272</v>
      </c>
      <c r="B26" s="27">
        <v>1452</v>
      </c>
      <c r="C26" s="27"/>
      <c r="D26" s="27"/>
      <c r="E26" s="27"/>
      <c r="F26" s="27"/>
      <c r="G26" s="27">
        <v>1452</v>
      </c>
    </row>
    <row r="27" spans="1:7">
      <c r="A27" s="12" t="s">
        <v>67</v>
      </c>
      <c r="B27" s="27"/>
      <c r="C27" s="27"/>
      <c r="D27" s="27"/>
      <c r="E27" s="27"/>
      <c r="F27" s="27"/>
      <c r="G27" s="27"/>
    </row>
    <row r="28" spans="1:7">
      <c r="A28" s="13" t="s">
        <v>227</v>
      </c>
      <c r="B28" s="27">
        <v>1452</v>
      </c>
      <c r="C28" s="27"/>
      <c r="D28" s="27"/>
      <c r="E28" s="27"/>
      <c r="F28" s="27"/>
      <c r="G28" s="27">
        <v>1452</v>
      </c>
    </row>
    <row r="29" spans="1:7">
      <c r="A29" s="13" t="s">
        <v>230</v>
      </c>
      <c r="B29" s="27"/>
      <c r="C29" s="27"/>
      <c r="D29" s="27"/>
      <c r="E29" s="27"/>
      <c r="F29" s="27">
        <v>135</v>
      </c>
      <c r="G29" s="27">
        <v>135</v>
      </c>
    </row>
    <row r="30" spans="1:7">
      <c r="A30" s="13" t="s">
        <v>228</v>
      </c>
      <c r="B30" s="27">
        <v>135</v>
      </c>
      <c r="C30" s="27"/>
      <c r="D30" s="27"/>
      <c r="E30" s="27"/>
      <c r="F30" s="27">
        <v>-135</v>
      </c>
      <c r="G30" s="27">
        <v>0</v>
      </c>
    </row>
    <row r="31" spans="1:7">
      <c r="A31" s="12" t="s">
        <v>273</v>
      </c>
      <c r="B31" s="27">
        <v>1587</v>
      </c>
      <c r="C31" s="27"/>
      <c r="D31" s="27"/>
      <c r="E31" s="27"/>
      <c r="F31" s="27">
        <v>0</v>
      </c>
      <c r="G31" s="27">
        <v>1587</v>
      </c>
    </row>
    <row r="32" spans="1:7">
      <c r="A32" s="12" t="s">
        <v>70</v>
      </c>
      <c r="B32" s="27"/>
      <c r="C32" s="27"/>
      <c r="D32" s="27"/>
      <c r="E32" s="27"/>
      <c r="F32" s="27"/>
      <c r="G32" s="27"/>
    </row>
    <row r="33" spans="1:7">
      <c r="A33" s="13" t="s">
        <v>229</v>
      </c>
      <c r="B33" s="27">
        <v>1796</v>
      </c>
      <c r="C33" s="27"/>
      <c r="D33" s="27"/>
      <c r="E33" s="27"/>
      <c r="F33" s="27"/>
      <c r="G33" s="27">
        <v>1796</v>
      </c>
    </row>
    <row r="34" spans="1:7">
      <c r="A34" s="12" t="s">
        <v>274</v>
      </c>
      <c r="B34" s="27">
        <v>1796</v>
      </c>
      <c r="C34" s="27"/>
      <c r="D34" s="27"/>
      <c r="E34" s="27"/>
      <c r="F34" s="27"/>
      <c r="G34" s="27">
        <v>1796</v>
      </c>
    </row>
    <row r="35" spans="1:7">
      <c r="A35" s="12" t="s">
        <v>69</v>
      </c>
      <c r="B35" s="27"/>
      <c r="C35" s="27"/>
      <c r="D35" s="27"/>
      <c r="E35" s="27"/>
      <c r="F35" s="27"/>
      <c r="G35" s="27"/>
    </row>
    <row r="36" spans="1:7">
      <c r="A36" s="13" t="s">
        <v>230</v>
      </c>
      <c r="B36" s="27">
        <v>2245</v>
      </c>
      <c r="C36" s="27"/>
      <c r="D36" s="27"/>
      <c r="E36" s="27">
        <v>-520</v>
      </c>
      <c r="F36" s="27">
        <v>520</v>
      </c>
      <c r="G36" s="27">
        <v>2245</v>
      </c>
    </row>
    <row r="37" spans="1:7">
      <c r="A37" s="13" t="s">
        <v>228</v>
      </c>
      <c r="B37" s="27"/>
      <c r="C37" s="27"/>
      <c r="D37" s="27"/>
      <c r="E37" s="27">
        <v>520</v>
      </c>
      <c r="F37" s="27">
        <v>-520</v>
      </c>
      <c r="G37" s="27">
        <v>0</v>
      </c>
    </row>
    <row r="38" spans="1:7">
      <c r="A38" s="12" t="s">
        <v>275</v>
      </c>
      <c r="B38" s="27">
        <v>2245</v>
      </c>
      <c r="C38" s="27"/>
      <c r="D38" s="27"/>
      <c r="E38" s="27">
        <v>0</v>
      </c>
      <c r="F38" s="27">
        <v>0</v>
      </c>
      <c r="G38" s="27">
        <v>2245</v>
      </c>
    </row>
    <row r="39" spans="1:7">
      <c r="A39" s="12" t="s">
        <v>75</v>
      </c>
      <c r="B39" s="27"/>
      <c r="C39" s="27"/>
      <c r="D39" s="27"/>
      <c r="E39" s="27"/>
      <c r="F39" s="27"/>
      <c r="G39" s="27"/>
    </row>
    <row r="40" spans="1:7">
      <c r="A40" s="13" t="s">
        <v>231</v>
      </c>
      <c r="B40" s="27">
        <v>1482</v>
      </c>
      <c r="C40" s="27"/>
      <c r="D40" s="27"/>
      <c r="E40" s="27"/>
      <c r="F40" s="27"/>
      <c r="G40" s="27">
        <v>1482</v>
      </c>
    </row>
    <row r="41" spans="1:7">
      <c r="A41" s="12" t="s">
        <v>276</v>
      </c>
      <c r="B41" s="27">
        <v>1482</v>
      </c>
      <c r="C41" s="27"/>
      <c r="D41" s="27"/>
      <c r="E41" s="27"/>
      <c r="F41" s="27"/>
      <c r="G41" s="27">
        <v>1482</v>
      </c>
    </row>
    <row r="42" spans="1:7">
      <c r="A42" s="12" t="s">
        <v>258</v>
      </c>
      <c r="B42" s="27">
        <v>15000</v>
      </c>
      <c r="C42" s="27">
        <v>0</v>
      </c>
      <c r="D42" s="27"/>
      <c r="E42" s="27">
        <v>0</v>
      </c>
      <c r="F42" s="27">
        <v>0</v>
      </c>
      <c r="G42" s="27">
        <v>15000</v>
      </c>
    </row>
    <row r="43" spans="1:7">
      <c r="B43" s="27"/>
      <c r="C43" s="27"/>
      <c r="D43" s="27"/>
      <c r="E43" s="27"/>
      <c r="F43" s="27"/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98E7-40A2-44A7-BA1F-4EB63444FB00}">
  <dimension ref="A2:S20"/>
  <sheetViews>
    <sheetView workbookViewId="0">
      <selection activeCell="J33" sqref="J33"/>
    </sheetView>
  </sheetViews>
  <sheetFormatPr defaultColWidth="9.140625" defaultRowHeight="15"/>
  <cols>
    <col min="1" max="1" width="4.5703125" customWidth="1"/>
    <col min="2" max="2" width="15.140625" customWidth="1"/>
    <col min="3" max="4" width="26.42578125" customWidth="1"/>
    <col min="5" max="5" width="8" customWidth="1"/>
    <col min="6" max="8" width="12" customWidth="1"/>
    <col min="9" max="10" width="13.42578125" customWidth="1"/>
    <col min="11" max="11" width="1.42578125" customWidth="1"/>
    <col min="12" max="12" width="14.7109375" customWidth="1"/>
    <col min="13" max="13" width="22.42578125" customWidth="1"/>
    <col min="14" max="14" width="24.42578125" customWidth="1"/>
    <col min="16" max="16" width="24.85546875" customWidth="1"/>
    <col min="17" max="17" width="22.5703125" bestFit="1" customWidth="1"/>
  </cols>
  <sheetData>
    <row r="2" spans="2:12">
      <c r="B2" s="168">
        <v>46203</v>
      </c>
      <c r="C2" s="169"/>
      <c r="D2" s="169"/>
      <c r="E2" s="170" t="s">
        <v>260</v>
      </c>
      <c r="F2" s="170"/>
      <c r="G2" s="170"/>
      <c r="H2" s="170"/>
      <c r="I2" s="170"/>
      <c r="J2" s="171"/>
      <c r="K2" s="172"/>
    </row>
    <row r="3" spans="2:12">
      <c r="B3" s="151"/>
      <c r="C3" s="10"/>
      <c r="D3" s="10"/>
      <c r="E3" s="10"/>
      <c r="F3" s="196" t="s">
        <v>261</v>
      </c>
      <c r="G3" s="196" t="s">
        <v>262</v>
      </c>
      <c r="H3" s="196" t="s">
        <v>263</v>
      </c>
      <c r="I3" s="196" t="s">
        <v>265</v>
      </c>
      <c r="J3" s="196" t="s">
        <v>264</v>
      </c>
      <c r="K3" s="120"/>
    </row>
    <row r="4" spans="2:12">
      <c r="B4" s="146">
        <v>46203</v>
      </c>
      <c r="C4" s="10" t="s">
        <v>234</v>
      </c>
      <c r="D4" t="s">
        <v>197</v>
      </c>
      <c r="E4" s="10" t="s">
        <v>69</v>
      </c>
      <c r="F4" s="154">
        <v>520</v>
      </c>
      <c r="G4" s="154">
        <v>-520</v>
      </c>
      <c r="H4" s="154">
        <f>F4+G4</f>
        <v>0</v>
      </c>
      <c r="I4" s="157">
        <v>45</v>
      </c>
      <c r="J4" s="157">
        <f>-G4*I4</f>
        <v>23400</v>
      </c>
      <c r="K4" s="158"/>
    </row>
    <row r="5" spans="2:12">
      <c r="B5" s="147">
        <v>46203</v>
      </c>
      <c r="C5" s="20" t="s">
        <v>233</v>
      </c>
      <c r="D5" s="24" t="s">
        <v>197</v>
      </c>
      <c r="E5" s="20" t="s">
        <v>69</v>
      </c>
      <c r="F5" s="148">
        <v>1725</v>
      </c>
      <c r="G5" s="148">
        <v>520</v>
      </c>
      <c r="H5" s="148">
        <f>F5+G5</f>
        <v>2245</v>
      </c>
      <c r="I5" s="149">
        <v>45</v>
      </c>
      <c r="J5" s="149">
        <f>-G5*I5</f>
        <v>-23400</v>
      </c>
      <c r="K5" s="159"/>
    </row>
    <row r="6" spans="2:12">
      <c r="B6" s="118"/>
      <c r="E6" s="10" t="s">
        <v>69</v>
      </c>
      <c r="F6" s="154">
        <f>SUM(F4:F5)</f>
        <v>2245</v>
      </c>
      <c r="G6" s="154">
        <f t="shared" ref="G6:H6" si="0">SUM(G4:G5)</f>
        <v>0</v>
      </c>
      <c r="H6" s="154">
        <f t="shared" si="0"/>
        <v>2245</v>
      </c>
      <c r="I6" s="157"/>
      <c r="J6" s="157">
        <f>SUM(J4:J5)</f>
        <v>0</v>
      </c>
      <c r="K6" s="120"/>
    </row>
    <row r="7" spans="2:12">
      <c r="B7" s="118"/>
      <c r="J7" s="156"/>
      <c r="K7" s="120"/>
    </row>
    <row r="8" spans="2:12">
      <c r="B8" s="168">
        <v>46203</v>
      </c>
      <c r="C8" s="169"/>
      <c r="D8" s="169"/>
      <c r="E8" s="170" t="s">
        <v>266</v>
      </c>
      <c r="F8" s="170"/>
      <c r="G8" s="170"/>
      <c r="H8" s="170"/>
      <c r="I8" s="170"/>
      <c r="J8" s="171"/>
      <c r="K8" s="172"/>
    </row>
    <row r="9" spans="2:12">
      <c r="B9" s="151"/>
      <c r="C9" s="10"/>
      <c r="D9" s="10"/>
      <c r="E9" s="10"/>
      <c r="F9" s="196" t="s">
        <v>261</v>
      </c>
      <c r="G9" s="196" t="s">
        <v>262</v>
      </c>
      <c r="H9" s="196" t="s">
        <v>263</v>
      </c>
      <c r="I9" s="196" t="s">
        <v>265</v>
      </c>
      <c r="J9" s="196" t="s">
        <v>264</v>
      </c>
      <c r="K9" s="120"/>
    </row>
    <row r="10" spans="2:12">
      <c r="B10" s="146">
        <v>46203</v>
      </c>
      <c r="C10" s="10" t="s">
        <v>234</v>
      </c>
      <c r="D10" t="s">
        <v>197</v>
      </c>
      <c r="E10" s="10" t="s">
        <v>67</v>
      </c>
      <c r="F10" s="154">
        <v>135</v>
      </c>
      <c r="G10" s="154">
        <v>-135</v>
      </c>
      <c r="H10" s="154">
        <f>F10+G10</f>
        <v>0</v>
      </c>
      <c r="I10" s="157">
        <v>45</v>
      </c>
      <c r="J10" s="157">
        <f>-G10*I10</f>
        <v>6075</v>
      </c>
      <c r="K10" s="158"/>
    </row>
    <row r="11" spans="2:12">
      <c r="B11" s="147">
        <v>46203</v>
      </c>
      <c r="C11" s="20" t="s">
        <v>233</v>
      </c>
      <c r="D11" s="24" t="s">
        <v>197</v>
      </c>
      <c r="E11" s="20" t="s">
        <v>67</v>
      </c>
      <c r="F11" s="148">
        <v>0</v>
      </c>
      <c r="G11" s="148">
        <v>135</v>
      </c>
      <c r="H11" s="148">
        <f>F11+G11</f>
        <v>135</v>
      </c>
      <c r="I11" s="149">
        <v>45</v>
      </c>
      <c r="J11" s="149">
        <f>-G11*I11</f>
        <v>-6075</v>
      </c>
      <c r="K11" s="159"/>
    </row>
    <row r="12" spans="2:12">
      <c r="B12" s="118"/>
      <c r="E12" s="10" t="s">
        <v>67</v>
      </c>
      <c r="F12" s="154">
        <f>SUM(F10:F11)</f>
        <v>135</v>
      </c>
      <c r="G12" s="154">
        <f t="shared" ref="G12" si="1">SUM(G10:G11)</f>
        <v>0</v>
      </c>
      <c r="H12" s="154">
        <f t="shared" ref="H12" si="2">SUM(H10:H11)</f>
        <v>135</v>
      </c>
      <c r="I12" s="157"/>
      <c r="J12" s="157">
        <f>SUM(J10:J11)</f>
        <v>0</v>
      </c>
      <c r="K12" s="120"/>
    </row>
    <row r="13" spans="2:12">
      <c r="B13" s="152"/>
      <c r="C13" s="148"/>
      <c r="D13" s="148"/>
      <c r="E13" s="148"/>
      <c r="F13" s="24"/>
      <c r="G13" s="24"/>
      <c r="H13" s="24"/>
      <c r="I13" s="24"/>
      <c r="J13" s="153"/>
      <c r="K13" s="124"/>
    </row>
    <row r="14" spans="2:12">
      <c r="B14" s="154"/>
      <c r="C14" s="154"/>
      <c r="D14" s="154"/>
      <c r="E14" s="154"/>
      <c r="J14" s="155"/>
    </row>
    <row r="15" spans="2:12">
      <c r="B15" s="168">
        <v>46203</v>
      </c>
      <c r="C15" s="169"/>
      <c r="D15" s="169"/>
      <c r="E15" s="170" t="s">
        <v>267</v>
      </c>
      <c r="F15" s="170"/>
      <c r="G15" s="170"/>
      <c r="H15" s="170"/>
      <c r="I15" s="170"/>
      <c r="J15" s="171"/>
      <c r="K15" s="172"/>
    </row>
    <row r="16" spans="2:12" s="107" customFormat="1">
      <c r="B16" s="160"/>
      <c r="C16" s="161"/>
      <c r="D16" s="161"/>
      <c r="E16" s="161"/>
      <c r="F16" s="196" t="s">
        <v>261</v>
      </c>
      <c r="G16" s="196" t="s">
        <v>262</v>
      </c>
      <c r="H16" s="196" t="s">
        <v>263</v>
      </c>
      <c r="I16" s="161"/>
      <c r="J16" s="161"/>
      <c r="K16" s="162"/>
      <c r="L16"/>
    </row>
    <row r="17" spans="1:19">
      <c r="A17" s="6"/>
      <c r="B17" s="146">
        <v>46203</v>
      </c>
      <c r="C17" t="s">
        <v>165</v>
      </c>
      <c r="D17" t="s">
        <v>109</v>
      </c>
      <c r="E17" s="8"/>
      <c r="F17" s="9">
        <v>43434.36</v>
      </c>
      <c r="G17" s="9">
        <v>-43434.36</v>
      </c>
      <c r="H17" s="8">
        <f>F17+G17</f>
        <v>0</v>
      </c>
      <c r="I17" s="59"/>
      <c r="J17" s="59"/>
      <c r="K17" s="163"/>
      <c r="R17" s="10"/>
      <c r="S17" s="10"/>
    </row>
    <row r="18" spans="1:19">
      <c r="A18" s="6"/>
      <c r="B18" s="147">
        <v>46203</v>
      </c>
      <c r="C18" s="24" t="s">
        <v>168</v>
      </c>
      <c r="D18" s="24" t="s">
        <v>109</v>
      </c>
      <c r="E18" s="23"/>
      <c r="F18" s="25">
        <v>114440.52</v>
      </c>
      <c r="G18" s="25">
        <f>-G17</f>
        <v>43434.36</v>
      </c>
      <c r="H18" s="23">
        <f>F18+G18</f>
        <v>157874.88</v>
      </c>
      <c r="I18" s="25"/>
      <c r="J18" s="60"/>
      <c r="K18" s="197"/>
      <c r="R18" s="10"/>
      <c r="S18" s="10"/>
    </row>
    <row r="19" spans="1:19">
      <c r="A19" s="6"/>
      <c r="B19" s="146"/>
      <c r="E19" s="8"/>
      <c r="F19" s="8">
        <f>SUM(F17:F18)</f>
        <v>157874.88</v>
      </c>
      <c r="G19" s="8">
        <f t="shared" ref="G19:H19" si="3">SUM(G17:G18)</f>
        <v>0</v>
      </c>
      <c r="H19" s="8">
        <f t="shared" si="3"/>
        <v>157874.88</v>
      </c>
      <c r="I19" s="59"/>
      <c r="J19" s="8"/>
      <c r="K19" s="163"/>
      <c r="R19" s="10"/>
      <c r="S19" s="10"/>
    </row>
    <row r="20" spans="1:19">
      <c r="B20" s="126"/>
      <c r="C20" s="24"/>
      <c r="D20" s="24"/>
      <c r="E20" s="24"/>
      <c r="F20" s="24"/>
      <c r="G20" s="24"/>
      <c r="H20" s="24"/>
      <c r="I20" s="24"/>
      <c r="J20" s="24"/>
      <c r="K20" s="124"/>
    </row>
  </sheetData>
  <pageMargins left="0.25" right="0.25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F9AC-0591-4917-8893-899622CB145A}">
  <dimension ref="A2:Q23"/>
  <sheetViews>
    <sheetView workbookViewId="0">
      <selection activeCell="H14" sqref="H14"/>
    </sheetView>
  </sheetViews>
  <sheetFormatPr defaultColWidth="9.140625" defaultRowHeight="15"/>
  <cols>
    <col min="1" max="1" width="4.5703125" customWidth="1"/>
    <col min="2" max="2" width="15.140625" customWidth="1"/>
    <col min="3" max="4" width="26.42578125" customWidth="1"/>
    <col min="5" max="5" width="8" customWidth="1"/>
    <col min="6" max="6" width="12" customWidth="1"/>
    <col min="7" max="7" width="13.42578125" customWidth="1"/>
    <col min="8" max="8" width="12.28515625" customWidth="1"/>
    <col min="9" max="9" width="16.85546875" customWidth="1"/>
    <col min="10" max="10" width="14.7109375" customWidth="1"/>
    <col min="11" max="11" width="22.42578125" customWidth="1"/>
    <col min="12" max="12" width="24.42578125" customWidth="1"/>
    <col min="14" max="14" width="24.85546875" customWidth="1"/>
    <col min="15" max="15" width="22.5703125" bestFit="1" customWidth="1"/>
  </cols>
  <sheetData>
    <row r="2" spans="2:10">
      <c r="B2" s="168">
        <v>45624</v>
      </c>
      <c r="C2" s="169"/>
      <c r="D2" s="169"/>
      <c r="E2" s="170" t="s">
        <v>217</v>
      </c>
      <c r="F2" s="170"/>
      <c r="G2" s="171"/>
      <c r="H2" s="170"/>
      <c r="I2" s="172"/>
    </row>
    <row r="3" spans="2:10">
      <c r="B3" s="118"/>
      <c r="I3" s="120"/>
    </row>
    <row r="4" spans="2:10">
      <c r="B4" s="146">
        <v>43837</v>
      </c>
      <c r="C4" s="6"/>
      <c r="D4" s="6"/>
      <c r="E4" s="6" t="s">
        <v>69</v>
      </c>
      <c r="F4" s="154">
        <v>60</v>
      </c>
      <c r="G4" s="157">
        <v>120000</v>
      </c>
      <c r="H4" s="156">
        <f>F4/F6</f>
        <v>0.4</v>
      </c>
      <c r="I4" s="158">
        <f>G4/F4</f>
        <v>2000</v>
      </c>
    </row>
    <row r="5" spans="2:10">
      <c r="B5" s="147">
        <v>43891</v>
      </c>
      <c r="C5" s="20"/>
      <c r="D5" s="20"/>
      <c r="E5" s="20" t="s">
        <v>69</v>
      </c>
      <c r="F5" s="148">
        <v>90</v>
      </c>
      <c r="G5" s="149">
        <v>180000</v>
      </c>
      <c r="H5" s="150">
        <f>F5/F6</f>
        <v>0.6</v>
      </c>
      <c r="I5" s="159">
        <f>G5/F5</f>
        <v>2000</v>
      </c>
    </row>
    <row r="6" spans="2:10">
      <c r="B6" s="151"/>
      <c r="C6" s="10"/>
      <c r="D6" s="10"/>
      <c r="E6" s="10" t="s">
        <v>69</v>
      </c>
      <c r="F6" s="154">
        <f>SUM(F4:F5)</f>
        <v>150</v>
      </c>
      <c r="G6" s="157">
        <f>SUM(G4:G5)</f>
        <v>300000</v>
      </c>
      <c r="H6" s="156">
        <f>SUM(H4:H5)</f>
        <v>1</v>
      </c>
      <c r="I6" s="120"/>
    </row>
    <row r="7" spans="2:10">
      <c r="B7" s="151"/>
      <c r="C7" s="10"/>
      <c r="D7" s="10"/>
      <c r="E7" s="10"/>
      <c r="F7" s="154"/>
      <c r="H7" s="156"/>
      <c r="I7" s="120"/>
    </row>
    <row r="8" spans="2:10">
      <c r="B8" s="151"/>
      <c r="C8" s="10" t="s">
        <v>233</v>
      </c>
      <c r="D8" s="10"/>
      <c r="E8" s="10" t="s">
        <v>69</v>
      </c>
      <c r="F8" s="154">
        <v>1725</v>
      </c>
      <c r="G8" s="157">
        <v>230000</v>
      </c>
      <c r="H8" s="156">
        <f>F8/F10</f>
        <v>0.76837416481069043</v>
      </c>
      <c r="I8" s="158">
        <f>G8/F8</f>
        <v>133.33333333333334</v>
      </c>
    </row>
    <row r="9" spans="2:10">
      <c r="B9" s="147">
        <v>45624</v>
      </c>
      <c r="C9" s="20" t="s">
        <v>234</v>
      </c>
      <c r="D9" s="20"/>
      <c r="E9" s="20" t="s">
        <v>69</v>
      </c>
      <c r="F9" s="148">
        <v>520</v>
      </c>
      <c r="G9" s="149">
        <v>70000</v>
      </c>
      <c r="H9" s="150">
        <f>F9/F10</f>
        <v>0.23162583518930957</v>
      </c>
      <c r="I9" s="159">
        <f>G9/F9</f>
        <v>134.61538461538461</v>
      </c>
    </row>
    <row r="10" spans="2:10">
      <c r="B10" s="118"/>
      <c r="E10" s="10" t="s">
        <v>69</v>
      </c>
      <c r="F10" s="154">
        <f>SUM(F8:F9)</f>
        <v>2245</v>
      </c>
      <c r="G10" s="157">
        <f>SUM(G8:G9)</f>
        <v>300000</v>
      </c>
      <c r="H10" s="156">
        <f>SUM(H8:H9)</f>
        <v>1</v>
      </c>
      <c r="I10" s="120"/>
    </row>
    <row r="11" spans="2:10">
      <c r="B11" s="118"/>
      <c r="G11" s="156"/>
      <c r="I11" s="120"/>
    </row>
    <row r="12" spans="2:10">
      <c r="B12" s="118" t="s">
        <v>215</v>
      </c>
      <c r="G12" s="149">
        <f>G6*H9</f>
        <v>69487.750556792875</v>
      </c>
      <c r="I12" s="120"/>
    </row>
    <row r="13" spans="2:10">
      <c r="B13" s="152" t="s">
        <v>216</v>
      </c>
      <c r="C13" s="148"/>
      <c r="D13" s="148"/>
      <c r="E13" s="148"/>
      <c r="F13" s="24"/>
      <c r="G13" s="153">
        <f>G9-G12</f>
        <v>512.2494432071253</v>
      </c>
      <c r="H13" s="24"/>
      <c r="I13" s="124"/>
    </row>
    <row r="14" spans="2:10">
      <c r="B14" s="154"/>
      <c r="C14" s="154"/>
      <c r="D14" s="154"/>
      <c r="E14" s="154"/>
      <c r="G14" s="155"/>
    </row>
    <row r="15" spans="2:10">
      <c r="B15" s="168">
        <v>45624</v>
      </c>
      <c r="C15" s="169"/>
      <c r="D15" s="169"/>
      <c r="E15" s="170" t="s">
        <v>232</v>
      </c>
      <c r="F15" s="170"/>
      <c r="G15" s="171"/>
      <c r="H15" s="170"/>
      <c r="I15" s="172"/>
    </row>
    <row r="16" spans="2:10" s="107" customFormat="1">
      <c r="B16" s="160"/>
      <c r="C16" s="161"/>
      <c r="D16" s="161"/>
      <c r="E16" s="161"/>
      <c r="F16" s="161"/>
      <c r="G16" s="161"/>
      <c r="H16" s="161"/>
      <c r="I16" s="162"/>
      <c r="J16"/>
    </row>
    <row r="17" spans="1:17">
      <c r="A17" s="6"/>
      <c r="B17" s="146">
        <v>45624</v>
      </c>
      <c r="C17" t="s">
        <v>168</v>
      </c>
      <c r="D17" t="s">
        <v>109</v>
      </c>
      <c r="E17" s="8" t="s">
        <v>69</v>
      </c>
      <c r="F17" s="9">
        <v>148938.38</v>
      </c>
      <c r="G17" s="59">
        <f>$H$9</f>
        <v>0.23162583518930957</v>
      </c>
      <c r="H17" s="9">
        <v>-34497.86</v>
      </c>
      <c r="I17" s="163">
        <f>F17+H17</f>
        <v>114440.52</v>
      </c>
      <c r="P17" s="10"/>
      <c r="Q17" s="10"/>
    </row>
    <row r="18" spans="1:17">
      <c r="A18" s="6"/>
      <c r="B18" s="146">
        <v>45624</v>
      </c>
      <c r="C18" t="s">
        <v>165</v>
      </c>
      <c r="D18" t="s">
        <v>109</v>
      </c>
      <c r="E18" s="8" t="s">
        <v>69</v>
      </c>
      <c r="F18" s="59"/>
      <c r="G18" s="59">
        <f>$H$9</f>
        <v>0.23162583518930957</v>
      </c>
      <c r="H18" s="9">
        <v>34497.86</v>
      </c>
      <c r="I18" s="163">
        <f>F18+H18</f>
        <v>34497.86</v>
      </c>
      <c r="P18" s="10"/>
      <c r="Q18" s="10"/>
    </row>
    <row r="19" spans="1:17">
      <c r="A19" s="6"/>
      <c r="B19" s="146"/>
      <c r="E19" s="8"/>
      <c r="F19" s="59"/>
      <c r="G19" s="8"/>
      <c r="H19" s="9"/>
      <c r="I19" s="163"/>
      <c r="P19" s="10"/>
      <c r="Q19" s="10"/>
    </row>
    <row r="20" spans="1:17">
      <c r="A20" s="6"/>
      <c r="B20" s="146"/>
      <c r="E20" s="8"/>
      <c r="F20" s="59"/>
      <c r="G20" s="9"/>
      <c r="H20" s="9"/>
      <c r="I20" s="163"/>
      <c r="P20" s="10"/>
      <c r="Q20" s="10"/>
    </row>
    <row r="21" spans="1:17">
      <c r="A21" s="6"/>
      <c r="B21" s="146">
        <v>45624</v>
      </c>
      <c r="C21" t="s">
        <v>22</v>
      </c>
      <c r="D21" t="s">
        <v>197</v>
      </c>
      <c r="E21" s="8" t="s">
        <v>69</v>
      </c>
      <c r="F21" s="164">
        <v>-520</v>
      </c>
      <c r="G21" s="9">
        <v>1</v>
      </c>
      <c r="H21" s="9">
        <v>-520</v>
      </c>
      <c r="I21" s="163" t="s">
        <v>89</v>
      </c>
      <c r="Q21" s="10"/>
    </row>
    <row r="22" spans="1:17">
      <c r="A22" s="6"/>
      <c r="B22" s="146">
        <v>45624</v>
      </c>
      <c r="C22" t="s">
        <v>17</v>
      </c>
      <c r="D22" t="s">
        <v>197</v>
      </c>
      <c r="E22" s="8" t="s">
        <v>69</v>
      </c>
      <c r="F22" s="165">
        <v>520</v>
      </c>
      <c r="G22" s="9">
        <v>1</v>
      </c>
      <c r="H22" s="9">
        <v>520</v>
      </c>
      <c r="I22" s="163" t="s">
        <v>89</v>
      </c>
      <c r="Q22" s="10"/>
    </row>
    <row r="23" spans="1:17">
      <c r="B23" s="126"/>
      <c r="C23" s="24"/>
      <c r="D23" s="24"/>
      <c r="E23" s="24"/>
      <c r="F23" s="24"/>
      <c r="G23" s="24"/>
      <c r="H23" s="24"/>
      <c r="I23" s="124"/>
    </row>
  </sheetData>
  <pageMargins left="0.25" right="0.25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S66"/>
  <sheetViews>
    <sheetView topLeftCell="A34" workbookViewId="0">
      <selection activeCell="A58" sqref="A58"/>
    </sheetView>
  </sheetViews>
  <sheetFormatPr defaultColWidth="9.140625" defaultRowHeight="15"/>
  <cols>
    <col min="1" max="1" width="3.5703125" customWidth="1"/>
    <col min="2" max="2" width="29.85546875" customWidth="1"/>
    <col min="3" max="3" width="6.7109375" customWidth="1"/>
    <col min="4" max="4" width="10.42578125" style="10" customWidth="1"/>
    <col min="5" max="5" width="10" customWidth="1"/>
    <col min="6" max="6" width="5.28515625" customWidth="1"/>
    <col min="7" max="7" width="14.42578125" customWidth="1"/>
    <col min="8" max="8" width="14.85546875" customWidth="1"/>
    <col min="9" max="9" width="13.85546875" style="6" customWidth="1"/>
    <col min="10" max="10" width="10.28515625" customWidth="1"/>
    <col min="11" max="11" width="4.85546875" customWidth="1"/>
    <col min="12" max="12" width="14.5703125" customWidth="1"/>
    <col min="13" max="14" width="14.7109375" customWidth="1"/>
    <col min="15" max="15" width="13.85546875" style="6" customWidth="1"/>
    <col min="16" max="16" width="11.140625" customWidth="1"/>
    <col min="17" max="17" width="11.42578125" style="10" bestFit="1" customWidth="1"/>
    <col min="19" max="19" width="10.7109375" bestFit="1" customWidth="1"/>
  </cols>
  <sheetData>
    <row r="2" spans="2:10" ht="18.75">
      <c r="B2" s="30" t="s">
        <v>84</v>
      </c>
      <c r="C2" s="30"/>
    </row>
    <row r="3" spans="2:10" ht="15.75">
      <c r="B3" s="31" t="s">
        <v>40</v>
      </c>
      <c r="C3" s="31"/>
      <c r="G3" s="31" t="s">
        <v>85</v>
      </c>
    </row>
    <row r="5" spans="2:10" ht="15.75">
      <c r="B5" s="32" t="s">
        <v>86</v>
      </c>
      <c r="C5" s="33" t="s">
        <v>87</v>
      </c>
      <c r="D5" s="4" t="s">
        <v>88</v>
      </c>
      <c r="E5" s="34" t="s">
        <v>89</v>
      </c>
      <c r="G5" s="34" t="s">
        <v>90</v>
      </c>
      <c r="H5" s="34" t="s">
        <v>91</v>
      </c>
      <c r="I5" s="35" t="s">
        <v>92</v>
      </c>
      <c r="J5" s="34" t="s">
        <v>93</v>
      </c>
    </row>
    <row r="6" spans="2:10" ht="15.75">
      <c r="B6" s="36" t="s">
        <v>96</v>
      </c>
      <c r="C6" s="37" t="s">
        <v>72</v>
      </c>
      <c r="D6" s="102">
        <f t="shared" ref="D6:D19" si="0">E6/$E$20</f>
        <v>4.3933333333333331E-2</v>
      </c>
      <c r="E6" s="38">
        <v>659</v>
      </c>
      <c r="G6" s="39">
        <v>659</v>
      </c>
      <c r="H6" s="40">
        <v>658.68</v>
      </c>
      <c r="I6" s="41">
        <v>44495</v>
      </c>
      <c r="J6" s="42">
        <f>H6-G6</f>
        <v>-0.32000000000005002</v>
      </c>
    </row>
    <row r="7" spans="2:10" ht="15.75">
      <c r="B7" s="36" t="s">
        <v>60</v>
      </c>
      <c r="C7" s="37" t="s">
        <v>72</v>
      </c>
      <c r="D7" s="102">
        <f t="shared" si="0"/>
        <v>4.3933333333333331E-2</v>
      </c>
      <c r="E7" s="38">
        <v>659</v>
      </c>
      <c r="G7" s="39">
        <v>659</v>
      </c>
      <c r="H7" s="40">
        <v>658.68</v>
      </c>
      <c r="I7" s="41">
        <v>44495</v>
      </c>
      <c r="J7" s="43">
        <f t="shared" ref="J7:J19" si="1">H7-G7</f>
        <v>-0.32000000000005002</v>
      </c>
    </row>
    <row r="8" spans="2:10" ht="15.75">
      <c r="B8" s="36" t="s">
        <v>63</v>
      </c>
      <c r="C8" s="37" t="s">
        <v>74</v>
      </c>
      <c r="D8" s="102">
        <f t="shared" si="0"/>
        <v>3.6933333333333332E-2</v>
      </c>
      <c r="E8" s="38">
        <v>554</v>
      </c>
      <c r="F8" s="44"/>
      <c r="G8" s="39">
        <v>554</v>
      </c>
      <c r="H8" s="40">
        <v>554</v>
      </c>
      <c r="I8" s="41">
        <v>44496</v>
      </c>
      <c r="J8" s="43">
        <f>H8-G8</f>
        <v>0</v>
      </c>
    </row>
    <row r="9" spans="2:10" ht="15.75">
      <c r="B9" s="36" t="s">
        <v>61</v>
      </c>
      <c r="C9" s="37" t="s">
        <v>73</v>
      </c>
      <c r="D9" s="102">
        <f t="shared" si="0"/>
        <v>9.8799999999999999E-2</v>
      </c>
      <c r="E9" s="38">
        <v>1482</v>
      </c>
      <c r="G9" s="39">
        <v>1482</v>
      </c>
      <c r="H9" s="40">
        <v>1482.04</v>
      </c>
      <c r="I9" s="41">
        <v>44496</v>
      </c>
      <c r="J9" s="43">
        <f>H9-G9</f>
        <v>3.999999999996362E-2</v>
      </c>
    </row>
    <row r="10" spans="2:10" ht="15.75">
      <c r="B10" s="36" t="s">
        <v>63</v>
      </c>
      <c r="C10" s="37" t="s">
        <v>73</v>
      </c>
      <c r="D10" s="102">
        <f t="shared" si="0"/>
        <v>6.0000000000000001E-3</v>
      </c>
      <c r="E10" s="38">
        <v>90</v>
      </c>
      <c r="F10" s="44"/>
      <c r="G10" s="39">
        <v>90</v>
      </c>
      <c r="H10" s="40">
        <f>643.71-554</f>
        <v>89.710000000000036</v>
      </c>
      <c r="I10" s="41">
        <v>44496</v>
      </c>
      <c r="J10" s="43">
        <f t="shared" si="1"/>
        <v>-0.28999999999996362</v>
      </c>
    </row>
    <row r="11" spans="2:10" ht="15.75">
      <c r="B11" s="36" t="s">
        <v>62</v>
      </c>
      <c r="C11" s="37" t="s">
        <v>74</v>
      </c>
      <c r="D11" s="102">
        <f t="shared" si="0"/>
        <v>9.8799999999999999E-2</v>
      </c>
      <c r="E11" s="38">
        <v>1482</v>
      </c>
      <c r="G11" s="39">
        <v>1482</v>
      </c>
      <c r="H11" s="40">
        <v>1482.04</v>
      </c>
      <c r="I11" s="41">
        <v>44496</v>
      </c>
      <c r="J11" s="43">
        <f t="shared" si="1"/>
        <v>3.999999999996362E-2</v>
      </c>
    </row>
    <row r="12" spans="2:10" ht="15.75">
      <c r="B12" s="36" t="s">
        <v>56</v>
      </c>
      <c r="C12" s="37" t="s">
        <v>68</v>
      </c>
      <c r="D12" s="102">
        <f t="shared" si="0"/>
        <v>4.9933333333333337E-2</v>
      </c>
      <c r="E12" s="38">
        <v>749</v>
      </c>
      <c r="G12" s="39">
        <v>749</v>
      </c>
      <c r="H12" s="40">
        <v>748.5</v>
      </c>
      <c r="I12" s="41">
        <v>44494</v>
      </c>
      <c r="J12" s="43">
        <f t="shared" si="1"/>
        <v>-0.5</v>
      </c>
    </row>
    <row r="13" spans="2:10" ht="15.75">
      <c r="B13" s="36" t="s">
        <v>65</v>
      </c>
      <c r="C13" s="37" t="s">
        <v>68</v>
      </c>
      <c r="D13" s="102">
        <f t="shared" si="0"/>
        <v>5.0866666666666664E-2</v>
      </c>
      <c r="E13" s="38">
        <v>763</v>
      </c>
      <c r="G13" s="39">
        <v>763</v>
      </c>
      <c r="H13" s="40">
        <v>763.47</v>
      </c>
      <c r="I13" s="41">
        <v>44505</v>
      </c>
      <c r="J13" s="43">
        <f t="shared" si="1"/>
        <v>0.47000000000002728</v>
      </c>
    </row>
    <row r="14" spans="2:10" ht="15.75">
      <c r="B14" s="36" t="s">
        <v>58</v>
      </c>
      <c r="C14" s="37" t="s">
        <v>71</v>
      </c>
      <c r="D14" s="102">
        <f t="shared" si="0"/>
        <v>9.6799999999999997E-2</v>
      </c>
      <c r="E14" s="38">
        <v>1452</v>
      </c>
      <c r="G14" s="39">
        <v>1452</v>
      </c>
      <c r="H14" s="40">
        <v>1452.1</v>
      </c>
      <c r="I14" s="41">
        <v>44494</v>
      </c>
      <c r="J14" s="43">
        <f t="shared" si="1"/>
        <v>9.9999999999909051E-2</v>
      </c>
    </row>
    <row r="15" spans="2:10" ht="15.75">
      <c r="B15" s="36" t="s">
        <v>55</v>
      </c>
      <c r="C15" s="37" t="s">
        <v>67</v>
      </c>
      <c r="D15" s="102">
        <f t="shared" si="0"/>
        <v>9.6799999999999997E-2</v>
      </c>
      <c r="E15" s="38">
        <v>1452</v>
      </c>
      <c r="G15" s="39">
        <v>1452</v>
      </c>
      <c r="H15" s="40">
        <v>1452.1</v>
      </c>
      <c r="I15" s="41">
        <v>44491</v>
      </c>
      <c r="J15" s="43">
        <f t="shared" si="1"/>
        <v>9.9999999999909051E-2</v>
      </c>
    </row>
    <row r="16" spans="2:10" ht="15.75">
      <c r="B16" s="36" t="s">
        <v>54</v>
      </c>
      <c r="C16" s="37" t="s">
        <v>67</v>
      </c>
      <c r="D16" s="102">
        <f t="shared" si="0"/>
        <v>8.9999999999999993E-3</v>
      </c>
      <c r="E16" s="38">
        <v>135</v>
      </c>
      <c r="G16" s="39">
        <v>135</v>
      </c>
      <c r="H16" s="40">
        <v>134.72999999999999</v>
      </c>
      <c r="I16" s="41">
        <v>44494</v>
      </c>
      <c r="J16" s="43">
        <f t="shared" si="1"/>
        <v>-0.27000000000001023</v>
      </c>
    </row>
    <row r="17" spans="2:17" ht="15.75">
      <c r="B17" s="36" t="s">
        <v>57</v>
      </c>
      <c r="C17" s="37" t="s">
        <v>70</v>
      </c>
      <c r="D17" s="102">
        <f t="shared" si="0"/>
        <v>0.11973333333333333</v>
      </c>
      <c r="E17" s="38">
        <v>1796</v>
      </c>
      <c r="G17" s="39">
        <v>1796</v>
      </c>
      <c r="H17" s="40">
        <v>1796.41</v>
      </c>
      <c r="I17" s="41">
        <v>44494</v>
      </c>
      <c r="J17" s="43">
        <f t="shared" si="1"/>
        <v>0.41000000000008185</v>
      </c>
    </row>
    <row r="18" spans="2:17" ht="15.75">
      <c r="B18" s="36" t="s">
        <v>22</v>
      </c>
      <c r="C18" s="37" t="s">
        <v>69</v>
      </c>
      <c r="D18" s="102">
        <f t="shared" si="0"/>
        <v>0.14966666666666667</v>
      </c>
      <c r="E18" s="38">
        <v>2245</v>
      </c>
      <c r="G18" s="39">
        <v>2245</v>
      </c>
      <c r="H18" s="40">
        <v>2245.5100000000002</v>
      </c>
      <c r="I18" s="41">
        <v>44494</v>
      </c>
      <c r="J18" s="43">
        <f t="shared" si="1"/>
        <v>0.51000000000021828</v>
      </c>
    </row>
    <row r="19" spans="2:17" ht="15.75">
      <c r="B19" s="45" t="s">
        <v>64</v>
      </c>
      <c r="C19" s="46" t="s">
        <v>75</v>
      </c>
      <c r="D19" s="103">
        <f t="shared" si="0"/>
        <v>9.8799999999999999E-2</v>
      </c>
      <c r="E19" s="47">
        <v>1482</v>
      </c>
      <c r="G19" s="48">
        <v>1482</v>
      </c>
      <c r="H19" s="49">
        <v>1482.04</v>
      </c>
      <c r="I19" s="50">
        <v>44497</v>
      </c>
      <c r="J19" s="51">
        <f t="shared" si="1"/>
        <v>3.999999999996362E-2</v>
      </c>
    </row>
    <row r="20" spans="2:17" ht="15.75">
      <c r="B20" s="53" t="s">
        <v>97</v>
      </c>
      <c r="C20" s="53"/>
      <c r="D20" s="104">
        <f>SUM(D6:D19)</f>
        <v>1</v>
      </c>
      <c r="E20" s="54">
        <f>SUM(E6:E19)</f>
        <v>15000</v>
      </c>
      <c r="G20" s="55">
        <f>SUM(G6:G19)</f>
        <v>15000</v>
      </c>
      <c r="H20" s="55">
        <f>SUM(H6:H19)</f>
        <v>15000.009999999998</v>
      </c>
      <c r="I20" s="56"/>
      <c r="J20" s="57">
        <f>SUM(J6:J19)</f>
        <v>9.9999999999624833E-3</v>
      </c>
    </row>
    <row r="22" spans="2:17" s="10" customFormat="1" ht="15.75">
      <c r="B22" s="32" t="s">
        <v>86</v>
      </c>
      <c r="C22" s="33" t="s">
        <v>87</v>
      </c>
      <c r="D22" s="4" t="s">
        <v>88</v>
      </c>
      <c r="E22" s="34" t="s">
        <v>89</v>
      </c>
      <c r="F22"/>
      <c r="G22" s="34" t="s">
        <v>90</v>
      </c>
      <c r="H22" s="34" t="s">
        <v>91</v>
      </c>
      <c r="I22" s="35" t="s">
        <v>92</v>
      </c>
      <c r="J22" s="34" t="s">
        <v>93</v>
      </c>
      <c r="K22"/>
      <c r="L22" s="34" t="s">
        <v>94</v>
      </c>
      <c r="M22" s="34" t="s">
        <v>95</v>
      </c>
      <c r="N22" s="34" t="s">
        <v>91</v>
      </c>
      <c r="O22" s="35" t="s">
        <v>92</v>
      </c>
      <c r="P22" s="34" t="s">
        <v>93</v>
      </c>
    </row>
    <row r="23" spans="2:17" s="10" customFormat="1" ht="15.75">
      <c r="B23" s="36" t="s">
        <v>96</v>
      </c>
      <c r="C23" s="37" t="s">
        <v>72</v>
      </c>
      <c r="D23" s="102">
        <f>E23/$E$20</f>
        <v>4.3933333333333331E-2</v>
      </c>
      <c r="E23" s="38">
        <v>659</v>
      </c>
      <c r="F23"/>
      <c r="G23" s="39">
        <f>E23</f>
        <v>659</v>
      </c>
      <c r="H23" s="40">
        <v>658.68</v>
      </c>
      <c r="I23" s="41">
        <v>44495</v>
      </c>
      <c r="J23" s="42">
        <f>H23-G23</f>
        <v>-0.32000000000005002</v>
      </c>
      <c r="K23"/>
      <c r="L23" s="39">
        <f>$L$37*D23</f>
        <v>439.33333333333331</v>
      </c>
      <c r="M23" s="40">
        <f>L23-J23</f>
        <v>439.65333333333336</v>
      </c>
      <c r="N23" s="42">
        <v>439.65</v>
      </c>
      <c r="O23" s="41">
        <v>44578</v>
      </c>
      <c r="P23" s="42">
        <f>N23-M23</f>
        <v>-3.3333333333871451E-3</v>
      </c>
      <c r="Q23" s="10" t="s">
        <v>136</v>
      </c>
    </row>
    <row r="24" spans="2:17" s="10" customFormat="1" ht="15.75">
      <c r="B24" s="36" t="s">
        <v>60</v>
      </c>
      <c r="C24" s="37" t="s">
        <v>72</v>
      </c>
      <c r="D24" s="102">
        <f t="shared" ref="D24:D36" si="2">E24/$E$20</f>
        <v>4.3933333333333331E-2</v>
      </c>
      <c r="E24" s="38">
        <v>659</v>
      </c>
      <c r="F24"/>
      <c r="G24" s="39">
        <f t="shared" ref="G24:G36" si="3">E24</f>
        <v>659</v>
      </c>
      <c r="H24" s="40">
        <v>658.68</v>
      </c>
      <c r="I24" s="41">
        <v>44495</v>
      </c>
      <c r="J24" s="43">
        <f t="shared" ref="J24" si="4">H24-G24</f>
        <v>-0.32000000000005002</v>
      </c>
      <c r="K24"/>
      <c r="L24" s="39">
        <f>$L$37*D24</f>
        <v>439.33333333333331</v>
      </c>
      <c r="M24" s="40">
        <f t="shared" ref="M24:M36" si="5">L24-J24</f>
        <v>439.65333333333336</v>
      </c>
      <c r="N24" s="43">
        <v>439.65</v>
      </c>
      <c r="O24" s="41">
        <v>44578</v>
      </c>
      <c r="P24" s="43">
        <f t="shared" ref="P24:P36" si="6">N24-M24</f>
        <v>-3.3333333333871451E-3</v>
      </c>
      <c r="Q24" s="10" t="s">
        <v>136</v>
      </c>
    </row>
    <row r="25" spans="2:17" s="10" customFormat="1" ht="15.75">
      <c r="B25" s="36" t="s">
        <v>63</v>
      </c>
      <c r="C25" s="37" t="s">
        <v>73</v>
      </c>
      <c r="D25" s="102">
        <f>E25/$E$20</f>
        <v>2.4799999999999999E-2</v>
      </c>
      <c r="E25" s="38">
        <v>372</v>
      </c>
      <c r="F25" s="44"/>
      <c r="G25" s="39">
        <f>E25</f>
        <v>372</v>
      </c>
      <c r="H25" s="40">
        <v>371.75</v>
      </c>
      <c r="I25" s="41">
        <v>44496</v>
      </c>
      <c r="J25" s="43">
        <f>H25-G25</f>
        <v>-0.25</v>
      </c>
      <c r="K25"/>
      <c r="L25" s="39">
        <v>1048</v>
      </c>
      <c r="M25" s="40">
        <f>L25-J25</f>
        <v>1048.25</v>
      </c>
      <c r="N25" s="43">
        <v>1048.25</v>
      </c>
      <c r="O25" s="41">
        <v>44593</v>
      </c>
      <c r="P25" s="43">
        <f>N25-M25</f>
        <v>0</v>
      </c>
      <c r="Q25" s="10" t="s">
        <v>136</v>
      </c>
    </row>
    <row r="26" spans="2:17" s="10" customFormat="1" ht="15.75">
      <c r="B26" s="36" t="s">
        <v>61</v>
      </c>
      <c r="C26" s="37" t="s">
        <v>73</v>
      </c>
      <c r="D26" s="102">
        <f t="shared" si="2"/>
        <v>0.04</v>
      </c>
      <c r="E26" s="38">
        <v>600</v>
      </c>
      <c r="F26"/>
      <c r="G26" s="39">
        <f t="shared" si="3"/>
        <v>600</v>
      </c>
      <c r="H26" s="40">
        <f t="shared" ref="H26:H27" si="7">G26</f>
        <v>600</v>
      </c>
      <c r="I26" s="41">
        <v>44496</v>
      </c>
      <c r="J26" s="43">
        <f>H26-G26</f>
        <v>0</v>
      </c>
      <c r="K26"/>
      <c r="L26" s="39">
        <v>0</v>
      </c>
      <c r="M26" s="40">
        <f>L26-J26</f>
        <v>0</v>
      </c>
      <c r="N26" s="43">
        <v>0</v>
      </c>
      <c r="O26" s="41">
        <v>44593</v>
      </c>
      <c r="P26" s="43">
        <f>N26-M26</f>
        <v>0</v>
      </c>
      <c r="Q26" s="10" t="s">
        <v>136</v>
      </c>
    </row>
    <row r="27" spans="2:17" s="10" customFormat="1" ht="15.75">
      <c r="B27" s="36" t="s">
        <v>62</v>
      </c>
      <c r="C27" s="37" t="s">
        <v>73</v>
      </c>
      <c r="D27" s="102">
        <f t="shared" si="2"/>
        <v>0.04</v>
      </c>
      <c r="E27" s="38">
        <v>600</v>
      </c>
      <c r="F27"/>
      <c r="G27" s="39">
        <f t="shared" si="3"/>
        <v>600</v>
      </c>
      <c r="H27" s="40">
        <f t="shared" si="7"/>
        <v>600</v>
      </c>
      <c r="I27" s="41">
        <v>44496</v>
      </c>
      <c r="J27" s="43">
        <f t="shared" ref="J27:J36" si="8">H27-G27</f>
        <v>0</v>
      </c>
      <c r="K27"/>
      <c r="L27" s="39">
        <v>0</v>
      </c>
      <c r="M27" s="40">
        <f t="shared" si="5"/>
        <v>0</v>
      </c>
      <c r="N27" s="43">
        <v>0</v>
      </c>
      <c r="O27" s="41">
        <v>44593</v>
      </c>
      <c r="P27" s="43">
        <f t="shared" si="6"/>
        <v>0</v>
      </c>
      <c r="Q27" s="10" t="s">
        <v>136</v>
      </c>
    </row>
    <row r="28" spans="2:17" s="10" customFormat="1" ht="15.75">
      <c r="B28" s="110" t="s">
        <v>98</v>
      </c>
      <c r="C28" s="37" t="s">
        <v>74</v>
      </c>
      <c r="D28" s="102">
        <f t="shared" si="2"/>
        <v>0.13573333333333334</v>
      </c>
      <c r="E28" s="38">
        <v>2036</v>
      </c>
      <c r="F28" s="44"/>
      <c r="G28" s="39">
        <f t="shared" si="3"/>
        <v>2036</v>
      </c>
      <c r="H28" s="40">
        <v>2036.04</v>
      </c>
      <c r="I28" s="41">
        <v>44496</v>
      </c>
      <c r="J28" s="43">
        <f t="shared" si="8"/>
        <v>3.999999999996362E-2</v>
      </c>
      <c r="K28"/>
      <c r="L28" s="39">
        <f t="shared" ref="L28:L36" si="9">$L$37*D28</f>
        <v>1357.3333333333335</v>
      </c>
      <c r="M28" s="40">
        <f t="shared" si="5"/>
        <v>1357.2933333333335</v>
      </c>
      <c r="N28" s="43">
        <v>1357.29</v>
      </c>
      <c r="O28" s="41">
        <v>44599</v>
      </c>
      <c r="P28" s="43">
        <f t="shared" si="6"/>
        <v>-3.3333333335576754E-3</v>
      </c>
      <c r="Q28" s="10" t="s">
        <v>136</v>
      </c>
    </row>
    <row r="29" spans="2:17" s="10" customFormat="1" ht="15.75">
      <c r="B29" s="36" t="s">
        <v>56</v>
      </c>
      <c r="C29" s="37" t="s">
        <v>68</v>
      </c>
      <c r="D29" s="102">
        <f t="shared" si="2"/>
        <v>4.9933333333333337E-2</v>
      </c>
      <c r="E29" s="38">
        <v>749</v>
      </c>
      <c r="F29"/>
      <c r="G29" s="39">
        <f t="shared" si="3"/>
        <v>749</v>
      </c>
      <c r="H29" s="40">
        <v>748.5</v>
      </c>
      <c r="I29" s="41">
        <v>44494</v>
      </c>
      <c r="J29" s="43">
        <f t="shared" si="8"/>
        <v>-0.5</v>
      </c>
      <c r="K29"/>
      <c r="L29" s="39">
        <f t="shared" si="9"/>
        <v>499.33333333333337</v>
      </c>
      <c r="M29" s="40">
        <f t="shared" si="5"/>
        <v>499.83333333333337</v>
      </c>
      <c r="N29" s="43">
        <v>499.83</v>
      </c>
      <c r="O29" s="41">
        <v>44631</v>
      </c>
      <c r="P29" s="43">
        <f t="shared" si="6"/>
        <v>-3.3333333333871451E-3</v>
      </c>
      <c r="Q29" s="10" t="s">
        <v>136</v>
      </c>
    </row>
    <row r="30" spans="2:17" s="10" customFormat="1" ht="15.75">
      <c r="B30" s="36" t="s">
        <v>65</v>
      </c>
      <c r="C30" s="37" t="s">
        <v>68</v>
      </c>
      <c r="D30" s="102">
        <f t="shared" si="2"/>
        <v>5.0866666666666664E-2</v>
      </c>
      <c r="E30" s="38">
        <v>763</v>
      </c>
      <c r="F30"/>
      <c r="G30" s="39">
        <f t="shared" si="3"/>
        <v>763</v>
      </c>
      <c r="H30" s="40">
        <v>763.47</v>
      </c>
      <c r="I30" s="41">
        <v>44505</v>
      </c>
      <c r="J30" s="43">
        <f t="shared" si="8"/>
        <v>0.47000000000002728</v>
      </c>
      <c r="K30"/>
      <c r="L30" s="39">
        <f t="shared" si="9"/>
        <v>508.66666666666663</v>
      </c>
      <c r="M30" s="40">
        <f t="shared" si="5"/>
        <v>508.1966666666666</v>
      </c>
      <c r="N30" s="43">
        <v>508.2</v>
      </c>
      <c r="O30" s="41">
        <v>44644</v>
      </c>
      <c r="P30" s="43">
        <f t="shared" si="6"/>
        <v>3.3333333333871451E-3</v>
      </c>
      <c r="Q30" s="10" t="s">
        <v>136</v>
      </c>
    </row>
    <row r="31" spans="2:17" s="10" customFormat="1" ht="15.75">
      <c r="B31" s="36" t="s">
        <v>58</v>
      </c>
      <c r="C31" s="37" t="s">
        <v>71</v>
      </c>
      <c r="D31" s="102">
        <f t="shared" si="2"/>
        <v>9.6799999999999997E-2</v>
      </c>
      <c r="E31" s="38">
        <v>1452</v>
      </c>
      <c r="F31"/>
      <c r="G31" s="39">
        <f t="shared" si="3"/>
        <v>1452</v>
      </c>
      <c r="H31" s="40">
        <v>1452.1</v>
      </c>
      <c r="I31" s="41">
        <v>44494</v>
      </c>
      <c r="J31" s="43">
        <f t="shared" si="8"/>
        <v>9.9999999999909051E-2</v>
      </c>
      <c r="K31"/>
      <c r="L31" s="39">
        <f t="shared" si="9"/>
        <v>968</v>
      </c>
      <c r="M31" s="40">
        <f t="shared" si="5"/>
        <v>967.90000000000009</v>
      </c>
      <c r="N31" s="43">
        <v>967.9</v>
      </c>
      <c r="O31" s="41">
        <v>44575</v>
      </c>
      <c r="P31" s="43">
        <f t="shared" si="6"/>
        <v>0</v>
      </c>
      <c r="Q31" s="10" t="s">
        <v>136</v>
      </c>
    </row>
    <row r="32" spans="2:17" s="10" customFormat="1" ht="15.75">
      <c r="B32" s="36" t="s">
        <v>54</v>
      </c>
      <c r="C32" s="37" t="s">
        <v>67</v>
      </c>
      <c r="D32" s="102">
        <f t="shared" si="2"/>
        <v>8.9999999999999993E-3</v>
      </c>
      <c r="E32" s="38">
        <v>135</v>
      </c>
      <c r="F32"/>
      <c r="G32" s="39">
        <f t="shared" si="3"/>
        <v>135</v>
      </c>
      <c r="H32" s="40">
        <v>134.72999999999999</v>
      </c>
      <c r="I32" s="41">
        <v>44494</v>
      </c>
      <c r="J32" s="43">
        <f t="shared" si="8"/>
        <v>-0.27000000000001023</v>
      </c>
      <c r="K32"/>
      <c r="L32" s="39">
        <f t="shared" si="9"/>
        <v>90</v>
      </c>
      <c r="M32" s="40">
        <f t="shared" si="5"/>
        <v>90.27000000000001</v>
      </c>
      <c r="N32" s="43">
        <v>90.27</v>
      </c>
      <c r="O32" s="41">
        <v>44574</v>
      </c>
      <c r="P32" s="43">
        <f t="shared" si="6"/>
        <v>0</v>
      </c>
      <c r="Q32" s="10" t="s">
        <v>136</v>
      </c>
    </row>
    <row r="33" spans="2:18" s="10" customFormat="1" ht="15.75">
      <c r="B33" s="36" t="s">
        <v>55</v>
      </c>
      <c r="C33" s="37" t="s">
        <v>67</v>
      </c>
      <c r="D33" s="102">
        <f>E33/$E$20</f>
        <v>9.6799999999999997E-2</v>
      </c>
      <c r="E33" s="38">
        <v>1452</v>
      </c>
      <c r="F33"/>
      <c r="G33" s="39">
        <f>E33</f>
        <v>1452</v>
      </c>
      <c r="H33" s="40">
        <v>1452.1</v>
      </c>
      <c r="I33" s="41">
        <v>44491</v>
      </c>
      <c r="J33" s="43">
        <f>H33-G33</f>
        <v>9.9999999999909051E-2</v>
      </c>
      <c r="K33"/>
      <c r="L33" s="39">
        <f t="shared" si="9"/>
        <v>968</v>
      </c>
      <c r="M33" s="40">
        <f>L33-J33</f>
        <v>967.90000000000009</v>
      </c>
      <c r="N33" s="43">
        <v>967.9</v>
      </c>
      <c r="O33" s="41">
        <v>44574</v>
      </c>
      <c r="P33" s="43">
        <f>N33-M33</f>
        <v>0</v>
      </c>
      <c r="Q33" s="10" t="s">
        <v>136</v>
      </c>
    </row>
    <row r="34" spans="2:18" s="10" customFormat="1" ht="15.75">
      <c r="B34" s="36" t="s">
        <v>57</v>
      </c>
      <c r="C34" s="37" t="s">
        <v>70</v>
      </c>
      <c r="D34" s="102">
        <f t="shared" si="2"/>
        <v>0.11973333333333333</v>
      </c>
      <c r="E34" s="38">
        <v>1796</v>
      </c>
      <c r="F34"/>
      <c r="G34" s="39">
        <f t="shared" si="3"/>
        <v>1796</v>
      </c>
      <c r="H34" s="40">
        <v>1796.41</v>
      </c>
      <c r="I34" s="41">
        <v>44494</v>
      </c>
      <c r="J34" s="43">
        <f t="shared" si="8"/>
        <v>0.41000000000008185</v>
      </c>
      <c r="K34"/>
      <c r="L34" s="39">
        <f t="shared" si="9"/>
        <v>1197.3333333333333</v>
      </c>
      <c r="M34" s="40">
        <f t="shared" si="5"/>
        <v>1196.9233333333332</v>
      </c>
      <c r="N34" s="43">
        <v>1196.92</v>
      </c>
      <c r="O34" s="41">
        <v>44592</v>
      </c>
      <c r="P34" s="43">
        <f t="shared" si="6"/>
        <v>-3.333333333102928E-3</v>
      </c>
      <c r="Q34" s="10" t="s">
        <v>136</v>
      </c>
    </row>
    <row r="35" spans="2:18" s="10" customFormat="1" ht="15.75">
      <c r="B35" s="36" t="s">
        <v>22</v>
      </c>
      <c r="C35" s="37" t="s">
        <v>69</v>
      </c>
      <c r="D35" s="102">
        <f t="shared" si="2"/>
        <v>0.14966666666666667</v>
      </c>
      <c r="E35" s="38">
        <v>2245</v>
      </c>
      <c r="F35"/>
      <c r="G35" s="39">
        <f t="shared" si="3"/>
        <v>2245</v>
      </c>
      <c r="H35" s="40">
        <v>2245.5100000000002</v>
      </c>
      <c r="I35" s="41">
        <v>44494</v>
      </c>
      <c r="J35" s="43">
        <f t="shared" si="8"/>
        <v>0.51000000000021828</v>
      </c>
      <c r="K35"/>
      <c r="L35" s="39">
        <f t="shared" si="9"/>
        <v>1496.6666666666667</v>
      </c>
      <c r="M35" s="40">
        <f t="shared" si="5"/>
        <v>1496.1566666666665</v>
      </c>
      <c r="N35" s="43">
        <v>1496.16</v>
      </c>
      <c r="O35" s="41">
        <v>44574</v>
      </c>
      <c r="P35" s="43">
        <f t="shared" si="6"/>
        <v>3.3333333335576754E-3</v>
      </c>
      <c r="Q35" s="10" t="s">
        <v>136</v>
      </c>
    </row>
    <row r="36" spans="2:18" s="10" customFormat="1" ht="15.75">
      <c r="B36" s="45" t="s">
        <v>64</v>
      </c>
      <c r="C36" s="46" t="s">
        <v>75</v>
      </c>
      <c r="D36" s="103">
        <f t="shared" si="2"/>
        <v>9.8799999999999999E-2</v>
      </c>
      <c r="E36" s="47">
        <v>1482</v>
      </c>
      <c r="F36"/>
      <c r="G36" s="48">
        <f t="shared" si="3"/>
        <v>1482</v>
      </c>
      <c r="H36" s="49">
        <v>1482.04</v>
      </c>
      <c r="I36" s="50">
        <v>44497</v>
      </c>
      <c r="J36" s="51">
        <f t="shared" si="8"/>
        <v>3.999999999996362E-2</v>
      </c>
      <c r="K36"/>
      <c r="L36" s="48">
        <f t="shared" si="9"/>
        <v>988</v>
      </c>
      <c r="M36" s="49">
        <f t="shared" si="5"/>
        <v>987.96</v>
      </c>
      <c r="N36" s="51">
        <v>987.96</v>
      </c>
      <c r="O36" s="52">
        <v>44574</v>
      </c>
      <c r="P36" s="51">
        <f t="shared" si="6"/>
        <v>0</v>
      </c>
      <c r="Q36" s="10" t="s">
        <v>136</v>
      </c>
    </row>
    <row r="37" spans="2:18" s="10" customFormat="1" ht="15.75">
      <c r="B37" s="53" t="s">
        <v>97</v>
      </c>
      <c r="C37" s="53"/>
      <c r="D37" s="104">
        <f>SUM(D23:D36)</f>
        <v>1</v>
      </c>
      <c r="E37" s="54">
        <f>SUM(E23:E36)</f>
        <v>15000</v>
      </c>
      <c r="F37"/>
      <c r="G37" s="55">
        <f>SUM(G23:G36)</f>
        <v>15000</v>
      </c>
      <c r="H37" s="55">
        <f>SUM(H23:H36)</f>
        <v>15000.009999999998</v>
      </c>
      <c r="I37" s="56"/>
      <c r="J37" s="57">
        <f>SUM(J23:J36)</f>
        <v>9.9999999999624833E-3</v>
      </c>
      <c r="K37"/>
      <c r="L37" s="55">
        <v>10000</v>
      </c>
      <c r="M37" s="55">
        <f>SUM(M23:M36)</f>
        <v>9999.9900000000016</v>
      </c>
      <c r="N37" s="57">
        <f>SUM(N23:N36)</f>
        <v>9999.98</v>
      </c>
      <c r="O37" s="56"/>
      <c r="P37" s="57">
        <f>SUM(P23:P36)</f>
        <v>-9.9999999998772182E-3</v>
      </c>
    </row>
    <row r="39" spans="2:18">
      <c r="L39" s="111"/>
      <c r="M39" s="111" t="s">
        <v>135</v>
      </c>
      <c r="N39" s="111"/>
      <c r="O39" s="112">
        <v>44561</v>
      </c>
      <c r="P39" s="107">
        <v>2022</v>
      </c>
      <c r="Q39" s="112">
        <v>44926</v>
      </c>
    </row>
    <row r="41" spans="2:18">
      <c r="L41" s="107">
        <v>4712101</v>
      </c>
      <c r="M41" s="111" t="s">
        <v>96</v>
      </c>
      <c r="O41" s="9">
        <v>43249.57</v>
      </c>
      <c r="P41" s="9">
        <v>439.65333333333336</v>
      </c>
      <c r="Q41" s="108">
        <f>O41+P41</f>
        <v>43689.223333333335</v>
      </c>
      <c r="R41" s="10" t="s">
        <v>136</v>
      </c>
    </row>
    <row r="42" spans="2:18">
      <c r="L42" s="107">
        <v>4712102</v>
      </c>
      <c r="M42" s="111" t="s">
        <v>60</v>
      </c>
      <c r="O42" s="9">
        <v>43249.57</v>
      </c>
      <c r="P42" s="9">
        <v>439.65333333333336</v>
      </c>
      <c r="Q42" s="108">
        <f t="shared" ref="Q42:Q54" si="10">O42+P42</f>
        <v>43689.223333333335</v>
      </c>
      <c r="R42" s="10" t="s">
        <v>136</v>
      </c>
    </row>
    <row r="43" spans="2:18">
      <c r="L43" s="107">
        <v>4712103</v>
      </c>
      <c r="M43" s="111" t="s">
        <v>63</v>
      </c>
      <c r="O43" s="9">
        <v>42266.62</v>
      </c>
      <c r="P43" s="9">
        <v>1048.25</v>
      </c>
      <c r="Q43" s="108">
        <f t="shared" si="10"/>
        <v>43314.87</v>
      </c>
      <c r="R43" s="10" t="s">
        <v>136</v>
      </c>
    </row>
    <row r="44" spans="2:18">
      <c r="L44" s="107">
        <v>4712104</v>
      </c>
      <c r="M44" s="111" t="s">
        <v>61</v>
      </c>
      <c r="O44" s="9">
        <v>97311.53</v>
      </c>
      <c r="P44" s="9">
        <v>0</v>
      </c>
      <c r="Q44" s="108">
        <f t="shared" si="10"/>
        <v>97311.53</v>
      </c>
      <c r="R44" s="10" t="s">
        <v>136</v>
      </c>
    </row>
    <row r="45" spans="2:18">
      <c r="L45" s="107">
        <v>4712105</v>
      </c>
      <c r="M45" s="111" t="s">
        <v>62</v>
      </c>
      <c r="O45" s="9">
        <v>97311.53</v>
      </c>
      <c r="P45" s="9">
        <v>0</v>
      </c>
      <c r="Q45" s="108">
        <f t="shared" si="10"/>
        <v>97311.53</v>
      </c>
      <c r="R45" s="10" t="s">
        <v>136</v>
      </c>
    </row>
    <row r="46" spans="2:18">
      <c r="L46" s="107">
        <v>4712114</v>
      </c>
      <c r="M46" s="111" t="s">
        <v>98</v>
      </c>
      <c r="O46" s="9">
        <v>0</v>
      </c>
      <c r="P46" s="9">
        <v>1357.2933333333335</v>
      </c>
      <c r="Q46" s="108">
        <f t="shared" si="10"/>
        <v>1357.2933333333335</v>
      </c>
      <c r="R46" s="10" t="s">
        <v>136</v>
      </c>
    </row>
    <row r="47" spans="2:18">
      <c r="L47" s="107">
        <v>4712106</v>
      </c>
      <c r="M47" s="111" t="s">
        <v>56</v>
      </c>
      <c r="O47" s="9">
        <v>49147.24</v>
      </c>
      <c r="P47" s="9">
        <v>499.83333333333337</v>
      </c>
      <c r="Q47" s="108">
        <f t="shared" si="10"/>
        <v>49647.073333333334</v>
      </c>
      <c r="R47" s="10" t="s">
        <v>136</v>
      </c>
    </row>
    <row r="48" spans="2:18">
      <c r="L48" s="107">
        <v>4712107</v>
      </c>
      <c r="M48" s="111" t="s">
        <v>65</v>
      </c>
      <c r="O48" s="9">
        <v>50130.18</v>
      </c>
      <c r="P48" s="9">
        <v>508.1966666666666</v>
      </c>
      <c r="Q48" s="108">
        <f t="shared" si="10"/>
        <v>50638.376666666663</v>
      </c>
      <c r="R48" s="10" t="s">
        <v>136</v>
      </c>
    </row>
    <row r="49" spans="12:19">
      <c r="L49" s="107">
        <v>4712108</v>
      </c>
      <c r="M49" s="111" t="s">
        <v>58</v>
      </c>
      <c r="O49" s="9">
        <v>95345.63</v>
      </c>
      <c r="P49" s="9">
        <v>967.90000000000009</v>
      </c>
      <c r="Q49" s="108">
        <f t="shared" si="10"/>
        <v>96313.53</v>
      </c>
      <c r="R49" s="10" t="s">
        <v>136</v>
      </c>
    </row>
    <row r="50" spans="12:19">
      <c r="L50" s="107">
        <v>4712109</v>
      </c>
      <c r="M50" s="111" t="s">
        <v>54</v>
      </c>
      <c r="O50" s="9">
        <v>8846.5</v>
      </c>
      <c r="P50" s="9">
        <v>90.27</v>
      </c>
      <c r="Q50" s="108">
        <f t="shared" si="10"/>
        <v>8936.77</v>
      </c>
      <c r="R50" s="10" t="s">
        <v>136</v>
      </c>
    </row>
    <row r="51" spans="12:19">
      <c r="L51" s="107">
        <v>4712110</v>
      </c>
      <c r="M51" s="111" t="s">
        <v>55</v>
      </c>
      <c r="O51" s="9">
        <v>95345.63</v>
      </c>
      <c r="P51" s="9">
        <v>967.9</v>
      </c>
      <c r="Q51" s="108">
        <f t="shared" si="10"/>
        <v>96313.53</v>
      </c>
      <c r="R51" s="10" t="s">
        <v>136</v>
      </c>
    </row>
    <row r="52" spans="12:19">
      <c r="L52" s="107">
        <v>4712111</v>
      </c>
      <c r="M52" s="111" t="s">
        <v>57</v>
      </c>
      <c r="O52" s="9">
        <v>117953.36</v>
      </c>
      <c r="P52" s="9">
        <v>1196.9233333333332</v>
      </c>
      <c r="Q52" s="108">
        <f t="shared" si="10"/>
        <v>119150.28333333334</v>
      </c>
      <c r="R52" s="10" t="s">
        <v>136</v>
      </c>
    </row>
    <row r="53" spans="12:19">
      <c r="L53" s="107">
        <v>4712112</v>
      </c>
      <c r="M53" s="111" t="s">
        <v>22</v>
      </c>
      <c r="O53" s="9">
        <v>147441.71</v>
      </c>
      <c r="P53" s="9">
        <v>1496.1566666666665</v>
      </c>
      <c r="Q53" s="108">
        <f t="shared" si="10"/>
        <v>148937.86666666667</v>
      </c>
      <c r="R53" s="10" t="s">
        <v>136</v>
      </c>
    </row>
    <row r="54" spans="12:19">
      <c r="L54" s="107">
        <v>4712113</v>
      </c>
      <c r="M54" s="111" t="s">
        <v>64</v>
      </c>
      <c r="O54" s="25">
        <v>97311.53</v>
      </c>
      <c r="P54" s="25">
        <v>987.96</v>
      </c>
      <c r="Q54" s="109">
        <f t="shared" si="10"/>
        <v>98299.49</v>
      </c>
      <c r="R54" s="10" t="s">
        <v>136</v>
      </c>
    </row>
    <row r="55" spans="12:19">
      <c r="O55" s="108">
        <f>SUM(O41:O54)</f>
        <v>984910.6</v>
      </c>
      <c r="P55" s="108">
        <f>SUM(P41:P54)</f>
        <v>9999.9900000000016</v>
      </c>
      <c r="Q55" s="108">
        <f>SUM(Q41:Q54)</f>
        <v>994910.59000000008</v>
      </c>
      <c r="R55" s="10"/>
    </row>
    <row r="57" spans="12:19">
      <c r="P57" s="9">
        <v>-6397</v>
      </c>
      <c r="S57" s="131">
        <v>44589</v>
      </c>
    </row>
    <row r="58" spans="12:19">
      <c r="P58" s="9">
        <v>-2000</v>
      </c>
      <c r="S58" s="131">
        <v>44589</v>
      </c>
    </row>
    <row r="59" spans="12:19">
      <c r="P59" s="9">
        <v>-2938.37</v>
      </c>
      <c r="S59" s="131">
        <v>44627</v>
      </c>
    </row>
    <row r="60" spans="12:19">
      <c r="P60" s="9">
        <v>-319.86</v>
      </c>
      <c r="S60" s="131">
        <v>44627</v>
      </c>
    </row>
    <row r="61" spans="12:19">
      <c r="P61" s="9">
        <v>-3506.66</v>
      </c>
      <c r="S61" s="131">
        <v>44631</v>
      </c>
    </row>
    <row r="62" spans="12:19">
      <c r="O62" s="20"/>
      <c r="P62" s="25">
        <v>-3997.87</v>
      </c>
      <c r="Q62" s="63"/>
      <c r="S62" s="131">
        <v>44645</v>
      </c>
    </row>
    <row r="63" spans="12:19">
      <c r="L63" s="107">
        <v>4718001</v>
      </c>
      <c r="M63" t="s">
        <v>134</v>
      </c>
      <c r="O63" s="113">
        <v>21168.79</v>
      </c>
      <c r="P63" s="113">
        <f>SUM(P57:P62)</f>
        <v>-19159.759999999998</v>
      </c>
      <c r="Q63" s="108">
        <f t="shared" ref="Q63" si="11">O63+P63</f>
        <v>2009.0300000000025</v>
      </c>
      <c r="R63" s="10" t="s">
        <v>136</v>
      </c>
    </row>
    <row r="64" spans="12:19">
      <c r="P64" s="9">
        <v>-2863.55</v>
      </c>
      <c r="S64" s="131">
        <v>45091</v>
      </c>
    </row>
    <row r="65" spans="15:19">
      <c r="O65" s="20"/>
      <c r="P65" s="25">
        <v>-2009.03</v>
      </c>
      <c r="Q65" s="63"/>
      <c r="S65" s="131">
        <v>45091</v>
      </c>
    </row>
    <row r="66" spans="15:19">
      <c r="O66" s="113">
        <v>0</v>
      </c>
      <c r="Q66" s="113">
        <v>0</v>
      </c>
      <c r="R66" s="10" t="s">
        <v>136</v>
      </c>
    </row>
  </sheetData>
  <pageMargins left="0.25" right="0.25" top="0.75" bottom="0.75" header="0.3" footer="0.3"/>
  <pageSetup paperSize="9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39"/>
  <sheetViews>
    <sheetView workbookViewId="0">
      <selection activeCell="L10" sqref="L10"/>
    </sheetView>
  </sheetViews>
  <sheetFormatPr defaultColWidth="9.140625" defaultRowHeight="15"/>
  <cols>
    <col min="1" max="1" width="3.5703125" customWidth="1"/>
    <col min="2" max="2" width="13.5703125" customWidth="1"/>
    <col min="3" max="3" width="4.140625" customWidth="1"/>
    <col min="4" max="4" width="27.140625" customWidth="1"/>
    <col min="5" max="5" width="4.42578125" customWidth="1"/>
    <col min="6" max="6" width="13.28515625" customWidth="1"/>
    <col min="7" max="7" width="4.42578125" customWidth="1"/>
    <col min="8" max="8" width="33.85546875" bestFit="1" customWidth="1"/>
  </cols>
  <sheetData>
    <row r="2" spans="2:8">
      <c r="B2" s="114"/>
      <c r="C2" s="115"/>
      <c r="D2" s="116" t="s">
        <v>149</v>
      </c>
      <c r="E2" s="116"/>
      <c r="F2" s="116"/>
      <c r="G2" s="116"/>
      <c r="H2" s="117" t="s">
        <v>148</v>
      </c>
    </row>
    <row r="3" spans="2:8">
      <c r="B3" s="118"/>
      <c r="D3" s="111" t="s">
        <v>141</v>
      </c>
      <c r="E3" s="111"/>
      <c r="F3" s="111"/>
      <c r="G3" s="111"/>
      <c r="H3" s="119" t="s">
        <v>13</v>
      </c>
    </row>
    <row r="4" spans="2:8">
      <c r="B4" s="118"/>
      <c r="H4" s="120"/>
    </row>
    <row r="5" spans="2:8">
      <c r="B5" s="121">
        <v>0.32</v>
      </c>
      <c r="C5" s="9"/>
      <c r="D5" t="s">
        <v>96</v>
      </c>
      <c r="E5" s="27"/>
      <c r="F5" s="122">
        <v>-0.32</v>
      </c>
      <c r="G5" s="9"/>
      <c r="H5" s="120" t="s">
        <v>157</v>
      </c>
    </row>
    <row r="6" spans="2:8">
      <c r="B6" s="121">
        <v>0.32</v>
      </c>
      <c r="C6" s="9"/>
      <c r="D6" t="s">
        <v>60</v>
      </c>
      <c r="E6" s="27"/>
      <c r="F6" s="122">
        <v>-0.32</v>
      </c>
      <c r="G6" s="9"/>
      <c r="H6" s="120" t="s">
        <v>158</v>
      </c>
    </row>
    <row r="7" spans="2:8">
      <c r="B7" s="121">
        <v>0.25</v>
      </c>
      <c r="C7" s="9"/>
      <c r="D7" t="s">
        <v>63</v>
      </c>
      <c r="E7" s="27"/>
      <c r="F7" s="122">
        <v>-0.25</v>
      </c>
      <c r="G7" s="9"/>
      <c r="H7" s="120" t="s">
        <v>159</v>
      </c>
    </row>
    <row r="8" spans="2:8">
      <c r="B8" s="121">
        <v>0</v>
      </c>
      <c r="C8" s="9"/>
      <c r="D8" t="s">
        <v>61</v>
      </c>
      <c r="E8" s="27"/>
      <c r="F8" s="122">
        <v>0</v>
      </c>
      <c r="G8" s="9"/>
      <c r="H8" s="120" t="s">
        <v>160</v>
      </c>
    </row>
    <row r="9" spans="2:8">
      <c r="B9" s="121">
        <v>0</v>
      </c>
      <c r="C9" s="9"/>
      <c r="D9" t="s">
        <v>62</v>
      </c>
      <c r="E9" s="27"/>
      <c r="F9" s="122">
        <v>0</v>
      </c>
      <c r="G9" s="9"/>
      <c r="H9" s="120" t="s">
        <v>161</v>
      </c>
    </row>
    <row r="10" spans="2:8">
      <c r="B10" s="121">
        <v>0.5</v>
      </c>
      <c r="C10" s="9"/>
      <c r="D10" t="s">
        <v>56</v>
      </c>
      <c r="E10" s="27"/>
      <c r="F10" s="122">
        <v>-0.5</v>
      </c>
      <c r="G10" s="9"/>
      <c r="H10" s="120" t="s">
        <v>162</v>
      </c>
    </row>
    <row r="11" spans="2:8">
      <c r="B11" s="121">
        <v>-0.47</v>
      </c>
      <c r="C11" s="9"/>
      <c r="D11" t="s">
        <v>65</v>
      </c>
      <c r="E11" s="27"/>
      <c r="F11" s="122">
        <v>0.47</v>
      </c>
      <c r="G11" s="9"/>
      <c r="H11" s="120" t="s">
        <v>163</v>
      </c>
    </row>
    <row r="12" spans="2:8">
      <c r="B12" s="121">
        <v>-0.1</v>
      </c>
      <c r="C12" s="9"/>
      <c r="D12" t="s">
        <v>58</v>
      </c>
      <c r="E12" s="27"/>
      <c r="F12" s="122">
        <v>0.1</v>
      </c>
      <c r="G12" s="9"/>
      <c r="H12" s="120" t="s">
        <v>164</v>
      </c>
    </row>
    <row r="13" spans="2:8">
      <c r="B13" s="121">
        <v>0.27</v>
      </c>
      <c r="C13" s="9"/>
      <c r="D13" t="s">
        <v>54</v>
      </c>
      <c r="E13" s="27"/>
      <c r="F13" s="122">
        <v>-0.27</v>
      </c>
      <c r="G13" s="9"/>
      <c r="H13" s="120" t="s">
        <v>165</v>
      </c>
    </row>
    <row r="14" spans="2:8">
      <c r="B14" s="121">
        <v>-0.1</v>
      </c>
      <c r="C14" s="9"/>
      <c r="D14" t="s">
        <v>55</v>
      </c>
      <c r="E14" s="27"/>
      <c r="F14" s="122">
        <v>0.1</v>
      </c>
      <c r="G14" s="9"/>
      <c r="H14" s="120" t="s">
        <v>166</v>
      </c>
    </row>
    <row r="15" spans="2:8">
      <c r="B15" s="121">
        <v>-0.41</v>
      </c>
      <c r="C15" s="9"/>
      <c r="D15" t="s">
        <v>57</v>
      </c>
      <c r="E15" s="27"/>
      <c r="F15" s="122">
        <v>0.41</v>
      </c>
      <c r="G15" s="9"/>
      <c r="H15" s="120" t="s">
        <v>167</v>
      </c>
    </row>
    <row r="16" spans="2:8">
      <c r="B16" s="121">
        <v>-0.51</v>
      </c>
      <c r="C16" s="9"/>
      <c r="D16" t="s">
        <v>22</v>
      </c>
      <c r="E16" s="27"/>
      <c r="F16" s="122">
        <v>0.51</v>
      </c>
      <c r="G16" s="9"/>
      <c r="H16" s="120" t="s">
        <v>168</v>
      </c>
    </row>
    <row r="17" spans="2:8">
      <c r="B17" s="121">
        <v>-0.04</v>
      </c>
      <c r="C17" s="9"/>
      <c r="D17" t="s">
        <v>64</v>
      </c>
      <c r="E17" s="27"/>
      <c r="F17" s="122">
        <v>0.04</v>
      </c>
      <c r="G17" s="9"/>
      <c r="H17" s="120" t="s">
        <v>169</v>
      </c>
    </row>
    <row r="18" spans="2:8">
      <c r="B18" s="123">
        <v>-0.04</v>
      </c>
      <c r="C18" s="25"/>
      <c r="D18" s="24" t="s">
        <v>77</v>
      </c>
      <c r="E18" s="28"/>
      <c r="F18" s="22">
        <v>0.04</v>
      </c>
      <c r="G18" s="25"/>
      <c r="H18" s="124" t="s">
        <v>171</v>
      </c>
    </row>
    <row r="20" spans="2:8">
      <c r="B20" s="114"/>
      <c r="C20" s="115"/>
      <c r="D20" s="116" t="s">
        <v>149</v>
      </c>
      <c r="E20" s="116"/>
      <c r="F20" s="116"/>
      <c r="G20" s="116"/>
      <c r="H20" s="117" t="s">
        <v>148</v>
      </c>
    </row>
    <row r="21" spans="2:8">
      <c r="B21" s="118"/>
      <c r="D21" s="111" t="s">
        <v>141</v>
      </c>
      <c r="E21" s="111"/>
      <c r="F21" s="111"/>
      <c r="G21" s="111"/>
      <c r="H21" s="119" t="s">
        <v>13</v>
      </c>
    </row>
    <row r="22" spans="2:8">
      <c r="B22" s="118"/>
      <c r="E22" s="27"/>
      <c r="H22" s="120"/>
    </row>
    <row r="23" spans="2:8">
      <c r="B23" s="125">
        <v>659</v>
      </c>
      <c r="D23" t="s">
        <v>25</v>
      </c>
      <c r="E23" s="27"/>
      <c r="F23" s="9">
        <v>43688.9</v>
      </c>
      <c r="H23" s="120" t="s">
        <v>157</v>
      </c>
    </row>
    <row r="24" spans="2:8">
      <c r="B24" s="125">
        <v>659</v>
      </c>
      <c r="D24" t="s">
        <v>26</v>
      </c>
      <c r="E24" s="27"/>
      <c r="F24" s="9">
        <v>43688.9</v>
      </c>
      <c r="H24" s="120" t="s">
        <v>158</v>
      </c>
    </row>
    <row r="25" spans="2:8">
      <c r="B25" s="125">
        <v>372.00000000000006</v>
      </c>
      <c r="D25" t="s">
        <v>16</v>
      </c>
      <c r="E25" s="27"/>
      <c r="F25" s="9">
        <v>43314.62</v>
      </c>
      <c r="H25" s="120" t="s">
        <v>159</v>
      </c>
    </row>
    <row r="26" spans="2:8">
      <c r="B26" s="125">
        <v>600</v>
      </c>
      <c r="D26" t="s">
        <v>28</v>
      </c>
      <c r="E26" s="27"/>
      <c r="F26" s="9">
        <v>97311.53</v>
      </c>
      <c r="H26" s="120" t="s">
        <v>160</v>
      </c>
    </row>
    <row r="27" spans="2:8">
      <c r="B27" s="125">
        <v>600</v>
      </c>
      <c r="D27" t="s">
        <v>27</v>
      </c>
      <c r="E27" s="27"/>
      <c r="F27" s="9">
        <v>97311.53</v>
      </c>
      <c r="H27" s="120" t="s">
        <v>161</v>
      </c>
    </row>
    <row r="28" spans="2:8">
      <c r="B28" s="125">
        <v>749</v>
      </c>
      <c r="D28" t="s">
        <v>21</v>
      </c>
      <c r="E28" s="27"/>
      <c r="F28" s="9">
        <v>49646.57</v>
      </c>
      <c r="H28" s="120" t="s">
        <v>162</v>
      </c>
    </row>
    <row r="29" spans="2:8">
      <c r="B29" s="125">
        <v>763</v>
      </c>
      <c r="D29" t="s">
        <v>30</v>
      </c>
      <c r="E29" s="27"/>
      <c r="F29" s="9">
        <v>50638.85</v>
      </c>
      <c r="H29" s="120" t="s">
        <v>163</v>
      </c>
    </row>
    <row r="30" spans="2:8">
      <c r="B30" s="125">
        <v>1452</v>
      </c>
      <c r="D30" t="s">
        <v>24</v>
      </c>
      <c r="E30" s="27"/>
      <c r="F30" s="9">
        <v>96313.63</v>
      </c>
      <c r="H30" s="120" t="s">
        <v>164</v>
      </c>
    </row>
    <row r="31" spans="2:8">
      <c r="B31" s="125">
        <v>135</v>
      </c>
      <c r="D31" t="s">
        <v>17</v>
      </c>
      <c r="E31" s="27"/>
      <c r="F31" s="9">
        <v>8936.5</v>
      </c>
      <c r="H31" s="120" t="s">
        <v>165</v>
      </c>
    </row>
    <row r="32" spans="2:8">
      <c r="B32" s="125">
        <v>1452</v>
      </c>
      <c r="D32" t="s">
        <v>20</v>
      </c>
      <c r="F32" s="9">
        <v>96313.63</v>
      </c>
      <c r="H32" s="120" t="s">
        <v>166</v>
      </c>
    </row>
    <row r="33" spans="2:8">
      <c r="B33" s="125">
        <v>1796</v>
      </c>
      <c r="D33" t="s">
        <v>23</v>
      </c>
      <c r="F33" s="9">
        <v>119150.69</v>
      </c>
      <c r="H33" s="120" t="s">
        <v>167</v>
      </c>
    </row>
    <row r="34" spans="2:8">
      <c r="B34" s="125">
        <v>2245</v>
      </c>
      <c r="D34" t="s">
        <v>22</v>
      </c>
      <c r="F34" s="9">
        <v>148938.38</v>
      </c>
      <c r="H34" s="120" t="s">
        <v>168</v>
      </c>
    </row>
    <row r="35" spans="2:8">
      <c r="B35" s="125">
        <v>1482</v>
      </c>
      <c r="D35" t="s">
        <v>29</v>
      </c>
      <c r="F35" s="9">
        <v>98299.53</v>
      </c>
      <c r="H35" s="120" t="s">
        <v>169</v>
      </c>
    </row>
    <row r="36" spans="2:8">
      <c r="B36" s="125">
        <v>2036</v>
      </c>
      <c r="D36" t="s">
        <v>77</v>
      </c>
      <c r="F36" s="9">
        <v>1357.33</v>
      </c>
      <c r="H36" s="120" t="s">
        <v>171</v>
      </c>
    </row>
    <row r="37" spans="2:8">
      <c r="B37" s="126"/>
      <c r="F37" s="24"/>
      <c r="H37" s="120"/>
    </row>
    <row r="38" spans="2:8">
      <c r="B38" s="127">
        <f>SUM(B23:B37)</f>
        <v>15000</v>
      </c>
      <c r="F38" s="113">
        <f>SUM(F23:F37)</f>
        <v>994910.59000000008</v>
      </c>
      <c r="H38" s="120"/>
    </row>
    <row r="39" spans="2:8">
      <c r="B39" s="126"/>
      <c r="C39" s="24"/>
      <c r="D39" s="24"/>
      <c r="E39" s="24"/>
      <c r="F39" s="24"/>
      <c r="G39" s="24"/>
      <c r="H39" s="12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0"/>
  <sheetViews>
    <sheetView workbookViewId="0">
      <selection activeCell="A14" sqref="A14"/>
    </sheetView>
  </sheetViews>
  <sheetFormatPr defaultColWidth="9.140625" defaultRowHeight="15"/>
  <cols>
    <col min="1" max="2" width="10.7109375" bestFit="1" customWidth="1"/>
    <col min="11" max="11" width="10.42578125" bestFit="1" customWidth="1"/>
    <col min="12" max="12" width="21.7109375" bestFit="1" customWidth="1"/>
    <col min="13" max="13" width="10.7109375" style="6" bestFit="1" customWidth="1"/>
    <col min="15" max="15" width="20.85546875" bestFit="1" customWidth="1"/>
    <col min="16" max="16" width="13.7109375" bestFit="1" customWidth="1"/>
    <col min="17" max="17" width="9.42578125" bestFit="1" customWidth="1"/>
    <col min="18" max="18" width="21.5703125" bestFit="1" customWidth="1"/>
    <col min="20" max="20" width="10.42578125" bestFit="1" customWidth="1"/>
    <col min="22" max="22" width="13.7109375" bestFit="1" customWidth="1"/>
  </cols>
  <sheetData>
    <row r="1" spans="1:24">
      <c r="A1" s="1" t="s">
        <v>0</v>
      </c>
      <c r="B1" s="1" t="s">
        <v>1</v>
      </c>
      <c r="C1" s="2" t="s">
        <v>2</v>
      </c>
      <c r="D1" s="2" t="s">
        <v>3</v>
      </c>
      <c r="E1" s="65" t="s">
        <v>107</v>
      </c>
      <c r="F1" s="2" t="s">
        <v>108</v>
      </c>
      <c r="G1" s="2" t="s">
        <v>120</v>
      </c>
      <c r="H1" s="3" t="s">
        <v>99</v>
      </c>
      <c r="I1" s="58" t="s">
        <v>101</v>
      </c>
      <c r="J1" s="3" t="s">
        <v>100</v>
      </c>
      <c r="K1" s="3" t="s">
        <v>4</v>
      </c>
      <c r="L1" s="3" t="s">
        <v>11</v>
      </c>
      <c r="M1" s="1" t="s">
        <v>202</v>
      </c>
      <c r="N1" s="26" t="s">
        <v>5</v>
      </c>
      <c r="O1" s="4" t="s">
        <v>6</v>
      </c>
      <c r="P1" s="4" t="s">
        <v>18</v>
      </c>
      <c r="Q1" s="4" t="s">
        <v>150</v>
      </c>
      <c r="R1" s="4" t="s">
        <v>7</v>
      </c>
      <c r="S1" s="5" t="s">
        <v>8</v>
      </c>
      <c r="T1" s="5" t="s">
        <v>9</v>
      </c>
      <c r="U1" s="5" t="s">
        <v>10</v>
      </c>
      <c r="V1" s="4" t="s">
        <v>19</v>
      </c>
      <c r="W1" s="5" t="s">
        <v>153</v>
      </c>
      <c r="X1" s="5" t="s">
        <v>105</v>
      </c>
    </row>
    <row r="2" spans="1:24">
      <c r="A2" s="6">
        <v>43465</v>
      </c>
      <c r="B2" s="6">
        <v>43465</v>
      </c>
      <c r="C2" s="7">
        <f t="shared" ref="C2:C9" si="0">IF(B2="","",MONTH(B2))</f>
        <v>12</v>
      </c>
      <c r="D2" s="7">
        <f t="shared" ref="D2:D9" si="1">IF(B2="","",YEAR(B2))</f>
        <v>2018</v>
      </c>
      <c r="E2" s="66"/>
      <c r="F2" s="7"/>
      <c r="G2" s="7"/>
      <c r="H2" s="29"/>
      <c r="I2" s="61"/>
      <c r="J2" s="29"/>
      <c r="K2" s="62">
        <v>6397</v>
      </c>
      <c r="L2" s="9" t="s">
        <v>128</v>
      </c>
      <c r="M2" s="130">
        <v>44589</v>
      </c>
      <c r="N2" s="27"/>
      <c r="O2" t="s">
        <v>109</v>
      </c>
      <c r="P2" t="s">
        <v>17</v>
      </c>
      <c r="Q2" t="s">
        <v>148</v>
      </c>
      <c r="R2" t="s">
        <v>13</v>
      </c>
      <c r="S2" t="s">
        <v>14</v>
      </c>
      <c r="T2" t="s">
        <v>15</v>
      </c>
      <c r="V2" t="s">
        <v>17</v>
      </c>
      <c r="W2" s="10"/>
      <c r="X2" s="10"/>
    </row>
    <row r="3" spans="1:24">
      <c r="A3" s="6">
        <v>43830</v>
      </c>
      <c r="B3" s="6">
        <v>43830</v>
      </c>
      <c r="C3" s="7">
        <f t="shared" si="0"/>
        <v>12</v>
      </c>
      <c r="D3" s="7">
        <f t="shared" si="1"/>
        <v>2019</v>
      </c>
      <c r="E3" s="66"/>
      <c r="F3" s="7"/>
      <c r="G3" s="7"/>
      <c r="H3" s="29"/>
      <c r="I3" s="61"/>
      <c r="J3" s="29"/>
      <c r="K3" s="62">
        <v>2938.37</v>
      </c>
      <c r="L3" s="9" t="s">
        <v>129</v>
      </c>
      <c r="M3" s="130">
        <v>44627</v>
      </c>
      <c r="N3" s="27"/>
      <c r="O3" t="s">
        <v>109</v>
      </c>
      <c r="P3" t="s">
        <v>17</v>
      </c>
      <c r="Q3" t="s">
        <v>148</v>
      </c>
      <c r="R3" t="s">
        <v>13</v>
      </c>
      <c r="S3" t="s">
        <v>14</v>
      </c>
      <c r="T3" t="s">
        <v>15</v>
      </c>
      <c r="V3" t="s">
        <v>17</v>
      </c>
      <c r="W3" s="10"/>
      <c r="X3" s="10"/>
    </row>
    <row r="4" spans="1:24">
      <c r="A4" s="6">
        <v>44196</v>
      </c>
      <c r="B4" s="6">
        <v>44196</v>
      </c>
      <c r="C4" s="7">
        <f t="shared" si="0"/>
        <v>12</v>
      </c>
      <c r="D4" s="7">
        <f t="shared" si="1"/>
        <v>2020</v>
      </c>
      <c r="E4" s="66"/>
      <c r="F4" s="7"/>
      <c r="G4" s="7"/>
      <c r="H4" s="29"/>
      <c r="I4" s="61"/>
      <c r="J4" s="29"/>
      <c r="K4" s="62">
        <v>3506.66</v>
      </c>
      <c r="L4" s="9" t="s">
        <v>130</v>
      </c>
      <c r="M4" s="130">
        <v>44631</v>
      </c>
      <c r="N4" s="27"/>
      <c r="O4" t="s">
        <v>109</v>
      </c>
      <c r="P4" t="s">
        <v>17</v>
      </c>
      <c r="Q4" t="s">
        <v>148</v>
      </c>
      <c r="R4" t="s">
        <v>13</v>
      </c>
      <c r="S4" t="s">
        <v>14</v>
      </c>
      <c r="T4" t="s">
        <v>15</v>
      </c>
      <c r="V4" t="s">
        <v>17</v>
      </c>
      <c r="W4" s="10"/>
      <c r="X4" s="10"/>
    </row>
    <row r="5" spans="1:24">
      <c r="A5" s="6">
        <v>44561</v>
      </c>
      <c r="B5" s="6">
        <v>44561</v>
      </c>
      <c r="C5" s="7">
        <f t="shared" si="0"/>
        <v>12</v>
      </c>
      <c r="D5" s="7">
        <f t="shared" si="1"/>
        <v>2021</v>
      </c>
      <c r="E5" s="66"/>
      <c r="F5" s="7"/>
      <c r="G5" s="7"/>
      <c r="H5" s="29"/>
      <c r="I5" s="61"/>
      <c r="J5" s="29"/>
      <c r="K5" s="62">
        <v>2000</v>
      </c>
      <c r="L5" s="9" t="s">
        <v>128</v>
      </c>
      <c r="M5" s="130">
        <v>44589</v>
      </c>
      <c r="N5" s="27"/>
      <c r="O5" t="s">
        <v>109</v>
      </c>
      <c r="P5" t="s">
        <v>17</v>
      </c>
      <c r="Q5" t="s">
        <v>148</v>
      </c>
      <c r="R5" t="s">
        <v>13</v>
      </c>
      <c r="S5" t="s">
        <v>14</v>
      </c>
      <c r="T5" t="s">
        <v>15</v>
      </c>
      <c r="V5" t="s">
        <v>17</v>
      </c>
      <c r="W5" s="10"/>
      <c r="X5" s="10"/>
    </row>
    <row r="6" spans="1:24">
      <c r="A6" s="6">
        <v>44561</v>
      </c>
      <c r="B6" s="6">
        <v>44561</v>
      </c>
      <c r="C6" s="7">
        <f t="shared" si="0"/>
        <v>12</v>
      </c>
      <c r="D6" s="7">
        <f t="shared" si="1"/>
        <v>2021</v>
      </c>
      <c r="E6" s="66"/>
      <c r="F6" s="7"/>
      <c r="G6" s="7"/>
      <c r="H6" s="29"/>
      <c r="I6" s="61"/>
      <c r="J6" s="29"/>
      <c r="K6" s="62">
        <v>319.86</v>
      </c>
      <c r="L6" s="9" t="s">
        <v>129</v>
      </c>
      <c r="M6" s="130">
        <v>44627</v>
      </c>
      <c r="N6" s="27"/>
      <c r="O6" t="s">
        <v>109</v>
      </c>
      <c r="P6" t="s">
        <v>17</v>
      </c>
      <c r="Q6" t="s">
        <v>148</v>
      </c>
      <c r="R6" t="s">
        <v>13</v>
      </c>
      <c r="S6" t="s">
        <v>14</v>
      </c>
      <c r="T6" t="s">
        <v>15</v>
      </c>
      <c r="V6" t="s">
        <v>17</v>
      </c>
      <c r="W6" s="10"/>
      <c r="X6" s="10"/>
    </row>
    <row r="7" spans="1:24">
      <c r="A7" s="6">
        <v>44561</v>
      </c>
      <c r="B7" s="6">
        <v>44561</v>
      </c>
      <c r="C7" s="7">
        <f t="shared" si="0"/>
        <v>12</v>
      </c>
      <c r="D7" s="7">
        <f t="shared" si="1"/>
        <v>2021</v>
      </c>
      <c r="E7" s="66"/>
      <c r="F7" s="7"/>
      <c r="G7" s="7"/>
      <c r="H7" s="29"/>
      <c r="I7" s="61"/>
      <c r="J7" s="29"/>
      <c r="K7" s="62">
        <v>3997.87</v>
      </c>
      <c r="L7" s="9" t="s">
        <v>131</v>
      </c>
      <c r="M7" s="130">
        <v>44645</v>
      </c>
      <c r="N7" s="27"/>
      <c r="O7" t="s">
        <v>109</v>
      </c>
      <c r="P7" t="s">
        <v>17</v>
      </c>
      <c r="Q7" t="s">
        <v>148</v>
      </c>
      <c r="R7" t="s">
        <v>13</v>
      </c>
      <c r="S7" t="s">
        <v>14</v>
      </c>
      <c r="T7" t="s">
        <v>15</v>
      </c>
      <c r="V7" t="s">
        <v>17</v>
      </c>
      <c r="W7" s="10"/>
      <c r="X7" s="10"/>
    </row>
    <row r="8" spans="1:24">
      <c r="A8" s="6">
        <v>44926</v>
      </c>
      <c r="B8" s="6">
        <v>44926</v>
      </c>
      <c r="C8" s="7">
        <f t="shared" si="0"/>
        <v>12</v>
      </c>
      <c r="D8" s="7">
        <f t="shared" si="1"/>
        <v>2022</v>
      </c>
      <c r="E8" s="66"/>
      <c r="F8" s="7"/>
      <c r="G8" s="7"/>
      <c r="H8" s="29"/>
      <c r="I8" s="61"/>
      <c r="J8" s="29"/>
      <c r="K8" s="71">
        <v>2863.55</v>
      </c>
      <c r="L8" s="9" t="s">
        <v>156</v>
      </c>
      <c r="M8" s="130">
        <v>45091</v>
      </c>
      <c r="N8" s="27"/>
      <c r="O8" t="s">
        <v>109</v>
      </c>
      <c r="P8" t="s">
        <v>17</v>
      </c>
      <c r="Q8" t="s">
        <v>148</v>
      </c>
      <c r="R8" t="s">
        <v>13</v>
      </c>
      <c r="S8" t="s">
        <v>14</v>
      </c>
      <c r="T8" t="s">
        <v>15</v>
      </c>
      <c r="V8" t="s">
        <v>17</v>
      </c>
      <c r="W8" s="10"/>
      <c r="X8" s="10"/>
    </row>
    <row r="9" spans="1:24" ht="15.75" thickBot="1">
      <c r="A9" s="6">
        <v>44926</v>
      </c>
      <c r="B9" s="6">
        <v>44926</v>
      </c>
      <c r="C9" s="7">
        <f t="shared" si="0"/>
        <v>12</v>
      </c>
      <c r="D9" s="7">
        <f t="shared" si="1"/>
        <v>2022</v>
      </c>
      <c r="E9" s="66"/>
      <c r="F9" s="7"/>
      <c r="G9" s="7"/>
      <c r="H9" s="29"/>
      <c r="I9" s="61"/>
      <c r="J9" s="29"/>
      <c r="K9" s="71">
        <v>2009.03</v>
      </c>
      <c r="L9" s="9" t="s">
        <v>156</v>
      </c>
      <c r="M9" s="130">
        <v>45091</v>
      </c>
      <c r="N9" s="27"/>
      <c r="O9" t="s">
        <v>109</v>
      </c>
      <c r="P9" t="s">
        <v>17</v>
      </c>
      <c r="Q9" t="s">
        <v>148</v>
      </c>
      <c r="R9" t="s">
        <v>13</v>
      </c>
      <c r="S9" t="s">
        <v>14</v>
      </c>
      <c r="T9" t="s">
        <v>15</v>
      </c>
      <c r="V9" t="s">
        <v>17</v>
      </c>
      <c r="W9" s="10"/>
      <c r="X9" s="10"/>
    </row>
    <row r="10" spans="1:24" ht="15.75" thickBot="1">
      <c r="A10" s="6"/>
      <c r="B10" s="6"/>
      <c r="C10" s="7"/>
      <c r="D10" s="7"/>
      <c r="E10" s="66"/>
      <c r="F10" s="7"/>
      <c r="G10" s="7"/>
      <c r="H10" s="9"/>
      <c r="I10" s="59"/>
      <c r="J10" s="9"/>
      <c r="K10" s="129">
        <f>SUM(K2:K9)</f>
        <v>24032.339999999997</v>
      </c>
      <c r="L10" s="9"/>
      <c r="N10" s="27"/>
      <c r="W10" s="10"/>
      <c r="X10" s="10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15</vt:i4>
      </vt:variant>
      <vt:variant>
        <vt:lpstr>Intervalli denominati</vt:lpstr>
      </vt:variant>
      <vt:variant>
        <vt:i4>8</vt:i4>
      </vt:variant>
    </vt:vector>
  </HeadingPairs>
  <TitlesOfParts>
    <vt:vector size="23" baseType="lpstr">
      <vt:lpstr>OLKYPAY</vt:lpstr>
      <vt:lpstr>Pivot Olkypay</vt:lpstr>
      <vt:lpstr>Conto REVOLUT</vt:lpstr>
      <vt:lpstr>Pivot Revolut</vt:lpstr>
      <vt:lpstr>COMPTAB</vt:lpstr>
      <vt:lpstr>BILAN Passif</vt:lpstr>
      <vt:lpstr>BILAN Actif</vt:lpstr>
      <vt:lpstr>IMPOTS</vt:lpstr>
      <vt:lpstr>Dettes</vt:lpstr>
      <vt:lpstr>Pivot Azioni</vt:lpstr>
      <vt:lpstr>Cession 06.2026</vt:lpstr>
      <vt:lpstr>Cession 11.2024</vt:lpstr>
      <vt:lpstr>CS e FIN</vt:lpstr>
      <vt:lpstr>2023 Sistemazione</vt:lpstr>
      <vt:lpstr>Spese antic</vt:lpstr>
      <vt:lpstr>'Cession 06.2026'!Area_stampa</vt:lpstr>
      <vt:lpstr>'Cession 11.2024'!Area_stampa</vt:lpstr>
      <vt:lpstr>COMPTAB!Area_stampa</vt:lpstr>
      <vt:lpstr>'Conto REVOLUT'!Area_stampa</vt:lpstr>
      <vt:lpstr>'CS e FIN'!Area_stampa</vt:lpstr>
      <vt:lpstr>Dettes!Area_stampa</vt:lpstr>
      <vt:lpstr>OLKYPAY!Area_stampa</vt:lpstr>
      <vt:lpstr>'Spese antic'!Area_stampa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cp:lastPrinted>2026-07-17T16:37:24Z</cp:lastPrinted>
  <dcterms:created xsi:type="dcterms:W3CDTF">2021-12-11T10:01:01Z</dcterms:created>
  <dcterms:modified xsi:type="dcterms:W3CDTF">2026-10-23T12:18:54Z</dcterms:modified>
</cp:coreProperties>
</file>